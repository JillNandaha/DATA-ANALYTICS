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jeell\Downloads\"/>
    </mc:Choice>
  </mc:AlternateContent>
  <xr:revisionPtr revIDLastSave="0" documentId="13_ncr:1_{3610F754-C885-4E95-A6F5-DB1ACC5F6CC0}" xr6:coauthVersionLast="47" xr6:coauthVersionMax="47" xr10:uidLastSave="{00000000-0000-0000-0000-000000000000}"/>
  <bookViews>
    <workbookView xWindow="38280" yWindow="2505" windowWidth="29040" windowHeight="16440" firstSheet="5" activeTab="9" xr2:uid="{00000000-000D-0000-FFFF-FFFF00000000}"/>
  </bookViews>
  <sheets>
    <sheet name="Sheet1" sheetId="12" r:id="rId1"/>
    <sheet name="SALES DATA" sheetId="1" r:id="rId2"/>
    <sheet name="DasboardPrep" sheetId="10" r:id="rId3"/>
    <sheet name="Dashboard" sheetId="11" r:id="rId4"/>
    <sheet name="ABC Analysis Of SKUs" sheetId="4" r:id="rId5"/>
    <sheet name="ABC Summary" sheetId="9" r:id="rId6"/>
    <sheet name="Salesperson Productivity" sheetId="5" r:id="rId7"/>
    <sheet name=" Channel Analysis" sheetId="6" r:id="rId8"/>
    <sheet name="Service Level Analysis" sheetId="7" r:id="rId9"/>
    <sheet name="Discount Compliance" sheetId="8" r:id="rId10"/>
    <sheet name="CohortPivot" sheetId="3" r:id="rId11"/>
    <sheet name="Brief" sheetId="2" r:id="rId12"/>
  </sheets>
  <definedNames>
    <definedName name="Slicer_Channel">#N/A</definedName>
    <definedName name="Slicer_Country">#N/A</definedName>
    <definedName name="Slicer_Month">#N/A</definedName>
    <definedName name="Slicer_ProductCategory">#N/A</definedName>
    <definedName name="Slicer_Region">#N/A</definedName>
    <definedName name="Slicer_Salesperson">#N/A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0" l="1"/>
  <c r="V633" i="1"/>
  <c r="D630" i="1"/>
  <c r="D631" i="1"/>
  <c r="D632"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E153" i="6"/>
  <c r="E154" i="6"/>
  <c r="E155" i="6"/>
  <c r="E152" i="6"/>
  <c r="D153" i="6"/>
  <c r="D154" i="6"/>
  <c r="D155" i="6"/>
  <c r="D152" i="6"/>
  <c r="F5" i="5" a="1"/>
  <c r="F5" i="5" s="1"/>
  <c r="G5" i="5" a="1"/>
  <c r="G5" i="5" s="1"/>
  <c r="E5" i="5" a="1"/>
  <c r="E5" i="5" s="1"/>
  <c r="F136" i="4"/>
  <c r="G136" i="4" s="1"/>
  <c r="D278" i="4"/>
  <c r="E278" i="4" s="1"/>
  <c r="D257" i="4"/>
  <c r="E257" i="4" s="1"/>
  <c r="D133" i="4"/>
  <c r="E133" i="4" s="1"/>
  <c r="D177" i="4"/>
  <c r="E177" i="4" s="1"/>
  <c r="D316" i="4"/>
  <c r="E316" i="4" s="1"/>
  <c r="D156" i="4"/>
  <c r="E156" i="4" s="1"/>
  <c r="D52" i="4"/>
  <c r="E52" i="4" s="1"/>
  <c r="D88" i="4"/>
  <c r="E88" i="4" s="1"/>
  <c r="D37" i="4"/>
  <c r="E37" i="4" s="1"/>
  <c r="D5" i="4"/>
  <c r="E5" i="4" s="1"/>
  <c r="D103" i="4"/>
  <c r="E103" i="4" s="1"/>
  <c r="D203" i="4"/>
  <c r="E203" i="4" s="1"/>
  <c r="D25" i="4"/>
  <c r="E25" i="4" s="1"/>
  <c r="D62" i="4"/>
  <c r="E62" i="4" s="1"/>
  <c r="D28" i="4"/>
  <c r="E28" i="4" s="1"/>
  <c r="D77" i="4"/>
  <c r="E77" i="4" s="1"/>
  <c r="D235" i="4"/>
  <c r="E235" i="4" s="1"/>
  <c r="D122" i="4"/>
  <c r="E122" i="4" s="1"/>
  <c r="D297" i="4"/>
  <c r="E297" i="4" s="1"/>
  <c r="D75" i="4"/>
  <c r="E75" i="4" s="1"/>
  <c r="D281" i="4"/>
  <c r="E281" i="4" s="1"/>
  <c r="D67" i="4"/>
  <c r="E67" i="4" s="1"/>
  <c r="D192" i="4"/>
  <c r="E192" i="4" s="1"/>
  <c r="D298" i="4"/>
  <c r="E298" i="4" s="1"/>
  <c r="D185" i="4"/>
  <c r="E185" i="4" s="1"/>
  <c r="F185" i="4" s="1"/>
  <c r="D191" i="4"/>
  <c r="E191" i="4" s="1"/>
  <c r="D18" i="4"/>
  <c r="E18" i="4" s="1"/>
  <c r="D183" i="4"/>
  <c r="E183" i="4" s="1"/>
  <c r="D142" i="4"/>
  <c r="E142" i="4" s="1"/>
  <c r="D107" i="4"/>
  <c r="E107" i="4" s="1"/>
  <c r="D138" i="4"/>
  <c r="E138" i="4" s="1"/>
  <c r="D245" i="4"/>
  <c r="E245" i="4" s="1"/>
  <c r="D21" i="4"/>
  <c r="E21" i="4" s="1"/>
  <c r="D80" i="4"/>
  <c r="E80" i="4" s="1"/>
  <c r="D130" i="4"/>
  <c r="E130" i="4" s="1"/>
  <c r="D217" i="4"/>
  <c r="E217" i="4" s="1"/>
  <c r="D83" i="4"/>
  <c r="E83" i="4" s="1"/>
  <c r="D6" i="4"/>
  <c r="E6" i="4" s="1"/>
  <c r="D9" i="4"/>
  <c r="E9" i="4" s="1"/>
  <c r="D74" i="4"/>
  <c r="E74" i="4" s="1"/>
  <c r="D277" i="4"/>
  <c r="E277" i="4" s="1"/>
  <c r="D202" i="4"/>
  <c r="E202" i="4" s="1"/>
  <c r="D71" i="4"/>
  <c r="E71" i="4" s="1"/>
  <c r="D160" i="4"/>
  <c r="E160" i="4" s="1"/>
  <c r="D241" i="4"/>
  <c r="E241" i="4" s="1"/>
  <c r="D292" i="4"/>
  <c r="E292" i="4" s="1"/>
  <c r="D17" i="4"/>
  <c r="E17" i="4" s="1"/>
  <c r="D267" i="4"/>
  <c r="E267" i="4" s="1"/>
  <c r="D184" i="4"/>
  <c r="E184" i="4" s="1"/>
  <c r="D10" i="4"/>
  <c r="E10" i="4" s="1"/>
  <c r="D220" i="4"/>
  <c r="E220" i="4" s="1"/>
  <c r="D226" i="4"/>
  <c r="E226" i="4" s="1"/>
  <c r="F226" i="4" s="1"/>
  <c r="D84" i="4"/>
  <c r="E84" i="4" s="1"/>
  <c r="D38" i="4"/>
  <c r="E38" i="4" s="1"/>
  <c r="D119" i="4"/>
  <c r="E119" i="4" s="1"/>
  <c r="D237" i="4"/>
  <c r="E237" i="4" s="1"/>
  <c r="D58" i="4"/>
  <c r="E58" i="4" s="1"/>
  <c r="D108" i="4"/>
  <c r="E108" i="4" s="1"/>
  <c r="D149" i="4"/>
  <c r="E149" i="4" s="1"/>
  <c r="D315" i="4"/>
  <c r="E315" i="4" s="1"/>
  <c r="D175" i="4"/>
  <c r="E175" i="4" s="1"/>
  <c r="D135" i="4"/>
  <c r="E135" i="4" s="1"/>
  <c r="D190" i="4"/>
  <c r="E190" i="4" s="1"/>
  <c r="D212" i="4"/>
  <c r="E212" i="4" s="1"/>
  <c r="D91" i="4"/>
  <c r="E91" i="4" s="1"/>
  <c r="D79" i="4"/>
  <c r="E79" i="4" s="1"/>
  <c r="D92" i="4"/>
  <c r="E92" i="4" s="1"/>
  <c r="D172" i="4"/>
  <c r="E172" i="4" s="1"/>
  <c r="D40" i="4"/>
  <c r="E40" i="4" s="1"/>
  <c r="D125" i="4"/>
  <c r="E125" i="4" s="1"/>
  <c r="D259" i="4"/>
  <c r="E259" i="4" s="1"/>
  <c r="D78" i="4"/>
  <c r="E78" i="4" s="1"/>
  <c r="D46" i="4"/>
  <c r="E46" i="4" s="1"/>
  <c r="D137" i="4"/>
  <c r="E137" i="4" s="1"/>
  <c r="D287" i="4"/>
  <c r="E287" i="4" s="1"/>
  <c r="D199" i="4"/>
  <c r="E199" i="4" s="1"/>
  <c r="D229" i="4"/>
  <c r="E229" i="4" s="1"/>
  <c r="D294" i="4"/>
  <c r="E294" i="4" s="1"/>
  <c r="D64" i="4"/>
  <c r="E64" i="4" s="1"/>
  <c r="D231" i="4"/>
  <c r="E231" i="4" s="1"/>
  <c r="D151" i="4"/>
  <c r="E151" i="4" s="1"/>
  <c r="D87" i="4"/>
  <c r="E87" i="4" s="1"/>
  <c r="D251" i="4"/>
  <c r="E251" i="4" s="1"/>
  <c r="D289" i="4"/>
  <c r="E289" i="4" s="1"/>
  <c r="D116" i="4"/>
  <c r="E116" i="4" s="1"/>
  <c r="D171" i="4"/>
  <c r="E171" i="4" s="1"/>
  <c r="D89" i="4"/>
  <c r="E89" i="4" s="1"/>
  <c r="D136" i="4"/>
  <c r="E136" i="4" s="1"/>
  <c r="D282" i="4"/>
  <c r="E282" i="4" s="1"/>
  <c r="D173" i="4"/>
  <c r="E173" i="4" s="1"/>
  <c r="D301" i="4"/>
  <c r="E301" i="4" s="1"/>
  <c r="D49" i="4"/>
  <c r="E49" i="4" s="1"/>
  <c r="D228" i="4"/>
  <c r="E228" i="4" s="1"/>
  <c r="D164" i="4"/>
  <c r="E164" i="4" s="1"/>
  <c r="D148" i="4"/>
  <c r="E148" i="4" s="1"/>
  <c r="D147" i="4"/>
  <c r="E147" i="4" s="1"/>
  <c r="D169" i="4"/>
  <c r="E169" i="4" s="1"/>
  <c r="D110" i="4"/>
  <c r="E110" i="4" s="1"/>
  <c r="D165" i="4"/>
  <c r="E165" i="4" s="1"/>
  <c r="D307" i="4"/>
  <c r="E307" i="4" s="1"/>
  <c r="D143" i="4"/>
  <c r="E143" i="4" s="1"/>
  <c r="D150" i="4"/>
  <c r="E150" i="4" s="1"/>
  <c r="D85" i="4"/>
  <c r="E85" i="4" s="1"/>
  <c r="D20" i="4"/>
  <c r="E20" i="4" s="1"/>
  <c r="D181" i="4"/>
  <c r="E181" i="4" s="1"/>
  <c r="D296" i="4"/>
  <c r="E296" i="4" s="1"/>
  <c r="D30" i="4"/>
  <c r="E30" i="4" s="1"/>
  <c r="D168" i="4"/>
  <c r="E168" i="4" s="1"/>
  <c r="D300" i="4"/>
  <c r="E300" i="4" s="1"/>
  <c r="D271" i="4"/>
  <c r="E271" i="4" s="1"/>
  <c r="D118" i="4"/>
  <c r="E118" i="4" s="1"/>
  <c r="D238" i="4"/>
  <c r="E238" i="4" s="1"/>
  <c r="D95" i="4"/>
  <c r="E95" i="4" s="1"/>
  <c r="D255" i="4"/>
  <c r="E255" i="4" s="1"/>
  <c r="D309" i="4"/>
  <c r="E309" i="4" s="1"/>
  <c r="D50" i="4"/>
  <c r="E50" i="4" s="1"/>
  <c r="F50" i="4" s="1"/>
  <c r="D253" i="4"/>
  <c r="E253" i="4" s="1"/>
  <c r="D306" i="4"/>
  <c r="E306" i="4" s="1"/>
  <c r="D249" i="4"/>
  <c r="E249" i="4" s="1"/>
  <c r="D247" i="4"/>
  <c r="E247" i="4" s="1"/>
  <c r="D260" i="4"/>
  <c r="E260" i="4" s="1"/>
  <c r="D121" i="4"/>
  <c r="E121" i="4" s="1"/>
  <c r="D113" i="4"/>
  <c r="E113" i="4" s="1"/>
  <c r="D152" i="4"/>
  <c r="E152" i="4" s="1"/>
  <c r="D66" i="4"/>
  <c r="E66" i="4" s="1"/>
  <c r="D222" i="4"/>
  <c r="E222" i="4" s="1"/>
  <c r="D32" i="4"/>
  <c r="E32" i="4" s="1"/>
  <c r="D63" i="4"/>
  <c r="E63" i="4" s="1"/>
  <c r="D216" i="4"/>
  <c r="E216" i="4" s="1"/>
  <c r="D102" i="4"/>
  <c r="E102" i="4" s="1"/>
  <c r="D283" i="4"/>
  <c r="E283" i="4" s="1"/>
  <c r="D140" i="4"/>
  <c r="E140" i="4" s="1"/>
  <c r="D69" i="4"/>
  <c r="E69" i="4" s="1"/>
  <c r="D254" i="4"/>
  <c r="E254" i="4" s="1"/>
  <c r="D34" i="4"/>
  <c r="E34" i="4" s="1"/>
  <c r="D170" i="4"/>
  <c r="E170" i="4" s="1"/>
  <c r="D146" i="4"/>
  <c r="E146" i="4" s="1"/>
  <c r="D127" i="4"/>
  <c r="E127" i="4" s="1"/>
  <c r="D126" i="4"/>
  <c r="E126" i="4" s="1"/>
  <c r="D123" i="4"/>
  <c r="E123" i="4" s="1"/>
  <c r="D204" i="4"/>
  <c r="E204" i="4" s="1"/>
  <c r="D16" i="4"/>
  <c r="E16" i="4" s="1"/>
  <c r="D312" i="4"/>
  <c r="E312" i="4" s="1"/>
  <c r="D11" i="4"/>
  <c r="E11" i="4" s="1"/>
  <c r="D35" i="4"/>
  <c r="E35" i="4" s="1"/>
  <c r="D303" i="4"/>
  <c r="E303" i="4" s="1"/>
  <c r="D60" i="4"/>
  <c r="E60" i="4" s="1"/>
  <c r="D288" i="4"/>
  <c r="E288" i="4" s="1"/>
  <c r="D189" i="4"/>
  <c r="E189" i="4" s="1"/>
  <c r="D250" i="4"/>
  <c r="E250" i="4" s="1"/>
  <c r="D3" i="4"/>
  <c r="E3" i="4" s="1"/>
  <c r="D141" i="4"/>
  <c r="E141" i="4" s="1"/>
  <c r="D225" i="4"/>
  <c r="E225" i="4" s="1"/>
  <c r="D27" i="4"/>
  <c r="E27" i="4" s="1"/>
  <c r="D270" i="4"/>
  <c r="E270" i="4" s="1"/>
  <c r="D205" i="4"/>
  <c r="E205" i="4" s="1"/>
  <c r="D94" i="4"/>
  <c r="E94" i="4" s="1"/>
  <c r="D59" i="4"/>
  <c r="E59" i="4" s="1"/>
  <c r="D90" i="4"/>
  <c r="E90" i="4" s="1"/>
  <c r="D166" i="4"/>
  <c r="E166" i="4" s="1"/>
  <c r="D105" i="4"/>
  <c r="E105" i="4" s="1"/>
  <c r="D211" i="4"/>
  <c r="E211" i="4" s="1"/>
  <c r="D29" i="4"/>
  <c r="E29" i="4" s="1"/>
  <c r="D39" i="4"/>
  <c r="E39" i="4" s="1"/>
  <c r="D256" i="4"/>
  <c r="E256" i="4" s="1"/>
  <c r="D234" i="4"/>
  <c r="E234" i="4" s="1"/>
  <c r="D266" i="4"/>
  <c r="E266" i="4" s="1"/>
  <c r="D44" i="4"/>
  <c r="E44" i="4" s="1"/>
  <c r="D248" i="4"/>
  <c r="E248" i="4" s="1"/>
  <c r="D2" i="4"/>
  <c r="E2" i="4" s="1"/>
  <c r="F2" i="4" s="1"/>
  <c r="D261" i="4"/>
  <c r="E261" i="4" s="1"/>
  <c r="D56" i="4"/>
  <c r="E56" i="4" s="1"/>
  <c r="D120" i="4"/>
  <c r="E120" i="4" s="1"/>
  <c r="D304" i="4"/>
  <c r="E304" i="4" s="1"/>
  <c r="D13" i="4"/>
  <c r="E13" i="4" s="1"/>
  <c r="D313" i="4"/>
  <c r="E313" i="4" s="1"/>
  <c r="D12" i="4"/>
  <c r="E12" i="4" s="1"/>
  <c r="D268" i="4"/>
  <c r="E268" i="4" s="1"/>
  <c r="D187" i="4"/>
  <c r="E187" i="4" s="1"/>
  <c r="D43" i="4"/>
  <c r="E43" i="4" s="1"/>
  <c r="D7" i="4"/>
  <c r="E7" i="4" s="1"/>
  <c r="D258" i="4"/>
  <c r="E258" i="4" s="1"/>
  <c r="D97" i="4"/>
  <c r="E97" i="4" s="1"/>
  <c r="D162" i="4"/>
  <c r="E162" i="4" s="1"/>
  <c r="D286" i="4"/>
  <c r="E286" i="4" s="1"/>
  <c r="D68" i="4"/>
  <c r="E68" i="4" s="1"/>
  <c r="D302" i="4"/>
  <c r="E302" i="4" s="1"/>
  <c r="D144" i="4"/>
  <c r="E144" i="4" s="1"/>
  <c r="D308" i="4"/>
  <c r="E308" i="4" s="1"/>
  <c r="D230" i="4"/>
  <c r="E230" i="4" s="1"/>
  <c r="D188" i="4"/>
  <c r="E188" i="4" s="1"/>
  <c r="D197" i="4"/>
  <c r="E197" i="4" s="1"/>
  <c r="D76" i="4"/>
  <c r="E76" i="4" s="1"/>
  <c r="D207" i="4"/>
  <c r="E207" i="4" s="1"/>
  <c r="D269" i="4"/>
  <c r="E269" i="4" s="1"/>
  <c r="D109" i="4"/>
  <c r="E109" i="4" s="1"/>
  <c r="D293" i="4"/>
  <c r="E293" i="4" s="1"/>
  <c r="D112" i="4"/>
  <c r="E112" i="4" s="1"/>
  <c r="D117" i="4"/>
  <c r="E117" i="4" s="1"/>
  <c r="D51" i="4"/>
  <c r="E51" i="4" s="1"/>
  <c r="D65" i="4"/>
  <c r="E65" i="4" s="1"/>
  <c r="D70" i="4"/>
  <c r="E70" i="4" s="1"/>
  <c r="D81" i="4"/>
  <c r="E81" i="4" s="1"/>
  <c r="D157" i="4"/>
  <c r="E157" i="4" s="1"/>
  <c r="D275" i="4"/>
  <c r="E275" i="4" s="1"/>
  <c r="D239" i="4"/>
  <c r="E239" i="4" s="1"/>
  <c r="D131" i="4"/>
  <c r="E131" i="4" s="1"/>
  <c r="D14" i="4"/>
  <c r="E14" i="4" s="1"/>
  <c r="D243" i="4"/>
  <c r="E243" i="4" s="1"/>
  <c r="D198" i="4"/>
  <c r="E198" i="4" s="1"/>
  <c r="D280" i="4"/>
  <c r="E280" i="4" s="1"/>
  <c r="D24" i="4"/>
  <c r="E24" i="4" s="1"/>
  <c r="D33" i="4"/>
  <c r="E33" i="4" s="1"/>
  <c r="D314" i="4"/>
  <c r="E314" i="4" s="1"/>
  <c r="D96" i="4"/>
  <c r="E96" i="4" s="1"/>
  <c r="F96" i="4" s="1"/>
  <c r="G96" i="4" s="1"/>
  <c r="D232" i="4"/>
  <c r="E232" i="4" s="1"/>
  <c r="D264" i="4"/>
  <c r="E264" i="4" s="1"/>
  <c r="F264" i="4" s="1"/>
  <c r="D115" i="4"/>
  <c r="E115" i="4" s="1"/>
  <c r="D104" i="4"/>
  <c r="E104" i="4" s="1"/>
  <c r="D236" i="4"/>
  <c r="E236" i="4" s="1"/>
  <c r="D227" i="4"/>
  <c r="E227" i="4" s="1"/>
  <c r="D99" i="4"/>
  <c r="E99" i="4" s="1"/>
  <c r="D178" i="4"/>
  <c r="E178" i="4" s="1"/>
  <c r="D158" i="4"/>
  <c r="E158" i="4" s="1"/>
  <c r="D224" i="4"/>
  <c r="E224" i="4" s="1"/>
  <c r="D219" i="4"/>
  <c r="E219" i="4" s="1"/>
  <c r="D276" i="4"/>
  <c r="E276" i="4" s="1"/>
  <c r="D246" i="4"/>
  <c r="E246" i="4" s="1"/>
  <c r="D8" i="4"/>
  <c r="E8" i="4" s="1"/>
  <c r="D279" i="4"/>
  <c r="E279" i="4" s="1"/>
  <c r="D311" i="4"/>
  <c r="E311" i="4" s="1"/>
  <c r="D139" i="4"/>
  <c r="E139" i="4" s="1"/>
  <c r="D244" i="4"/>
  <c r="E244" i="4" s="1"/>
  <c r="D285" i="4"/>
  <c r="E285" i="4" s="1"/>
  <c r="D19" i="4"/>
  <c r="E19" i="4" s="1"/>
  <c r="D61" i="4"/>
  <c r="E61" i="4" s="1"/>
  <c r="D23" i="4"/>
  <c r="E23" i="4" s="1"/>
  <c r="D242" i="4"/>
  <c r="E242" i="4" s="1"/>
  <c r="D167" i="4"/>
  <c r="E167" i="4" s="1"/>
  <c r="D45" i="4"/>
  <c r="E45" i="4" s="1"/>
  <c r="D208" i="4"/>
  <c r="E208" i="4" s="1"/>
  <c r="D73" i="4"/>
  <c r="E73" i="4" s="1"/>
  <c r="D273" i="4"/>
  <c r="E273" i="4" s="1"/>
  <c r="D134" i="4"/>
  <c r="E134" i="4" s="1"/>
  <c r="D100" i="4"/>
  <c r="E100" i="4" s="1"/>
  <c r="D201" i="4"/>
  <c r="E201" i="4" s="1"/>
  <c r="D272" i="4"/>
  <c r="E272" i="4" s="1"/>
  <c r="D305" i="4"/>
  <c r="E305" i="4" s="1"/>
  <c r="D47" i="4"/>
  <c r="E47" i="4" s="1"/>
  <c r="D263" i="4"/>
  <c r="E263" i="4" s="1"/>
  <c r="D26" i="4"/>
  <c r="E26" i="4" s="1"/>
  <c r="D195" i="4"/>
  <c r="E195" i="4" s="1"/>
  <c r="D200" i="4"/>
  <c r="E200" i="4" s="1"/>
  <c r="D31" i="4"/>
  <c r="E31" i="4" s="1"/>
  <c r="D154" i="4"/>
  <c r="E154" i="4" s="1"/>
  <c r="D153" i="4"/>
  <c r="E153" i="4" s="1"/>
  <c r="D252" i="4"/>
  <c r="E252" i="4" s="1"/>
  <c r="D290" i="4"/>
  <c r="E290" i="4" s="1"/>
  <c r="D218" i="4"/>
  <c r="E218" i="4" s="1"/>
  <c r="D213" i="4"/>
  <c r="E213" i="4" s="1"/>
  <c r="D54" i="4"/>
  <c r="E54" i="4" s="1"/>
  <c r="D206" i="4"/>
  <c r="E206" i="4" s="1"/>
  <c r="D128" i="4"/>
  <c r="E128" i="4" s="1"/>
  <c r="D161" i="4"/>
  <c r="E161" i="4" s="1"/>
  <c r="D53" i="4"/>
  <c r="E53" i="4" s="1"/>
  <c r="D55" i="4"/>
  <c r="E55" i="4" s="1"/>
  <c r="D124" i="4"/>
  <c r="E124" i="4" s="1"/>
  <c r="D48" i="4"/>
  <c r="E48" i="4" s="1"/>
  <c r="D93" i="4"/>
  <c r="E93" i="4" s="1"/>
  <c r="D98" i="4"/>
  <c r="E98" i="4" s="1"/>
  <c r="D15" i="4"/>
  <c r="E15" i="4" s="1"/>
  <c r="D310" i="4"/>
  <c r="E310" i="4" s="1"/>
  <c r="D291" i="4"/>
  <c r="E291" i="4" s="1"/>
  <c r="D114" i="4"/>
  <c r="E114" i="4" s="1"/>
  <c r="D145" i="4"/>
  <c r="E145" i="4" s="1"/>
  <c r="D41" i="4"/>
  <c r="E41" i="4" s="1"/>
  <c r="D22" i="4"/>
  <c r="E22" i="4" s="1"/>
  <c r="D159" i="4"/>
  <c r="E159" i="4" s="1"/>
  <c r="D196" i="4"/>
  <c r="E196" i="4" s="1"/>
  <c r="D179" i="4"/>
  <c r="E179" i="4" s="1"/>
  <c r="D4" i="4"/>
  <c r="E4" i="4" s="1"/>
  <c r="D265" i="4"/>
  <c r="E265" i="4" s="1"/>
  <c r="D284" i="4"/>
  <c r="E284" i="4" s="1"/>
  <c r="D163" i="4"/>
  <c r="E163" i="4" s="1"/>
  <c r="D214" i="4"/>
  <c r="E214" i="4" s="1"/>
  <c r="D132" i="4"/>
  <c r="E132" i="4" s="1"/>
  <c r="D101" i="4"/>
  <c r="E101" i="4" s="1"/>
  <c r="D42" i="4"/>
  <c r="E42" i="4" s="1"/>
  <c r="D262" i="4"/>
  <c r="E262" i="4" s="1"/>
  <c r="D111" i="4"/>
  <c r="E111" i="4" s="1"/>
  <c r="D155" i="4"/>
  <c r="E155" i="4" s="1"/>
  <c r="D210" i="4"/>
  <c r="E210" i="4" s="1"/>
  <c r="D209" i="4"/>
  <c r="E209" i="4" s="1"/>
  <c r="D36" i="4"/>
  <c r="E36" i="4" s="1"/>
  <c r="D221" i="4"/>
  <c r="E221" i="4" s="1"/>
  <c r="D86" i="4"/>
  <c r="E86" i="4" s="1"/>
  <c r="D180" i="4"/>
  <c r="E180" i="4" s="1"/>
  <c r="D240" i="4"/>
  <c r="E240" i="4" s="1"/>
  <c r="D57" i="4"/>
  <c r="E57" i="4" s="1"/>
  <c r="D82" i="4"/>
  <c r="E82" i="4" s="1"/>
  <c r="D174" i="4"/>
  <c r="E174" i="4" s="1"/>
  <c r="D106" i="4"/>
  <c r="E106" i="4" s="1"/>
  <c r="D295" i="4"/>
  <c r="E295" i="4" s="1"/>
  <c r="D299" i="4"/>
  <c r="E299" i="4" s="1"/>
  <c r="D129" i="4"/>
  <c r="E129" i="4" s="1"/>
  <c r="D215" i="4"/>
  <c r="E215" i="4" s="1"/>
  <c r="D182" i="4"/>
  <c r="E182" i="4" s="1"/>
  <c r="D274" i="4"/>
  <c r="E274" i="4" s="1"/>
  <c r="D223" i="4"/>
  <c r="E223" i="4" s="1"/>
  <c r="D193" i="4"/>
  <c r="E193" i="4" s="1"/>
  <c r="D186" i="4"/>
  <c r="E186" i="4" s="1"/>
  <c r="D194" i="4"/>
  <c r="E194" i="4" s="1"/>
  <c r="D72" i="4"/>
  <c r="E72" i="4" s="1"/>
  <c r="D176" i="4"/>
  <c r="E176" i="4" s="1"/>
  <c r="D233" i="4"/>
  <c r="E233" i="4" s="1"/>
  <c r="D7"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D2" i="1"/>
  <c r="D3" i="1"/>
  <c r="D4" i="1"/>
  <c r="D5" i="1"/>
  <c r="D6"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X2" i="1"/>
  <c r="Y2" i="1"/>
  <c r="X3" i="1"/>
  <c r="Y3" i="1"/>
  <c r="X4" i="1"/>
  <c r="Y4" i="1"/>
  <c r="X5" i="1"/>
  <c r="Y5" i="1"/>
  <c r="X6" i="1"/>
  <c r="Y6" i="1"/>
  <c r="X7" i="1"/>
  <c r="Y7" i="1"/>
  <c r="X8" i="1"/>
  <c r="Y8" i="1"/>
  <c r="X9" i="1"/>
  <c r="Y9" i="1"/>
  <c r="X10" i="1"/>
  <c r="Y10" i="1"/>
  <c r="X11" i="1"/>
  <c r="Y11" i="1"/>
  <c r="X12" i="1"/>
  <c r="Y12" i="1"/>
  <c r="X13" i="1"/>
  <c r="Y13" i="1"/>
  <c r="X14" i="1"/>
  <c r="Y14" i="1"/>
  <c r="X15" i="1"/>
  <c r="Y15" i="1"/>
  <c r="X16" i="1"/>
  <c r="Y16" i="1"/>
  <c r="X17" i="1"/>
  <c r="Y17" i="1"/>
  <c r="X18" i="1"/>
  <c r="Y18" i="1"/>
  <c r="X19" i="1"/>
  <c r="Y19" i="1"/>
  <c r="X20" i="1"/>
  <c r="Y20" i="1"/>
  <c r="X21" i="1"/>
  <c r="Y21" i="1"/>
  <c r="X22" i="1"/>
  <c r="Y22" i="1"/>
  <c r="X23" i="1"/>
  <c r="Y23" i="1"/>
  <c r="X24" i="1"/>
  <c r="Y24" i="1"/>
  <c r="X25" i="1"/>
  <c r="Y25" i="1"/>
  <c r="X26" i="1"/>
  <c r="Y26" i="1"/>
  <c r="X27" i="1"/>
  <c r="Y27" i="1"/>
  <c r="X28" i="1"/>
  <c r="Y28" i="1"/>
  <c r="X29" i="1"/>
  <c r="Y29" i="1"/>
  <c r="X30" i="1"/>
  <c r="Y30" i="1"/>
  <c r="X31" i="1"/>
  <c r="Y31" i="1"/>
  <c r="X32" i="1"/>
  <c r="Y32" i="1"/>
  <c r="X33" i="1"/>
  <c r="Y33" i="1"/>
  <c r="X34" i="1"/>
  <c r="Y34" i="1"/>
  <c r="X35" i="1"/>
  <c r="Y35" i="1"/>
  <c r="X36" i="1"/>
  <c r="Y36" i="1"/>
  <c r="X37" i="1"/>
  <c r="Y37" i="1"/>
  <c r="X38" i="1"/>
  <c r="Y38" i="1"/>
  <c r="X39" i="1"/>
  <c r="Y39" i="1"/>
  <c r="X40" i="1"/>
  <c r="Y40" i="1"/>
  <c r="X41" i="1"/>
  <c r="Y41" i="1"/>
  <c r="X42" i="1"/>
  <c r="Y42" i="1"/>
  <c r="X43" i="1"/>
  <c r="Y43" i="1"/>
  <c r="X44" i="1"/>
  <c r="Y44" i="1"/>
  <c r="X45" i="1"/>
  <c r="Y45" i="1"/>
  <c r="X46" i="1"/>
  <c r="Y46" i="1"/>
  <c r="X47" i="1"/>
  <c r="Y47" i="1"/>
  <c r="X48" i="1"/>
  <c r="Y48" i="1"/>
  <c r="X49" i="1"/>
  <c r="Y49" i="1"/>
  <c r="X50" i="1"/>
  <c r="Y50" i="1"/>
  <c r="X51" i="1"/>
  <c r="Y51" i="1"/>
  <c r="X52" i="1"/>
  <c r="Y52" i="1"/>
  <c r="X53" i="1"/>
  <c r="Y53" i="1"/>
  <c r="X54" i="1"/>
  <c r="Y54" i="1"/>
  <c r="X55" i="1"/>
  <c r="Y55" i="1"/>
  <c r="X56" i="1"/>
  <c r="Y56" i="1"/>
  <c r="X57" i="1"/>
  <c r="Y57" i="1"/>
  <c r="X58" i="1"/>
  <c r="Y58" i="1"/>
  <c r="X59" i="1"/>
  <c r="Y59" i="1"/>
  <c r="X60" i="1"/>
  <c r="Y60" i="1"/>
  <c r="X61" i="1"/>
  <c r="Y61" i="1"/>
  <c r="X62" i="1"/>
  <c r="Y62" i="1"/>
  <c r="X63" i="1"/>
  <c r="Y63" i="1"/>
  <c r="X64" i="1"/>
  <c r="Y64" i="1"/>
  <c r="X65" i="1"/>
  <c r="Y65" i="1"/>
  <c r="X66" i="1"/>
  <c r="Y66" i="1"/>
  <c r="X67" i="1"/>
  <c r="Y67" i="1"/>
  <c r="X68" i="1"/>
  <c r="Y68" i="1"/>
  <c r="X69" i="1"/>
  <c r="Y69" i="1"/>
  <c r="X70" i="1"/>
  <c r="Y70" i="1"/>
  <c r="X71" i="1"/>
  <c r="Y71" i="1"/>
  <c r="X72" i="1"/>
  <c r="Y72" i="1"/>
  <c r="X73" i="1"/>
  <c r="Y73" i="1"/>
  <c r="X74" i="1"/>
  <c r="Y74" i="1"/>
  <c r="X75" i="1"/>
  <c r="Y75" i="1"/>
  <c r="X76" i="1"/>
  <c r="Y76" i="1"/>
  <c r="X77" i="1"/>
  <c r="Y77" i="1"/>
  <c r="X78" i="1"/>
  <c r="Y78" i="1"/>
  <c r="X79" i="1"/>
  <c r="Y79" i="1"/>
  <c r="X80" i="1"/>
  <c r="Y80" i="1"/>
  <c r="X81" i="1"/>
  <c r="Y81" i="1"/>
  <c r="X82" i="1"/>
  <c r="Y82" i="1"/>
  <c r="X83" i="1"/>
  <c r="Y83" i="1"/>
  <c r="X84" i="1"/>
  <c r="Y84" i="1"/>
  <c r="X85" i="1"/>
  <c r="Y85" i="1"/>
  <c r="X86" i="1"/>
  <c r="Y86" i="1"/>
  <c r="X87" i="1"/>
  <c r="Y87" i="1"/>
  <c r="X88" i="1"/>
  <c r="Z90" i="1" s="1"/>
  <c r="Y88" i="1"/>
  <c r="X89" i="1"/>
  <c r="Y89" i="1"/>
  <c r="X90" i="1"/>
  <c r="Y90" i="1"/>
  <c r="X91" i="1"/>
  <c r="Y91" i="1"/>
  <c r="X92" i="1"/>
  <c r="Y92" i="1"/>
  <c r="X93" i="1"/>
  <c r="Y93" i="1"/>
  <c r="X94" i="1"/>
  <c r="Y94" i="1"/>
  <c r="X95" i="1"/>
  <c r="Y95" i="1"/>
  <c r="X96" i="1"/>
  <c r="Y96" i="1"/>
  <c r="X97" i="1"/>
  <c r="Y97" i="1"/>
  <c r="X98" i="1"/>
  <c r="Y98" i="1"/>
  <c r="X99" i="1"/>
  <c r="Y99" i="1"/>
  <c r="X100" i="1"/>
  <c r="Y100" i="1"/>
  <c r="X101" i="1"/>
  <c r="Y101" i="1"/>
  <c r="X102" i="1"/>
  <c r="Y102" i="1"/>
  <c r="X103" i="1"/>
  <c r="Y103" i="1"/>
  <c r="X104" i="1"/>
  <c r="Y104" i="1"/>
  <c r="X105" i="1"/>
  <c r="Y105" i="1"/>
  <c r="X106" i="1"/>
  <c r="Y106" i="1"/>
  <c r="X107" i="1"/>
  <c r="Y107" i="1"/>
  <c r="X108" i="1"/>
  <c r="Y108" i="1"/>
  <c r="X109" i="1"/>
  <c r="Y109" i="1"/>
  <c r="X110" i="1"/>
  <c r="Z112" i="1" s="1"/>
  <c r="Y110" i="1"/>
  <c r="X111" i="1"/>
  <c r="Y111" i="1"/>
  <c r="X112" i="1"/>
  <c r="Y112" i="1"/>
  <c r="X113" i="1"/>
  <c r="Y113" i="1"/>
  <c r="X114" i="1"/>
  <c r="Y114" i="1"/>
  <c r="X115" i="1"/>
  <c r="Y115" i="1"/>
  <c r="X116" i="1"/>
  <c r="Y116" i="1"/>
  <c r="X117" i="1"/>
  <c r="Y117" i="1"/>
  <c r="X118" i="1"/>
  <c r="Y118" i="1"/>
  <c r="X119" i="1"/>
  <c r="Y119" i="1"/>
  <c r="X120" i="1"/>
  <c r="Z122" i="1" s="1"/>
  <c r="Y120" i="1"/>
  <c r="X121" i="1"/>
  <c r="Y121" i="1"/>
  <c r="X122" i="1"/>
  <c r="Y122" i="1"/>
  <c r="X123" i="1"/>
  <c r="Y123" i="1"/>
  <c r="X124" i="1"/>
  <c r="Y124" i="1"/>
  <c r="X125" i="1"/>
  <c r="Y125" i="1"/>
  <c r="X126" i="1"/>
  <c r="Y126" i="1"/>
  <c r="X127" i="1"/>
  <c r="Y127" i="1"/>
  <c r="X128" i="1"/>
  <c r="Y128" i="1"/>
  <c r="X129" i="1"/>
  <c r="Y129" i="1"/>
  <c r="X130" i="1"/>
  <c r="Y130" i="1"/>
  <c r="X131" i="1"/>
  <c r="Y131" i="1"/>
  <c r="X132" i="1"/>
  <c r="Z134" i="1" s="1"/>
  <c r="Y132" i="1"/>
  <c r="X133" i="1"/>
  <c r="Y133" i="1"/>
  <c r="X134" i="1"/>
  <c r="Y134" i="1"/>
  <c r="X135" i="1"/>
  <c r="Y135" i="1"/>
  <c r="X136" i="1"/>
  <c r="Y136" i="1"/>
  <c r="X137" i="1"/>
  <c r="Y137" i="1"/>
  <c r="X138" i="1"/>
  <c r="Y138" i="1"/>
  <c r="X139" i="1"/>
  <c r="Y139" i="1"/>
  <c r="X140" i="1"/>
  <c r="Z142" i="1" s="1"/>
  <c r="Y140" i="1"/>
  <c r="X141" i="1"/>
  <c r="Y141" i="1"/>
  <c r="X142" i="1"/>
  <c r="Y142" i="1"/>
  <c r="X143" i="1"/>
  <c r="Y143" i="1"/>
  <c r="X144" i="1"/>
  <c r="Y144" i="1"/>
  <c r="X145" i="1"/>
  <c r="Y145" i="1"/>
  <c r="X146" i="1"/>
  <c r="Y146" i="1"/>
  <c r="X147" i="1"/>
  <c r="Y147" i="1"/>
  <c r="X148" i="1"/>
  <c r="Y148" i="1"/>
  <c r="X149" i="1"/>
  <c r="Y149" i="1"/>
  <c r="X150" i="1"/>
  <c r="Y150" i="1"/>
  <c r="X151" i="1"/>
  <c r="Y151" i="1"/>
  <c r="X152" i="1"/>
  <c r="Y152" i="1"/>
  <c r="X153" i="1"/>
  <c r="Y153" i="1"/>
  <c r="X154" i="1"/>
  <c r="Y154" i="1"/>
  <c r="X155" i="1"/>
  <c r="Y155" i="1"/>
  <c r="X156" i="1"/>
  <c r="Y156" i="1"/>
  <c r="X157" i="1"/>
  <c r="Y157" i="1"/>
  <c r="X158" i="1"/>
  <c r="Y158" i="1"/>
  <c r="X159" i="1"/>
  <c r="Y159" i="1"/>
  <c r="X160" i="1"/>
  <c r="Y160" i="1"/>
  <c r="X161" i="1"/>
  <c r="Y161" i="1"/>
  <c r="X162" i="1"/>
  <c r="Y162" i="1"/>
  <c r="X163" i="1"/>
  <c r="Y163" i="1"/>
  <c r="X164" i="1"/>
  <c r="Z166" i="1" s="1"/>
  <c r="Y164" i="1"/>
  <c r="X165" i="1"/>
  <c r="Y165" i="1"/>
  <c r="X166" i="1"/>
  <c r="Y166" i="1"/>
  <c r="X167" i="1"/>
  <c r="Y167" i="1"/>
  <c r="X168" i="1"/>
  <c r="Y168" i="1"/>
  <c r="X169" i="1"/>
  <c r="Y169" i="1"/>
  <c r="X170" i="1"/>
  <c r="Y170" i="1"/>
  <c r="X171" i="1"/>
  <c r="Y171" i="1"/>
  <c r="X172" i="1"/>
  <c r="Y172" i="1"/>
  <c r="X173" i="1"/>
  <c r="Y173" i="1"/>
  <c r="X174" i="1"/>
  <c r="Y174" i="1"/>
  <c r="X175" i="1"/>
  <c r="Y175" i="1"/>
  <c r="X176" i="1"/>
  <c r="Y176" i="1"/>
  <c r="X177" i="1"/>
  <c r="Y177" i="1"/>
  <c r="X178" i="1"/>
  <c r="Z180" i="1" s="1"/>
  <c r="Y178" i="1"/>
  <c r="X179" i="1"/>
  <c r="Y179" i="1"/>
  <c r="X180" i="1"/>
  <c r="Y180" i="1"/>
  <c r="X181" i="1"/>
  <c r="Y181" i="1"/>
  <c r="X182" i="1"/>
  <c r="Y182" i="1"/>
  <c r="X183" i="1"/>
  <c r="Y183" i="1"/>
  <c r="X184" i="1"/>
  <c r="Y184" i="1"/>
  <c r="X185" i="1"/>
  <c r="Y185" i="1"/>
  <c r="X186" i="1"/>
  <c r="Y186" i="1"/>
  <c r="X187" i="1"/>
  <c r="Y187" i="1"/>
  <c r="X188" i="1"/>
  <c r="Y188" i="1"/>
  <c r="X189" i="1"/>
  <c r="Y189" i="1"/>
  <c r="X190" i="1"/>
  <c r="Y190" i="1"/>
  <c r="X191" i="1"/>
  <c r="Y191" i="1"/>
  <c r="X192" i="1"/>
  <c r="Y192" i="1"/>
  <c r="X193" i="1"/>
  <c r="Y193" i="1"/>
  <c r="X194" i="1"/>
  <c r="Y194" i="1"/>
  <c r="X195" i="1"/>
  <c r="Y195" i="1"/>
  <c r="X196" i="1"/>
  <c r="Y196" i="1"/>
  <c r="X197" i="1"/>
  <c r="Y197" i="1"/>
  <c r="X198" i="1"/>
  <c r="Y198" i="1"/>
  <c r="X199" i="1"/>
  <c r="Y199" i="1"/>
  <c r="X200" i="1"/>
  <c r="Y200" i="1"/>
  <c r="X201" i="1"/>
  <c r="Y201" i="1"/>
  <c r="X202" i="1"/>
  <c r="Y202" i="1"/>
  <c r="X203" i="1"/>
  <c r="Y203" i="1"/>
  <c r="X204" i="1"/>
  <c r="Y204" i="1"/>
  <c r="X205" i="1"/>
  <c r="Y205" i="1"/>
  <c r="X206" i="1"/>
  <c r="Y206" i="1"/>
  <c r="X207" i="1"/>
  <c r="Y207" i="1"/>
  <c r="X208" i="1"/>
  <c r="Y208" i="1"/>
  <c r="X209" i="1"/>
  <c r="Y209" i="1"/>
  <c r="X210" i="1"/>
  <c r="Y210" i="1"/>
  <c r="X211" i="1"/>
  <c r="Y211" i="1"/>
  <c r="X212" i="1"/>
  <c r="Y212" i="1"/>
  <c r="X213" i="1"/>
  <c r="Y213" i="1"/>
  <c r="X214" i="1"/>
  <c r="Y214" i="1"/>
  <c r="X215" i="1"/>
  <c r="Y215" i="1"/>
  <c r="X216" i="1"/>
  <c r="Y216" i="1"/>
  <c r="X217" i="1"/>
  <c r="Y217" i="1"/>
  <c r="X218" i="1"/>
  <c r="Z220" i="1" s="1"/>
  <c r="Y218" i="1"/>
  <c r="X219" i="1"/>
  <c r="Y219" i="1"/>
  <c r="X220" i="1"/>
  <c r="Y220" i="1"/>
  <c r="X221" i="1"/>
  <c r="Y221" i="1"/>
  <c r="X222" i="1"/>
  <c r="Y222" i="1"/>
  <c r="X223" i="1"/>
  <c r="Y223" i="1"/>
  <c r="X224" i="1"/>
  <c r="Y224" i="1"/>
  <c r="X225" i="1"/>
  <c r="Y225" i="1"/>
  <c r="X226" i="1"/>
  <c r="Y226" i="1"/>
  <c r="X227" i="1"/>
  <c r="Y227" i="1"/>
  <c r="X228" i="1"/>
  <c r="Y228" i="1"/>
  <c r="X229" i="1"/>
  <c r="Y229" i="1"/>
  <c r="X230" i="1"/>
  <c r="Z232" i="1" s="1"/>
  <c r="Y230" i="1"/>
  <c r="X231" i="1"/>
  <c r="Y231" i="1"/>
  <c r="X232" i="1"/>
  <c r="Y232" i="1"/>
  <c r="X233" i="1"/>
  <c r="Y233" i="1"/>
  <c r="X234" i="1"/>
  <c r="Y234" i="1"/>
  <c r="X235" i="1"/>
  <c r="Y235" i="1"/>
  <c r="X236" i="1"/>
  <c r="Y236" i="1"/>
  <c r="X237" i="1"/>
  <c r="Y237" i="1"/>
  <c r="X238" i="1"/>
  <c r="Y238" i="1"/>
  <c r="X239" i="1"/>
  <c r="Y239" i="1"/>
  <c r="X240" i="1"/>
  <c r="Z242" i="1" s="1"/>
  <c r="Y240" i="1"/>
  <c r="X241" i="1"/>
  <c r="Y241" i="1"/>
  <c r="X242" i="1"/>
  <c r="Y242" i="1"/>
  <c r="X243" i="1"/>
  <c r="Z245" i="1" s="1"/>
  <c r="Y243" i="1"/>
  <c r="X244" i="1"/>
  <c r="Y244" i="1"/>
  <c r="X245" i="1"/>
  <c r="Y245" i="1"/>
  <c r="X246" i="1"/>
  <c r="Y246" i="1"/>
  <c r="X247" i="1"/>
  <c r="Y247" i="1"/>
  <c r="X248" i="1"/>
  <c r="Y248" i="1"/>
  <c r="X249" i="1"/>
  <c r="Y249" i="1"/>
  <c r="X250" i="1"/>
  <c r="Y250" i="1"/>
  <c r="X251" i="1"/>
  <c r="Y251" i="1"/>
  <c r="X252" i="1"/>
  <c r="Y252" i="1"/>
  <c r="X253" i="1"/>
  <c r="Y253" i="1"/>
  <c r="X254" i="1"/>
  <c r="Y254" i="1"/>
  <c r="X255" i="1"/>
  <c r="Y255" i="1"/>
  <c r="X256" i="1"/>
  <c r="Y256" i="1"/>
  <c r="X257" i="1"/>
  <c r="Y257" i="1"/>
  <c r="X258" i="1"/>
  <c r="Z260" i="1" s="1"/>
  <c r="Y258" i="1"/>
  <c r="X259" i="1"/>
  <c r="Z261" i="1" s="1"/>
  <c r="Y259" i="1"/>
  <c r="X260" i="1"/>
  <c r="Y260" i="1"/>
  <c r="X261" i="1"/>
  <c r="Y261" i="1"/>
  <c r="X262" i="1"/>
  <c r="Y262" i="1"/>
  <c r="X263" i="1"/>
  <c r="Y263" i="1"/>
  <c r="X264" i="1"/>
  <c r="Y264" i="1"/>
  <c r="X265" i="1"/>
  <c r="Y265" i="1"/>
  <c r="X266" i="1"/>
  <c r="Y266" i="1"/>
  <c r="X267" i="1"/>
  <c r="Y267" i="1"/>
  <c r="X268" i="1"/>
  <c r="Y268" i="1"/>
  <c r="X269" i="1"/>
  <c r="Y269" i="1"/>
  <c r="X270" i="1"/>
  <c r="Z272" i="1" s="1"/>
  <c r="Y270" i="1"/>
  <c r="X271" i="1"/>
  <c r="Y271" i="1"/>
  <c r="X272" i="1"/>
  <c r="Y272" i="1"/>
  <c r="X273" i="1"/>
  <c r="Y273" i="1"/>
  <c r="X274" i="1"/>
  <c r="Z276" i="1" s="1"/>
  <c r="Y274" i="1"/>
  <c r="X275" i="1"/>
  <c r="Y275" i="1"/>
  <c r="X276" i="1"/>
  <c r="Y276" i="1"/>
  <c r="X277" i="1"/>
  <c r="Y277" i="1"/>
  <c r="X278" i="1"/>
  <c r="Y278" i="1"/>
  <c r="X279" i="1"/>
  <c r="Y279" i="1"/>
  <c r="X280" i="1"/>
  <c r="Y280" i="1"/>
  <c r="X281" i="1"/>
  <c r="Y281" i="1"/>
  <c r="X282" i="1"/>
  <c r="Z284" i="1" s="1"/>
  <c r="Y282" i="1"/>
  <c r="X283" i="1"/>
  <c r="Y283" i="1"/>
  <c r="X284" i="1"/>
  <c r="Y284" i="1"/>
  <c r="X285" i="1"/>
  <c r="Y285" i="1"/>
  <c r="X286" i="1"/>
  <c r="Y286" i="1"/>
  <c r="X287" i="1"/>
  <c r="Y287" i="1"/>
  <c r="X288" i="1"/>
  <c r="Y288" i="1"/>
  <c r="X289" i="1"/>
  <c r="Y289" i="1"/>
  <c r="X290" i="1"/>
  <c r="Y290" i="1"/>
  <c r="X291" i="1"/>
  <c r="Z293" i="1" s="1"/>
  <c r="Y291" i="1"/>
  <c r="X292" i="1"/>
  <c r="Y292" i="1"/>
  <c r="X293" i="1"/>
  <c r="Y293" i="1"/>
  <c r="X294" i="1"/>
  <c r="Y294" i="1"/>
  <c r="X295" i="1"/>
  <c r="Y295" i="1"/>
  <c r="X296" i="1"/>
  <c r="Y296" i="1"/>
  <c r="X297" i="1"/>
  <c r="Y297" i="1"/>
  <c r="X298" i="1"/>
  <c r="Y298" i="1"/>
  <c r="X299" i="1"/>
  <c r="Z301" i="1" s="1"/>
  <c r="Y299" i="1"/>
  <c r="X300" i="1"/>
  <c r="Y300" i="1"/>
  <c r="X301" i="1"/>
  <c r="Y301" i="1"/>
  <c r="X302" i="1"/>
  <c r="Y302" i="1"/>
  <c r="X303" i="1"/>
  <c r="Y303" i="1"/>
  <c r="X304" i="1"/>
  <c r="Y304" i="1"/>
  <c r="X305" i="1"/>
  <c r="Z307" i="1" s="1"/>
  <c r="Y305" i="1"/>
  <c r="X306" i="1"/>
  <c r="Y306" i="1"/>
  <c r="X307" i="1"/>
  <c r="Y307" i="1"/>
  <c r="X308" i="1"/>
  <c r="Y308" i="1"/>
  <c r="X309" i="1"/>
  <c r="Z311" i="1" s="1"/>
  <c r="Y309" i="1"/>
  <c r="X310" i="1"/>
  <c r="Y310" i="1"/>
  <c r="X311" i="1"/>
  <c r="Y311" i="1"/>
  <c r="X312" i="1"/>
  <c r="Y312" i="1"/>
  <c r="X313" i="1"/>
  <c r="Y313" i="1"/>
  <c r="X314" i="1"/>
  <c r="Y314" i="1"/>
  <c r="X315" i="1"/>
  <c r="Y315" i="1"/>
  <c r="X316" i="1"/>
  <c r="Z318" i="1" s="1"/>
  <c r="Y316" i="1"/>
  <c r="X317" i="1"/>
  <c r="Y317" i="1"/>
  <c r="X318" i="1"/>
  <c r="Y318" i="1"/>
  <c r="X319" i="1"/>
  <c r="Y319" i="1"/>
  <c r="X320" i="1"/>
  <c r="Y320" i="1"/>
  <c r="X321" i="1"/>
  <c r="Y321" i="1"/>
  <c r="X322" i="1"/>
  <c r="Y322" i="1"/>
  <c r="X323" i="1"/>
  <c r="Y323" i="1"/>
  <c r="X324" i="1"/>
  <c r="Y324" i="1"/>
  <c r="X325" i="1"/>
  <c r="Y325" i="1"/>
  <c r="X326" i="1"/>
  <c r="Y326" i="1"/>
  <c r="X327" i="1"/>
  <c r="Y327" i="1"/>
  <c r="X328" i="1"/>
  <c r="Y328" i="1"/>
  <c r="X329" i="1"/>
  <c r="Y329" i="1"/>
  <c r="X330" i="1"/>
  <c r="Z332" i="1" s="1"/>
  <c r="Y330" i="1"/>
  <c r="X331" i="1"/>
  <c r="Y331" i="1"/>
  <c r="X332" i="1"/>
  <c r="Y332" i="1"/>
  <c r="X333" i="1"/>
  <c r="Y333" i="1"/>
  <c r="X334" i="1"/>
  <c r="Y334" i="1"/>
  <c r="X335" i="1"/>
  <c r="Y335" i="1"/>
  <c r="X336" i="1"/>
  <c r="Y336" i="1"/>
  <c r="X337" i="1"/>
  <c r="Y337" i="1"/>
  <c r="X338" i="1"/>
  <c r="Y338" i="1"/>
  <c r="X339" i="1"/>
  <c r="Y339" i="1"/>
  <c r="X340" i="1"/>
  <c r="Y340" i="1"/>
  <c r="X341" i="1"/>
  <c r="Y341" i="1"/>
  <c r="X342" i="1"/>
  <c r="Y342" i="1"/>
  <c r="X343" i="1"/>
  <c r="Y343" i="1"/>
  <c r="X344" i="1"/>
  <c r="Y344" i="1"/>
  <c r="X345" i="1"/>
  <c r="Y345" i="1"/>
  <c r="X346" i="1"/>
  <c r="Y346" i="1"/>
  <c r="X347" i="1"/>
  <c r="Z349" i="1" s="1"/>
  <c r="Y347" i="1"/>
  <c r="X348" i="1"/>
  <c r="Y348" i="1"/>
  <c r="X349" i="1"/>
  <c r="Y349" i="1"/>
  <c r="X350" i="1"/>
  <c r="Y350" i="1"/>
  <c r="X351" i="1"/>
  <c r="Y351" i="1"/>
  <c r="X352" i="1"/>
  <c r="Y352" i="1"/>
  <c r="X353" i="1"/>
  <c r="Y353" i="1"/>
  <c r="X354" i="1"/>
  <c r="Z356" i="1" s="1"/>
  <c r="Y354" i="1"/>
  <c r="X355" i="1"/>
  <c r="Y355" i="1"/>
  <c r="X356" i="1"/>
  <c r="Y356" i="1"/>
  <c r="X357" i="1"/>
  <c r="Y357" i="1"/>
  <c r="X358" i="1"/>
  <c r="Y358" i="1"/>
  <c r="X359" i="1"/>
  <c r="Y359" i="1"/>
  <c r="X360" i="1"/>
  <c r="Y360" i="1"/>
  <c r="X361" i="1"/>
  <c r="Z363" i="1" s="1"/>
  <c r="Y361" i="1"/>
  <c r="X362" i="1"/>
  <c r="Y362" i="1"/>
  <c r="X363" i="1"/>
  <c r="Y363" i="1"/>
  <c r="X364" i="1"/>
  <c r="Y364" i="1"/>
  <c r="X365" i="1"/>
  <c r="Y365" i="1"/>
  <c r="X366" i="1"/>
  <c r="Y366" i="1"/>
  <c r="X367" i="1"/>
  <c r="Y367" i="1"/>
  <c r="X368" i="1"/>
  <c r="Y368" i="1"/>
  <c r="X369" i="1"/>
  <c r="Y369" i="1"/>
  <c r="X370" i="1"/>
  <c r="Y370" i="1"/>
  <c r="X371" i="1"/>
  <c r="Y371" i="1"/>
  <c r="X372" i="1"/>
  <c r="Y372" i="1"/>
  <c r="X373" i="1"/>
  <c r="Y373" i="1"/>
  <c r="X374" i="1"/>
  <c r="Y374" i="1"/>
  <c r="X375" i="1"/>
  <c r="Y375" i="1"/>
  <c r="X376" i="1"/>
  <c r="Y376" i="1"/>
  <c r="X377" i="1"/>
  <c r="Y377" i="1"/>
  <c r="X378" i="1"/>
  <c r="Y378" i="1"/>
  <c r="X379" i="1"/>
  <c r="Y379" i="1"/>
  <c r="X380" i="1"/>
  <c r="Z382" i="1" s="1"/>
  <c r="Y380" i="1"/>
  <c r="X381" i="1"/>
  <c r="Y381" i="1"/>
  <c r="X382" i="1"/>
  <c r="Y382" i="1"/>
  <c r="X383" i="1"/>
  <c r="Y383" i="1"/>
  <c r="X384" i="1"/>
  <c r="Y384" i="1"/>
  <c r="X385" i="1"/>
  <c r="Y385" i="1"/>
  <c r="X386" i="1"/>
  <c r="Z388" i="1" s="1"/>
  <c r="Y386" i="1"/>
  <c r="X387" i="1"/>
  <c r="Y387" i="1"/>
  <c r="X388" i="1"/>
  <c r="Y388" i="1"/>
  <c r="X389" i="1"/>
  <c r="Y389" i="1"/>
  <c r="X390" i="1"/>
  <c r="Y390" i="1"/>
  <c r="X391" i="1"/>
  <c r="Z393" i="1" s="1"/>
  <c r="Y391" i="1"/>
  <c r="X392" i="1"/>
  <c r="Y392" i="1"/>
  <c r="X393" i="1"/>
  <c r="Y393" i="1"/>
  <c r="X394" i="1"/>
  <c r="Y394" i="1"/>
  <c r="X395" i="1"/>
  <c r="Y395" i="1"/>
  <c r="X396" i="1"/>
  <c r="Y396" i="1"/>
  <c r="X397" i="1"/>
  <c r="Y397" i="1"/>
  <c r="X398" i="1"/>
  <c r="Y398" i="1"/>
  <c r="X399" i="1"/>
  <c r="Y399" i="1"/>
  <c r="X400" i="1"/>
  <c r="Y400" i="1"/>
  <c r="X401" i="1"/>
  <c r="Y401" i="1"/>
  <c r="X402" i="1"/>
  <c r="Y402" i="1"/>
  <c r="X403" i="1"/>
  <c r="Y403" i="1"/>
  <c r="X404" i="1"/>
  <c r="Y404" i="1"/>
  <c r="X405" i="1"/>
  <c r="Y405" i="1"/>
  <c r="X406" i="1"/>
  <c r="Y406" i="1"/>
  <c r="X407" i="1"/>
  <c r="Y407" i="1"/>
  <c r="X408" i="1"/>
  <c r="Z410" i="1" s="1"/>
  <c r="Y408" i="1"/>
  <c r="X409" i="1"/>
  <c r="Y409" i="1"/>
  <c r="X410" i="1"/>
  <c r="Y410" i="1"/>
  <c r="X411" i="1"/>
  <c r="Y411" i="1"/>
  <c r="X412" i="1"/>
  <c r="Y412" i="1"/>
  <c r="X413" i="1"/>
  <c r="Y413" i="1"/>
  <c r="X414" i="1"/>
  <c r="Y414" i="1"/>
  <c r="X415" i="1"/>
  <c r="Y415" i="1"/>
  <c r="X416" i="1"/>
  <c r="Y416" i="1"/>
  <c r="X417" i="1"/>
  <c r="Y417" i="1"/>
  <c r="X418" i="1"/>
  <c r="Y418" i="1"/>
  <c r="X419" i="1"/>
  <c r="Y419" i="1"/>
  <c r="X420" i="1"/>
  <c r="Y420" i="1"/>
  <c r="X421" i="1"/>
  <c r="Y421" i="1"/>
  <c r="X422" i="1"/>
  <c r="Y422" i="1"/>
  <c r="X423" i="1"/>
  <c r="Y423" i="1"/>
  <c r="X424" i="1"/>
  <c r="Y424" i="1"/>
  <c r="X425" i="1"/>
  <c r="Y425" i="1"/>
  <c r="X426" i="1"/>
  <c r="Y426" i="1"/>
  <c r="X427" i="1"/>
  <c r="Y427" i="1"/>
  <c r="X428" i="1"/>
  <c r="Z430" i="1" s="1"/>
  <c r="Y428" i="1"/>
  <c r="X429" i="1"/>
  <c r="Y429" i="1"/>
  <c r="X430" i="1"/>
  <c r="Y430" i="1"/>
  <c r="X431" i="1"/>
  <c r="Y431" i="1"/>
  <c r="X432" i="1"/>
  <c r="Z434" i="1" s="1"/>
  <c r="Y432" i="1"/>
  <c r="X433" i="1"/>
  <c r="Y433" i="1"/>
  <c r="X434" i="1"/>
  <c r="Y434" i="1"/>
  <c r="X435" i="1"/>
  <c r="Y435" i="1"/>
  <c r="X436" i="1"/>
  <c r="Y436" i="1"/>
  <c r="X437" i="1"/>
  <c r="Y437" i="1"/>
  <c r="X438" i="1"/>
  <c r="Y438" i="1"/>
  <c r="X439" i="1"/>
  <c r="Z441" i="1" s="1"/>
  <c r="Y439" i="1"/>
  <c r="X440" i="1"/>
  <c r="Y440" i="1"/>
  <c r="X441" i="1"/>
  <c r="Z443" i="1" s="1"/>
  <c r="Y441" i="1"/>
  <c r="X442" i="1"/>
  <c r="Y442" i="1"/>
  <c r="X443" i="1"/>
  <c r="Z445" i="1" s="1"/>
  <c r="Y443" i="1"/>
  <c r="X444" i="1"/>
  <c r="Y444" i="1"/>
  <c r="X445" i="1"/>
  <c r="Y445" i="1"/>
  <c r="X446" i="1"/>
  <c r="Y446" i="1"/>
  <c r="X447" i="1"/>
  <c r="Z449" i="1" s="1"/>
  <c r="Y447" i="1"/>
  <c r="X448" i="1"/>
  <c r="Y448" i="1"/>
  <c r="X449" i="1"/>
  <c r="Y449" i="1"/>
  <c r="X450" i="1"/>
  <c r="Y450" i="1"/>
  <c r="X451" i="1"/>
  <c r="Y451" i="1"/>
  <c r="X452" i="1"/>
  <c r="Y452" i="1"/>
  <c r="X453" i="1"/>
  <c r="Y453" i="1"/>
  <c r="X454" i="1"/>
  <c r="Y454" i="1"/>
  <c r="X455" i="1"/>
  <c r="Y455" i="1"/>
  <c r="X456" i="1"/>
  <c r="Z458" i="1" s="1"/>
  <c r="Y456" i="1"/>
  <c r="X457" i="1"/>
  <c r="Y457" i="1"/>
  <c r="X458" i="1"/>
  <c r="Y458" i="1"/>
  <c r="X459" i="1"/>
  <c r="Y459" i="1"/>
  <c r="X460" i="1"/>
  <c r="Y460" i="1"/>
  <c r="X461" i="1"/>
  <c r="Y461" i="1"/>
  <c r="X462" i="1"/>
  <c r="Y462" i="1"/>
  <c r="X463" i="1"/>
  <c r="Y463" i="1"/>
  <c r="X464" i="1"/>
  <c r="Y464" i="1"/>
  <c r="X465" i="1"/>
  <c r="Y465" i="1"/>
  <c r="X466" i="1"/>
  <c r="Z468" i="1" s="1"/>
  <c r="Y466" i="1"/>
  <c r="X467" i="1"/>
  <c r="Y467" i="1"/>
  <c r="X468" i="1"/>
  <c r="Y468" i="1"/>
  <c r="X469" i="1"/>
  <c r="Y469" i="1"/>
  <c r="X470" i="1"/>
  <c r="Y470" i="1"/>
  <c r="X471" i="1"/>
  <c r="Y471" i="1"/>
  <c r="X472" i="1"/>
  <c r="Y472" i="1"/>
  <c r="X473" i="1"/>
  <c r="Y473" i="1"/>
  <c r="X474" i="1"/>
  <c r="Y474" i="1"/>
  <c r="X475" i="1"/>
  <c r="Y475" i="1"/>
  <c r="X476" i="1"/>
  <c r="Y476" i="1"/>
  <c r="X477" i="1"/>
  <c r="Z479" i="1" s="1"/>
  <c r="Y477" i="1"/>
  <c r="X478" i="1"/>
  <c r="Y478" i="1"/>
  <c r="X479" i="1"/>
  <c r="Y479" i="1"/>
  <c r="X480" i="1"/>
  <c r="Y480" i="1"/>
  <c r="X481" i="1"/>
  <c r="Y481" i="1"/>
  <c r="X482" i="1"/>
  <c r="Y482" i="1"/>
  <c r="X483" i="1"/>
  <c r="Z485" i="1" s="1"/>
  <c r="Y483" i="1"/>
  <c r="X484" i="1"/>
  <c r="Y484" i="1"/>
  <c r="X485" i="1"/>
  <c r="Y485" i="1"/>
  <c r="X486" i="1"/>
  <c r="Z488" i="1" s="1"/>
  <c r="Y486" i="1"/>
  <c r="X487" i="1"/>
  <c r="Y487" i="1"/>
  <c r="X488" i="1"/>
  <c r="Y488" i="1"/>
  <c r="X489" i="1"/>
  <c r="Y489" i="1"/>
  <c r="X490" i="1"/>
  <c r="Y490" i="1"/>
  <c r="X491" i="1"/>
  <c r="Y491" i="1"/>
  <c r="X492" i="1"/>
  <c r="Z494" i="1" s="1"/>
  <c r="Y492" i="1"/>
  <c r="X493" i="1"/>
  <c r="Z495" i="1" s="1"/>
  <c r="Y493" i="1"/>
  <c r="X494" i="1"/>
  <c r="Y494" i="1"/>
  <c r="X495" i="1"/>
  <c r="Z497" i="1" s="1"/>
  <c r="Y495" i="1"/>
  <c r="X496" i="1"/>
  <c r="Y496" i="1"/>
  <c r="X497" i="1"/>
  <c r="Y497" i="1"/>
  <c r="X498" i="1"/>
  <c r="Y498" i="1"/>
  <c r="X499" i="1"/>
  <c r="Y499" i="1"/>
  <c r="X500" i="1"/>
  <c r="Y500" i="1"/>
  <c r="X501" i="1"/>
  <c r="Y501" i="1"/>
  <c r="X502" i="1"/>
  <c r="Y502" i="1"/>
  <c r="X503" i="1"/>
  <c r="Y503" i="1"/>
  <c r="X504" i="1"/>
  <c r="Y504" i="1"/>
  <c r="X505" i="1"/>
  <c r="Y505" i="1"/>
  <c r="X506" i="1"/>
  <c r="Y506" i="1"/>
  <c r="X507" i="1"/>
  <c r="Y507" i="1"/>
  <c r="X508" i="1"/>
  <c r="Z510" i="1" s="1"/>
  <c r="Y508" i="1"/>
  <c r="X509" i="1"/>
  <c r="Y509" i="1"/>
  <c r="X510" i="1"/>
  <c r="Y510" i="1"/>
  <c r="X511" i="1"/>
  <c r="Z513" i="1" s="1"/>
  <c r="Y511" i="1"/>
  <c r="X512" i="1"/>
  <c r="Y512" i="1"/>
  <c r="X513" i="1"/>
  <c r="Y513" i="1"/>
  <c r="X514" i="1"/>
  <c r="Y514" i="1"/>
  <c r="X515" i="1"/>
  <c r="Y515" i="1"/>
  <c r="X516" i="1"/>
  <c r="Y516" i="1"/>
  <c r="X517" i="1"/>
  <c r="Y517" i="1"/>
  <c r="X518" i="1"/>
  <c r="Y518" i="1"/>
  <c r="X519" i="1"/>
  <c r="Y519" i="1"/>
  <c r="X520" i="1"/>
  <c r="Y520" i="1"/>
  <c r="X521" i="1"/>
  <c r="Y521" i="1"/>
  <c r="X522" i="1"/>
  <c r="Y522" i="1"/>
  <c r="X523" i="1"/>
  <c r="Y523" i="1"/>
  <c r="X524" i="1"/>
  <c r="Y524" i="1"/>
  <c r="X525" i="1"/>
  <c r="Y525" i="1"/>
  <c r="X526" i="1"/>
  <c r="Z528" i="1" s="1"/>
  <c r="Y526" i="1"/>
  <c r="X527" i="1"/>
  <c r="Y527" i="1"/>
  <c r="X528" i="1"/>
  <c r="Y528" i="1"/>
  <c r="X529" i="1"/>
  <c r="Y529" i="1"/>
  <c r="X530" i="1"/>
  <c r="Y530" i="1"/>
  <c r="X531" i="1"/>
  <c r="Y531" i="1"/>
  <c r="X532" i="1"/>
  <c r="Y532" i="1"/>
  <c r="X533" i="1"/>
  <c r="Y533" i="1"/>
  <c r="X534" i="1"/>
  <c r="Y534" i="1"/>
  <c r="X535" i="1"/>
  <c r="Y535" i="1"/>
  <c r="X536" i="1"/>
  <c r="Y536" i="1"/>
  <c r="X537" i="1"/>
  <c r="Y537" i="1"/>
  <c r="X538" i="1"/>
  <c r="Y538" i="1"/>
  <c r="X539" i="1"/>
  <c r="Y539" i="1"/>
  <c r="X540" i="1"/>
  <c r="Y540" i="1"/>
  <c r="X541" i="1"/>
  <c r="Y541" i="1"/>
  <c r="X542" i="1"/>
  <c r="Y542" i="1"/>
  <c r="X543" i="1"/>
  <c r="Y543" i="1"/>
  <c r="X544" i="1"/>
  <c r="Y544" i="1"/>
  <c r="X545" i="1"/>
  <c r="Y545" i="1"/>
  <c r="X546" i="1"/>
  <c r="Y546" i="1"/>
  <c r="X547" i="1"/>
  <c r="Y547" i="1"/>
  <c r="X548" i="1"/>
  <c r="Y548" i="1"/>
  <c r="X549" i="1"/>
  <c r="Y549" i="1"/>
  <c r="X550" i="1"/>
  <c r="Y550" i="1"/>
  <c r="X551" i="1"/>
  <c r="Y551" i="1"/>
  <c r="X552" i="1"/>
  <c r="Y552" i="1"/>
  <c r="X553" i="1"/>
  <c r="Y553" i="1"/>
  <c r="X554" i="1"/>
  <c r="Y554" i="1"/>
  <c r="X555" i="1"/>
  <c r="Y555" i="1"/>
  <c r="X556" i="1"/>
  <c r="Y556" i="1"/>
  <c r="X557" i="1"/>
  <c r="Y557" i="1"/>
  <c r="X558" i="1"/>
  <c r="Y558" i="1"/>
  <c r="X559" i="1"/>
  <c r="Y559" i="1"/>
  <c r="X560" i="1"/>
  <c r="Y560" i="1"/>
  <c r="X561" i="1"/>
  <c r="Y561" i="1"/>
  <c r="X562" i="1"/>
  <c r="Y562" i="1"/>
  <c r="X563" i="1"/>
  <c r="Y563" i="1"/>
  <c r="X564" i="1"/>
  <c r="Z566" i="1" s="1"/>
  <c r="Y564" i="1"/>
  <c r="X565" i="1"/>
  <c r="Y565" i="1"/>
  <c r="X566" i="1"/>
  <c r="Y566" i="1"/>
  <c r="X567" i="1"/>
  <c r="Y567" i="1"/>
  <c r="X568" i="1"/>
  <c r="Y568" i="1"/>
  <c r="X569" i="1"/>
  <c r="Y569" i="1"/>
  <c r="X570" i="1"/>
  <c r="Z572" i="1" s="1"/>
  <c r="Y570" i="1"/>
  <c r="X571" i="1"/>
  <c r="Y571" i="1"/>
  <c r="X572" i="1"/>
  <c r="Z574" i="1" s="1"/>
  <c r="Y572" i="1"/>
  <c r="X573" i="1"/>
  <c r="Z575" i="1" s="1"/>
  <c r="Y573" i="1"/>
  <c r="X574" i="1"/>
  <c r="Y574" i="1"/>
  <c r="X575" i="1"/>
  <c r="Z577" i="1" s="1"/>
  <c r="Y575" i="1"/>
  <c r="X576" i="1"/>
  <c r="Y576" i="1"/>
  <c r="X577" i="1"/>
  <c r="Z579" i="1" s="1"/>
  <c r="Y577" i="1"/>
  <c r="X578" i="1"/>
  <c r="Y578" i="1"/>
  <c r="X579" i="1"/>
  <c r="Y579" i="1"/>
  <c r="X580" i="1"/>
  <c r="Z582" i="1" s="1"/>
  <c r="Y580" i="1"/>
  <c r="X581" i="1"/>
  <c r="Y581" i="1"/>
  <c r="X582" i="1"/>
  <c r="Y582" i="1"/>
  <c r="X583" i="1"/>
  <c r="Y583" i="1"/>
  <c r="X584" i="1"/>
  <c r="Y584" i="1"/>
  <c r="X585" i="1"/>
  <c r="Y585" i="1"/>
  <c r="X586" i="1"/>
  <c r="Z588" i="1" s="1"/>
  <c r="Y586" i="1"/>
  <c r="X587" i="1"/>
  <c r="Y587" i="1"/>
  <c r="X588" i="1"/>
  <c r="Y588" i="1"/>
  <c r="X589" i="1"/>
  <c r="Y589" i="1"/>
  <c r="X590" i="1"/>
  <c r="Y590" i="1"/>
  <c r="X591" i="1"/>
  <c r="Y591" i="1"/>
  <c r="X592" i="1"/>
  <c r="Y592" i="1"/>
  <c r="X593" i="1"/>
  <c r="Y593" i="1"/>
  <c r="X594" i="1"/>
  <c r="Y594" i="1"/>
  <c r="X595" i="1"/>
  <c r="Y595" i="1"/>
  <c r="X596" i="1"/>
  <c r="Y596" i="1"/>
  <c r="X597" i="1"/>
  <c r="Y597" i="1"/>
  <c r="X598" i="1"/>
  <c r="Y598" i="1"/>
  <c r="X599" i="1"/>
  <c r="Z601" i="1" s="1"/>
  <c r="Y599" i="1"/>
  <c r="X600" i="1"/>
  <c r="Y600" i="1"/>
  <c r="X601" i="1"/>
  <c r="Y601" i="1"/>
  <c r="X602" i="1"/>
  <c r="Y602" i="1"/>
  <c r="X603" i="1"/>
  <c r="Y603" i="1"/>
  <c r="X604" i="1"/>
  <c r="Y604" i="1"/>
  <c r="X605" i="1"/>
  <c r="Y605" i="1"/>
  <c r="X606" i="1"/>
  <c r="Y606" i="1"/>
  <c r="X607" i="1"/>
  <c r="Y607" i="1"/>
  <c r="X608" i="1"/>
  <c r="Y608" i="1"/>
  <c r="X609" i="1"/>
  <c r="Y609" i="1"/>
  <c r="X610" i="1"/>
  <c r="Y610" i="1"/>
  <c r="X611" i="1"/>
  <c r="Y611" i="1"/>
  <c r="X612" i="1"/>
  <c r="Y612" i="1"/>
  <c r="X613" i="1"/>
  <c r="Y613" i="1"/>
  <c r="X614" i="1"/>
  <c r="Y614" i="1"/>
  <c r="X615" i="1"/>
  <c r="Y615" i="1"/>
  <c r="X616" i="1"/>
  <c r="Y616" i="1"/>
  <c r="X617" i="1"/>
  <c r="Z619" i="1" s="1"/>
  <c r="Y617" i="1"/>
  <c r="X618" i="1"/>
  <c r="Y618" i="1"/>
  <c r="X619" i="1"/>
  <c r="Y619" i="1"/>
  <c r="X620" i="1"/>
  <c r="Z622" i="1" s="1"/>
  <c r="Y620" i="1"/>
  <c r="X621" i="1"/>
  <c r="Z623" i="1" s="1"/>
  <c r="Y621" i="1"/>
  <c r="X622" i="1"/>
  <c r="Y622" i="1"/>
  <c r="X623" i="1"/>
  <c r="Y623" i="1"/>
  <c r="X624" i="1"/>
  <c r="Y624" i="1"/>
  <c r="X625" i="1"/>
  <c r="Y625" i="1"/>
  <c r="X626" i="1"/>
  <c r="Y626" i="1"/>
  <c r="X627" i="1"/>
  <c r="Z629" i="1" s="1"/>
  <c r="Y627" i="1"/>
  <c r="X628" i="1"/>
  <c r="Z630" i="1" s="1"/>
  <c r="Y628" i="1"/>
  <c r="X629" i="1"/>
  <c r="Y629" i="1"/>
  <c r="X630" i="1"/>
  <c r="Z632" i="1" s="1"/>
  <c r="Y630" i="1"/>
  <c r="X631" i="1"/>
  <c r="Y631" i="1"/>
  <c r="X632" i="1"/>
  <c r="Y632" i="1"/>
  <c r="Z419" i="1"/>
  <c r="Z357" i="1"/>
  <c r="Z325" i="1"/>
  <c r="Z313" i="1"/>
  <c r="Z288" i="1"/>
  <c r="Z265" i="1"/>
  <c r="Z247" i="1"/>
  <c r="Z241" i="1"/>
  <c r="Z219" i="1"/>
  <c r="Z217" i="1"/>
  <c r="Z213" i="1"/>
  <c r="Z207" i="1"/>
  <c r="Z196" i="1"/>
  <c r="Z191" i="1"/>
  <c r="Z189" i="1"/>
  <c r="Z183" i="1"/>
  <c r="Z182" i="1"/>
  <c r="Z181" i="1"/>
  <c r="Z177" i="1"/>
  <c r="Z171" i="1"/>
  <c r="Z163" i="1"/>
  <c r="Z161" i="1"/>
  <c r="Z159" i="1"/>
  <c r="Z151" i="1"/>
  <c r="Z141" i="1"/>
  <c r="Z135" i="1"/>
  <c r="Z133" i="1"/>
  <c r="Z129" i="1"/>
  <c r="Z127" i="1"/>
  <c r="Z121" i="1"/>
  <c r="Z117" i="1"/>
  <c r="Z109" i="1"/>
  <c r="Z106" i="1"/>
  <c r="Z103" i="1"/>
  <c r="Z99" i="1"/>
  <c r="Z95" i="1"/>
  <c r="Z93" i="1"/>
  <c r="Z86" i="1"/>
  <c r="Z83" i="1"/>
  <c r="Z75" i="1"/>
  <c r="Z73" i="1"/>
  <c r="Z71" i="1"/>
  <c r="Z67" i="1"/>
  <c r="Z65" i="1"/>
  <c r="Z57" i="1"/>
  <c r="Z52" i="1"/>
  <c r="Z49" i="1"/>
  <c r="Z47" i="1"/>
  <c r="Z46" i="1"/>
  <c r="Z37" i="1"/>
  <c r="Z35" i="1"/>
  <c r="Z33" i="1"/>
  <c r="Z26" i="1"/>
  <c r="Z23" i="1"/>
  <c r="Z20" i="1"/>
  <c r="Z14" i="1"/>
  <c r="Z11" i="1"/>
  <c r="Z10" i="1"/>
  <c r="Z8" i="1"/>
  <c r="Z7" i="1"/>
  <c r="Z5" i="1"/>
  <c r="Z3"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L2" i="1"/>
  <c r="K2" i="1" s="1"/>
  <c r="J2" i="1" s="1"/>
  <c r="L3" i="1"/>
  <c r="K3" i="1" s="1"/>
  <c r="J3" i="1" s="1"/>
  <c r="L4" i="1"/>
  <c r="K4" i="1" s="1"/>
  <c r="J4" i="1" s="1"/>
  <c r="L5" i="1"/>
  <c r="K5" i="1" s="1"/>
  <c r="J5" i="1" s="1"/>
  <c r="L6" i="1"/>
  <c r="K6" i="1" s="1"/>
  <c r="J6" i="1" s="1"/>
  <c r="L7" i="1"/>
  <c r="K7" i="1" s="1"/>
  <c r="J7" i="1" s="1"/>
  <c r="L8" i="1"/>
  <c r="K8" i="1" s="1"/>
  <c r="J8" i="1" s="1"/>
  <c r="L9" i="1"/>
  <c r="K9" i="1" s="1"/>
  <c r="J9" i="1" s="1"/>
  <c r="L10" i="1"/>
  <c r="K10" i="1" s="1"/>
  <c r="J10" i="1" s="1"/>
  <c r="L11" i="1"/>
  <c r="K11" i="1" s="1"/>
  <c r="J11" i="1" s="1"/>
  <c r="L12" i="1"/>
  <c r="K12" i="1" s="1"/>
  <c r="J12" i="1" s="1"/>
  <c r="L13" i="1"/>
  <c r="K13" i="1" s="1"/>
  <c r="J13" i="1" s="1"/>
  <c r="L14" i="1"/>
  <c r="K14" i="1" s="1"/>
  <c r="J14" i="1" s="1"/>
  <c r="L15" i="1"/>
  <c r="K15" i="1" s="1"/>
  <c r="J15" i="1" s="1"/>
  <c r="L16" i="1"/>
  <c r="K16" i="1" s="1"/>
  <c r="J16" i="1" s="1"/>
  <c r="L17" i="1"/>
  <c r="K17" i="1" s="1"/>
  <c r="J17" i="1" s="1"/>
  <c r="L18" i="1"/>
  <c r="K18" i="1" s="1"/>
  <c r="J18" i="1" s="1"/>
  <c r="L19" i="1"/>
  <c r="K19" i="1" s="1"/>
  <c r="J19" i="1" s="1"/>
  <c r="L20" i="1"/>
  <c r="K20" i="1" s="1"/>
  <c r="J20" i="1" s="1"/>
  <c r="L21" i="1"/>
  <c r="K21" i="1" s="1"/>
  <c r="J21" i="1" s="1"/>
  <c r="L22" i="1"/>
  <c r="K22" i="1" s="1"/>
  <c r="J22" i="1" s="1"/>
  <c r="L23" i="1"/>
  <c r="K23" i="1" s="1"/>
  <c r="J23" i="1" s="1"/>
  <c r="L24" i="1"/>
  <c r="K24" i="1" s="1"/>
  <c r="J24" i="1" s="1"/>
  <c r="L25" i="1"/>
  <c r="K25" i="1" s="1"/>
  <c r="J25" i="1" s="1"/>
  <c r="L26" i="1"/>
  <c r="K26" i="1" s="1"/>
  <c r="J26" i="1" s="1"/>
  <c r="L27" i="1"/>
  <c r="K27" i="1" s="1"/>
  <c r="J27" i="1" s="1"/>
  <c r="L28" i="1"/>
  <c r="K28" i="1" s="1"/>
  <c r="J28" i="1" s="1"/>
  <c r="L29" i="1"/>
  <c r="K29" i="1" s="1"/>
  <c r="J29" i="1" s="1"/>
  <c r="L30" i="1"/>
  <c r="K30" i="1" s="1"/>
  <c r="J30" i="1" s="1"/>
  <c r="L31" i="1"/>
  <c r="K31" i="1" s="1"/>
  <c r="J31" i="1" s="1"/>
  <c r="L32" i="1"/>
  <c r="K32" i="1" s="1"/>
  <c r="J32" i="1" s="1"/>
  <c r="L33" i="1"/>
  <c r="K33" i="1" s="1"/>
  <c r="J33" i="1" s="1"/>
  <c r="L34" i="1"/>
  <c r="K34" i="1" s="1"/>
  <c r="J34" i="1" s="1"/>
  <c r="L35" i="1"/>
  <c r="K35" i="1" s="1"/>
  <c r="J35" i="1" s="1"/>
  <c r="L36" i="1"/>
  <c r="K36" i="1" s="1"/>
  <c r="J36" i="1" s="1"/>
  <c r="L37" i="1"/>
  <c r="K37" i="1" s="1"/>
  <c r="J37" i="1" s="1"/>
  <c r="L38" i="1"/>
  <c r="K38" i="1" s="1"/>
  <c r="J38" i="1" s="1"/>
  <c r="L39" i="1"/>
  <c r="K39" i="1" s="1"/>
  <c r="J39" i="1" s="1"/>
  <c r="L40" i="1"/>
  <c r="K40" i="1" s="1"/>
  <c r="J40" i="1" s="1"/>
  <c r="L41" i="1"/>
  <c r="K41" i="1" s="1"/>
  <c r="J41" i="1" s="1"/>
  <c r="L42" i="1"/>
  <c r="K42" i="1" s="1"/>
  <c r="J42" i="1" s="1"/>
  <c r="L43" i="1"/>
  <c r="K43" i="1" s="1"/>
  <c r="J43" i="1" s="1"/>
  <c r="L44" i="1"/>
  <c r="K44" i="1" s="1"/>
  <c r="J44" i="1" s="1"/>
  <c r="L45" i="1"/>
  <c r="K45" i="1" s="1"/>
  <c r="J45" i="1" s="1"/>
  <c r="L46" i="1"/>
  <c r="K46" i="1" s="1"/>
  <c r="J46" i="1" s="1"/>
  <c r="L47" i="1"/>
  <c r="K47" i="1" s="1"/>
  <c r="J47" i="1" s="1"/>
  <c r="L48" i="1"/>
  <c r="K48" i="1" s="1"/>
  <c r="J48" i="1" s="1"/>
  <c r="L49" i="1"/>
  <c r="K49" i="1" s="1"/>
  <c r="J49" i="1" s="1"/>
  <c r="L50" i="1"/>
  <c r="K50" i="1" s="1"/>
  <c r="J50" i="1" s="1"/>
  <c r="L51" i="1"/>
  <c r="K51" i="1" s="1"/>
  <c r="J51" i="1" s="1"/>
  <c r="L52" i="1"/>
  <c r="K52" i="1" s="1"/>
  <c r="J52" i="1" s="1"/>
  <c r="L53" i="1"/>
  <c r="K53" i="1" s="1"/>
  <c r="J53" i="1" s="1"/>
  <c r="L54" i="1"/>
  <c r="K54" i="1" s="1"/>
  <c r="J54" i="1" s="1"/>
  <c r="L55" i="1"/>
  <c r="K55" i="1" s="1"/>
  <c r="J55" i="1" s="1"/>
  <c r="L56" i="1"/>
  <c r="K56" i="1" s="1"/>
  <c r="J56" i="1" s="1"/>
  <c r="L57" i="1"/>
  <c r="K57" i="1" s="1"/>
  <c r="J57" i="1" s="1"/>
  <c r="L58" i="1"/>
  <c r="K58" i="1" s="1"/>
  <c r="J58" i="1" s="1"/>
  <c r="L59" i="1"/>
  <c r="K59" i="1" s="1"/>
  <c r="J59" i="1" s="1"/>
  <c r="L60" i="1"/>
  <c r="K60" i="1" s="1"/>
  <c r="J60" i="1" s="1"/>
  <c r="L61" i="1"/>
  <c r="K61" i="1" s="1"/>
  <c r="J61" i="1" s="1"/>
  <c r="L62" i="1"/>
  <c r="K62" i="1" s="1"/>
  <c r="J62" i="1" s="1"/>
  <c r="L63" i="1"/>
  <c r="K63" i="1" s="1"/>
  <c r="J63" i="1" s="1"/>
  <c r="L64" i="1"/>
  <c r="K64" i="1" s="1"/>
  <c r="J64" i="1" s="1"/>
  <c r="L65" i="1"/>
  <c r="K65" i="1" s="1"/>
  <c r="J65" i="1" s="1"/>
  <c r="L66" i="1"/>
  <c r="K66" i="1" s="1"/>
  <c r="J66" i="1" s="1"/>
  <c r="L67" i="1"/>
  <c r="K67" i="1" s="1"/>
  <c r="J67" i="1" s="1"/>
  <c r="L68" i="1"/>
  <c r="K68" i="1" s="1"/>
  <c r="J68" i="1" s="1"/>
  <c r="L69" i="1"/>
  <c r="K69" i="1" s="1"/>
  <c r="J69" i="1" s="1"/>
  <c r="L70" i="1"/>
  <c r="K70" i="1" s="1"/>
  <c r="J70" i="1" s="1"/>
  <c r="L71" i="1"/>
  <c r="K71" i="1" s="1"/>
  <c r="J71" i="1" s="1"/>
  <c r="L72" i="1"/>
  <c r="K72" i="1" s="1"/>
  <c r="J72" i="1" s="1"/>
  <c r="L73" i="1"/>
  <c r="K73" i="1" s="1"/>
  <c r="J73" i="1" s="1"/>
  <c r="L74" i="1"/>
  <c r="K74" i="1" s="1"/>
  <c r="J74" i="1" s="1"/>
  <c r="L75" i="1"/>
  <c r="K75" i="1" s="1"/>
  <c r="J75" i="1" s="1"/>
  <c r="L76" i="1"/>
  <c r="K76" i="1" s="1"/>
  <c r="J76" i="1" s="1"/>
  <c r="L77" i="1"/>
  <c r="K77" i="1" s="1"/>
  <c r="J77" i="1" s="1"/>
  <c r="L78" i="1"/>
  <c r="K78" i="1" s="1"/>
  <c r="J78" i="1" s="1"/>
  <c r="L79" i="1"/>
  <c r="K79" i="1" s="1"/>
  <c r="J79" i="1" s="1"/>
  <c r="L80" i="1"/>
  <c r="K80" i="1" s="1"/>
  <c r="J80" i="1" s="1"/>
  <c r="L81" i="1"/>
  <c r="K81" i="1" s="1"/>
  <c r="J81" i="1" s="1"/>
  <c r="L82" i="1"/>
  <c r="K82" i="1" s="1"/>
  <c r="J82" i="1" s="1"/>
  <c r="L83" i="1"/>
  <c r="K83" i="1" s="1"/>
  <c r="J83" i="1" s="1"/>
  <c r="L84" i="1"/>
  <c r="K84" i="1" s="1"/>
  <c r="J84" i="1" s="1"/>
  <c r="L85" i="1"/>
  <c r="K85" i="1" s="1"/>
  <c r="J85" i="1" s="1"/>
  <c r="L86" i="1"/>
  <c r="K86" i="1" s="1"/>
  <c r="J86" i="1" s="1"/>
  <c r="L87" i="1"/>
  <c r="K87" i="1" s="1"/>
  <c r="J87" i="1" s="1"/>
  <c r="L88" i="1"/>
  <c r="K88" i="1" s="1"/>
  <c r="J88" i="1" s="1"/>
  <c r="L89" i="1"/>
  <c r="K89" i="1" s="1"/>
  <c r="J89" i="1" s="1"/>
  <c r="L90" i="1"/>
  <c r="K90" i="1" s="1"/>
  <c r="J90" i="1" s="1"/>
  <c r="L91" i="1"/>
  <c r="K91" i="1" s="1"/>
  <c r="J91" i="1" s="1"/>
  <c r="L92" i="1"/>
  <c r="K92" i="1" s="1"/>
  <c r="J92" i="1" s="1"/>
  <c r="L93" i="1"/>
  <c r="K93" i="1" s="1"/>
  <c r="J93" i="1" s="1"/>
  <c r="L94" i="1"/>
  <c r="K94" i="1" s="1"/>
  <c r="J94" i="1" s="1"/>
  <c r="L95" i="1"/>
  <c r="K95" i="1" s="1"/>
  <c r="J95" i="1" s="1"/>
  <c r="L96" i="1"/>
  <c r="K96" i="1" s="1"/>
  <c r="J96" i="1" s="1"/>
  <c r="L97" i="1"/>
  <c r="K97" i="1" s="1"/>
  <c r="J97" i="1" s="1"/>
  <c r="L98" i="1"/>
  <c r="K98" i="1" s="1"/>
  <c r="J98" i="1" s="1"/>
  <c r="L99" i="1"/>
  <c r="K99" i="1" s="1"/>
  <c r="J99" i="1" s="1"/>
  <c r="L100" i="1"/>
  <c r="K100" i="1" s="1"/>
  <c r="J100" i="1" s="1"/>
  <c r="L101" i="1"/>
  <c r="K101" i="1" s="1"/>
  <c r="J101" i="1" s="1"/>
  <c r="L102" i="1"/>
  <c r="K102" i="1" s="1"/>
  <c r="J102" i="1" s="1"/>
  <c r="L103" i="1"/>
  <c r="K103" i="1" s="1"/>
  <c r="J103" i="1" s="1"/>
  <c r="L104" i="1"/>
  <c r="K104" i="1" s="1"/>
  <c r="J104" i="1" s="1"/>
  <c r="L105" i="1"/>
  <c r="K105" i="1" s="1"/>
  <c r="J105" i="1" s="1"/>
  <c r="L106" i="1"/>
  <c r="K106" i="1" s="1"/>
  <c r="J106" i="1" s="1"/>
  <c r="L107" i="1"/>
  <c r="K107" i="1" s="1"/>
  <c r="J107" i="1" s="1"/>
  <c r="L108" i="1"/>
  <c r="K108" i="1" s="1"/>
  <c r="J108" i="1" s="1"/>
  <c r="L109" i="1"/>
  <c r="K109" i="1" s="1"/>
  <c r="J109" i="1" s="1"/>
  <c r="L110" i="1"/>
  <c r="K110" i="1" s="1"/>
  <c r="J110" i="1" s="1"/>
  <c r="L111" i="1"/>
  <c r="K111" i="1" s="1"/>
  <c r="J111" i="1" s="1"/>
  <c r="L112" i="1"/>
  <c r="K112" i="1" s="1"/>
  <c r="J112" i="1" s="1"/>
  <c r="L113" i="1"/>
  <c r="K113" i="1" s="1"/>
  <c r="J113" i="1" s="1"/>
  <c r="L114" i="1"/>
  <c r="K114" i="1" s="1"/>
  <c r="J114" i="1" s="1"/>
  <c r="L115" i="1"/>
  <c r="K115" i="1" s="1"/>
  <c r="J115" i="1" s="1"/>
  <c r="L116" i="1"/>
  <c r="K116" i="1" s="1"/>
  <c r="J116" i="1" s="1"/>
  <c r="L117" i="1"/>
  <c r="K117" i="1" s="1"/>
  <c r="J117" i="1" s="1"/>
  <c r="L118" i="1"/>
  <c r="K118" i="1" s="1"/>
  <c r="J118" i="1" s="1"/>
  <c r="L119" i="1"/>
  <c r="K119" i="1" s="1"/>
  <c r="J119" i="1" s="1"/>
  <c r="L120" i="1"/>
  <c r="K120" i="1" s="1"/>
  <c r="J120" i="1" s="1"/>
  <c r="L121" i="1"/>
  <c r="K121" i="1" s="1"/>
  <c r="J121" i="1" s="1"/>
  <c r="L122" i="1"/>
  <c r="K122" i="1" s="1"/>
  <c r="J122" i="1" s="1"/>
  <c r="L123" i="1"/>
  <c r="K123" i="1" s="1"/>
  <c r="J123" i="1" s="1"/>
  <c r="L124" i="1"/>
  <c r="K124" i="1" s="1"/>
  <c r="J124" i="1" s="1"/>
  <c r="L125" i="1"/>
  <c r="K125" i="1" s="1"/>
  <c r="J125" i="1" s="1"/>
  <c r="L126" i="1"/>
  <c r="K126" i="1" s="1"/>
  <c r="J126" i="1" s="1"/>
  <c r="L127" i="1"/>
  <c r="K127" i="1" s="1"/>
  <c r="J127" i="1" s="1"/>
  <c r="L128" i="1"/>
  <c r="K128" i="1" s="1"/>
  <c r="J128" i="1" s="1"/>
  <c r="L129" i="1"/>
  <c r="K129" i="1" s="1"/>
  <c r="J129" i="1" s="1"/>
  <c r="L130" i="1"/>
  <c r="K130" i="1" s="1"/>
  <c r="J130" i="1" s="1"/>
  <c r="L131" i="1"/>
  <c r="K131" i="1" s="1"/>
  <c r="J131" i="1" s="1"/>
  <c r="L132" i="1"/>
  <c r="K132" i="1" s="1"/>
  <c r="J132" i="1" s="1"/>
  <c r="L133" i="1"/>
  <c r="K133" i="1" s="1"/>
  <c r="J133" i="1" s="1"/>
  <c r="L134" i="1"/>
  <c r="K134" i="1" s="1"/>
  <c r="J134" i="1" s="1"/>
  <c r="L135" i="1"/>
  <c r="K135" i="1" s="1"/>
  <c r="J135" i="1" s="1"/>
  <c r="L136" i="1"/>
  <c r="K136" i="1" s="1"/>
  <c r="J136" i="1" s="1"/>
  <c r="L137" i="1"/>
  <c r="K137" i="1" s="1"/>
  <c r="J137" i="1" s="1"/>
  <c r="L138" i="1"/>
  <c r="K138" i="1" s="1"/>
  <c r="J138" i="1" s="1"/>
  <c r="L139" i="1"/>
  <c r="K139" i="1" s="1"/>
  <c r="J139" i="1" s="1"/>
  <c r="L140" i="1"/>
  <c r="K140" i="1" s="1"/>
  <c r="J140" i="1" s="1"/>
  <c r="L141" i="1"/>
  <c r="K141" i="1" s="1"/>
  <c r="J141" i="1" s="1"/>
  <c r="L142" i="1"/>
  <c r="K142" i="1" s="1"/>
  <c r="J142" i="1" s="1"/>
  <c r="L143" i="1"/>
  <c r="K143" i="1" s="1"/>
  <c r="J143" i="1" s="1"/>
  <c r="L144" i="1"/>
  <c r="K144" i="1" s="1"/>
  <c r="J144" i="1" s="1"/>
  <c r="L145" i="1"/>
  <c r="K145" i="1" s="1"/>
  <c r="J145" i="1" s="1"/>
  <c r="L146" i="1"/>
  <c r="K146" i="1" s="1"/>
  <c r="J146" i="1" s="1"/>
  <c r="L147" i="1"/>
  <c r="K147" i="1" s="1"/>
  <c r="J147" i="1" s="1"/>
  <c r="L148" i="1"/>
  <c r="K148" i="1" s="1"/>
  <c r="J148" i="1" s="1"/>
  <c r="L149" i="1"/>
  <c r="K149" i="1" s="1"/>
  <c r="J149" i="1" s="1"/>
  <c r="L150" i="1"/>
  <c r="K150" i="1" s="1"/>
  <c r="J150" i="1" s="1"/>
  <c r="L151" i="1"/>
  <c r="K151" i="1" s="1"/>
  <c r="J151" i="1" s="1"/>
  <c r="L152" i="1"/>
  <c r="K152" i="1" s="1"/>
  <c r="J152" i="1" s="1"/>
  <c r="L153" i="1"/>
  <c r="K153" i="1" s="1"/>
  <c r="J153" i="1" s="1"/>
  <c r="L154" i="1"/>
  <c r="K154" i="1" s="1"/>
  <c r="J154" i="1" s="1"/>
  <c r="L155" i="1"/>
  <c r="K155" i="1" s="1"/>
  <c r="J155" i="1" s="1"/>
  <c r="L156" i="1"/>
  <c r="K156" i="1" s="1"/>
  <c r="J156" i="1" s="1"/>
  <c r="L157" i="1"/>
  <c r="K157" i="1" s="1"/>
  <c r="J157" i="1" s="1"/>
  <c r="L158" i="1"/>
  <c r="K158" i="1" s="1"/>
  <c r="J158" i="1" s="1"/>
  <c r="L159" i="1"/>
  <c r="K159" i="1" s="1"/>
  <c r="J159" i="1" s="1"/>
  <c r="L160" i="1"/>
  <c r="K160" i="1" s="1"/>
  <c r="J160" i="1" s="1"/>
  <c r="L161" i="1"/>
  <c r="K161" i="1" s="1"/>
  <c r="J161" i="1" s="1"/>
  <c r="L162" i="1"/>
  <c r="K162" i="1" s="1"/>
  <c r="J162" i="1" s="1"/>
  <c r="L163" i="1"/>
  <c r="K163" i="1" s="1"/>
  <c r="J163" i="1" s="1"/>
  <c r="L164" i="1"/>
  <c r="K164" i="1" s="1"/>
  <c r="J164" i="1" s="1"/>
  <c r="L165" i="1"/>
  <c r="K165" i="1" s="1"/>
  <c r="J165" i="1" s="1"/>
  <c r="L166" i="1"/>
  <c r="K166" i="1" s="1"/>
  <c r="J166" i="1" s="1"/>
  <c r="L167" i="1"/>
  <c r="K167" i="1" s="1"/>
  <c r="J167" i="1" s="1"/>
  <c r="L168" i="1"/>
  <c r="K168" i="1" s="1"/>
  <c r="J168" i="1" s="1"/>
  <c r="L169" i="1"/>
  <c r="K169" i="1" s="1"/>
  <c r="J169" i="1" s="1"/>
  <c r="L170" i="1"/>
  <c r="K170" i="1" s="1"/>
  <c r="J170" i="1" s="1"/>
  <c r="L171" i="1"/>
  <c r="K171" i="1" s="1"/>
  <c r="J171" i="1" s="1"/>
  <c r="L172" i="1"/>
  <c r="K172" i="1" s="1"/>
  <c r="J172" i="1" s="1"/>
  <c r="L173" i="1"/>
  <c r="K173" i="1" s="1"/>
  <c r="J173" i="1" s="1"/>
  <c r="L174" i="1"/>
  <c r="K174" i="1" s="1"/>
  <c r="J174" i="1" s="1"/>
  <c r="L175" i="1"/>
  <c r="K175" i="1" s="1"/>
  <c r="J175" i="1" s="1"/>
  <c r="L176" i="1"/>
  <c r="K176" i="1" s="1"/>
  <c r="J176" i="1" s="1"/>
  <c r="L177" i="1"/>
  <c r="K177" i="1" s="1"/>
  <c r="J177" i="1" s="1"/>
  <c r="L178" i="1"/>
  <c r="K178" i="1" s="1"/>
  <c r="J178" i="1" s="1"/>
  <c r="L179" i="1"/>
  <c r="K179" i="1" s="1"/>
  <c r="J179" i="1" s="1"/>
  <c r="L180" i="1"/>
  <c r="K180" i="1" s="1"/>
  <c r="J180" i="1" s="1"/>
  <c r="L181" i="1"/>
  <c r="K181" i="1" s="1"/>
  <c r="J181" i="1" s="1"/>
  <c r="L182" i="1"/>
  <c r="K182" i="1" s="1"/>
  <c r="J182" i="1" s="1"/>
  <c r="L183" i="1"/>
  <c r="K183" i="1" s="1"/>
  <c r="J183" i="1" s="1"/>
  <c r="L184" i="1"/>
  <c r="K184" i="1" s="1"/>
  <c r="J184" i="1" s="1"/>
  <c r="L185" i="1"/>
  <c r="K185" i="1" s="1"/>
  <c r="J185" i="1" s="1"/>
  <c r="L186" i="1"/>
  <c r="K186" i="1" s="1"/>
  <c r="J186" i="1" s="1"/>
  <c r="L187" i="1"/>
  <c r="K187" i="1" s="1"/>
  <c r="J187" i="1" s="1"/>
  <c r="L188" i="1"/>
  <c r="K188" i="1" s="1"/>
  <c r="J188" i="1" s="1"/>
  <c r="L189" i="1"/>
  <c r="K189" i="1" s="1"/>
  <c r="J189" i="1" s="1"/>
  <c r="L190" i="1"/>
  <c r="K190" i="1" s="1"/>
  <c r="J190" i="1" s="1"/>
  <c r="L191" i="1"/>
  <c r="K191" i="1" s="1"/>
  <c r="J191" i="1" s="1"/>
  <c r="L192" i="1"/>
  <c r="K192" i="1" s="1"/>
  <c r="J192" i="1" s="1"/>
  <c r="L193" i="1"/>
  <c r="K193" i="1" s="1"/>
  <c r="J193" i="1" s="1"/>
  <c r="L194" i="1"/>
  <c r="K194" i="1" s="1"/>
  <c r="J194" i="1" s="1"/>
  <c r="L195" i="1"/>
  <c r="K195" i="1" s="1"/>
  <c r="J195" i="1" s="1"/>
  <c r="L196" i="1"/>
  <c r="K196" i="1" s="1"/>
  <c r="J196" i="1" s="1"/>
  <c r="L197" i="1"/>
  <c r="K197" i="1" s="1"/>
  <c r="J197" i="1" s="1"/>
  <c r="L198" i="1"/>
  <c r="K198" i="1" s="1"/>
  <c r="J198" i="1" s="1"/>
  <c r="L199" i="1"/>
  <c r="K199" i="1" s="1"/>
  <c r="J199" i="1" s="1"/>
  <c r="L200" i="1"/>
  <c r="K200" i="1" s="1"/>
  <c r="J200" i="1" s="1"/>
  <c r="L201" i="1"/>
  <c r="K201" i="1" s="1"/>
  <c r="J201" i="1" s="1"/>
  <c r="L202" i="1"/>
  <c r="K202" i="1" s="1"/>
  <c r="J202" i="1" s="1"/>
  <c r="L203" i="1"/>
  <c r="K203" i="1" s="1"/>
  <c r="J203" i="1" s="1"/>
  <c r="L204" i="1"/>
  <c r="K204" i="1" s="1"/>
  <c r="J204" i="1" s="1"/>
  <c r="L205" i="1"/>
  <c r="K205" i="1" s="1"/>
  <c r="J205" i="1" s="1"/>
  <c r="L206" i="1"/>
  <c r="K206" i="1" s="1"/>
  <c r="J206" i="1" s="1"/>
  <c r="L207" i="1"/>
  <c r="K207" i="1" s="1"/>
  <c r="J207" i="1" s="1"/>
  <c r="L208" i="1"/>
  <c r="K208" i="1" s="1"/>
  <c r="J208" i="1" s="1"/>
  <c r="L209" i="1"/>
  <c r="K209" i="1" s="1"/>
  <c r="J209" i="1" s="1"/>
  <c r="L210" i="1"/>
  <c r="K210" i="1" s="1"/>
  <c r="J210" i="1" s="1"/>
  <c r="L211" i="1"/>
  <c r="K211" i="1" s="1"/>
  <c r="J211" i="1" s="1"/>
  <c r="L212" i="1"/>
  <c r="K212" i="1" s="1"/>
  <c r="J212" i="1" s="1"/>
  <c r="L213" i="1"/>
  <c r="K213" i="1" s="1"/>
  <c r="J213" i="1" s="1"/>
  <c r="L214" i="1"/>
  <c r="K214" i="1" s="1"/>
  <c r="J214" i="1" s="1"/>
  <c r="L215" i="1"/>
  <c r="K215" i="1" s="1"/>
  <c r="J215" i="1" s="1"/>
  <c r="L216" i="1"/>
  <c r="K216" i="1" s="1"/>
  <c r="J216" i="1" s="1"/>
  <c r="L217" i="1"/>
  <c r="K217" i="1" s="1"/>
  <c r="J217" i="1" s="1"/>
  <c r="L218" i="1"/>
  <c r="K218" i="1" s="1"/>
  <c r="J218" i="1" s="1"/>
  <c r="L219" i="1"/>
  <c r="K219" i="1" s="1"/>
  <c r="J219" i="1" s="1"/>
  <c r="L220" i="1"/>
  <c r="K220" i="1" s="1"/>
  <c r="J220" i="1" s="1"/>
  <c r="L221" i="1"/>
  <c r="K221" i="1" s="1"/>
  <c r="J221" i="1" s="1"/>
  <c r="L222" i="1"/>
  <c r="K222" i="1" s="1"/>
  <c r="J222" i="1" s="1"/>
  <c r="L223" i="1"/>
  <c r="K223" i="1" s="1"/>
  <c r="J223" i="1" s="1"/>
  <c r="L224" i="1"/>
  <c r="K224" i="1" s="1"/>
  <c r="J224" i="1" s="1"/>
  <c r="L225" i="1"/>
  <c r="K225" i="1" s="1"/>
  <c r="J225" i="1" s="1"/>
  <c r="L226" i="1"/>
  <c r="K226" i="1" s="1"/>
  <c r="J226" i="1" s="1"/>
  <c r="L227" i="1"/>
  <c r="K227" i="1" s="1"/>
  <c r="J227" i="1" s="1"/>
  <c r="L228" i="1"/>
  <c r="K228" i="1" s="1"/>
  <c r="J228" i="1" s="1"/>
  <c r="L229" i="1"/>
  <c r="K229" i="1" s="1"/>
  <c r="J229" i="1" s="1"/>
  <c r="L230" i="1"/>
  <c r="K230" i="1" s="1"/>
  <c r="J230" i="1" s="1"/>
  <c r="L231" i="1"/>
  <c r="K231" i="1" s="1"/>
  <c r="J231" i="1" s="1"/>
  <c r="L232" i="1"/>
  <c r="K232" i="1" s="1"/>
  <c r="J232" i="1" s="1"/>
  <c r="L233" i="1"/>
  <c r="K233" i="1" s="1"/>
  <c r="J233" i="1" s="1"/>
  <c r="L234" i="1"/>
  <c r="K234" i="1" s="1"/>
  <c r="J234" i="1" s="1"/>
  <c r="L235" i="1"/>
  <c r="K235" i="1" s="1"/>
  <c r="J235" i="1" s="1"/>
  <c r="L236" i="1"/>
  <c r="K236" i="1" s="1"/>
  <c r="J236" i="1" s="1"/>
  <c r="L237" i="1"/>
  <c r="K237" i="1" s="1"/>
  <c r="J237" i="1" s="1"/>
  <c r="L238" i="1"/>
  <c r="K238" i="1" s="1"/>
  <c r="J238" i="1" s="1"/>
  <c r="L239" i="1"/>
  <c r="K239" i="1" s="1"/>
  <c r="J239" i="1" s="1"/>
  <c r="L240" i="1"/>
  <c r="K240" i="1" s="1"/>
  <c r="J240" i="1" s="1"/>
  <c r="L241" i="1"/>
  <c r="K241" i="1" s="1"/>
  <c r="J241" i="1" s="1"/>
  <c r="L242" i="1"/>
  <c r="K242" i="1" s="1"/>
  <c r="J242" i="1" s="1"/>
  <c r="L243" i="1"/>
  <c r="K243" i="1" s="1"/>
  <c r="J243" i="1" s="1"/>
  <c r="L244" i="1"/>
  <c r="K244" i="1" s="1"/>
  <c r="J244" i="1" s="1"/>
  <c r="L245" i="1"/>
  <c r="K245" i="1" s="1"/>
  <c r="J245" i="1" s="1"/>
  <c r="L246" i="1"/>
  <c r="K246" i="1" s="1"/>
  <c r="J246" i="1" s="1"/>
  <c r="L247" i="1"/>
  <c r="K247" i="1" s="1"/>
  <c r="J247" i="1" s="1"/>
  <c r="L248" i="1"/>
  <c r="K248" i="1" s="1"/>
  <c r="J248" i="1" s="1"/>
  <c r="L249" i="1"/>
  <c r="K249" i="1" s="1"/>
  <c r="J249" i="1" s="1"/>
  <c r="L250" i="1"/>
  <c r="K250" i="1" s="1"/>
  <c r="J250" i="1" s="1"/>
  <c r="L251" i="1"/>
  <c r="K251" i="1" s="1"/>
  <c r="J251" i="1" s="1"/>
  <c r="L252" i="1"/>
  <c r="K252" i="1" s="1"/>
  <c r="J252" i="1" s="1"/>
  <c r="L253" i="1"/>
  <c r="K253" i="1" s="1"/>
  <c r="J253" i="1" s="1"/>
  <c r="L254" i="1"/>
  <c r="K254" i="1" s="1"/>
  <c r="J254" i="1" s="1"/>
  <c r="L255" i="1"/>
  <c r="K255" i="1" s="1"/>
  <c r="J255" i="1" s="1"/>
  <c r="L256" i="1"/>
  <c r="K256" i="1" s="1"/>
  <c r="J256" i="1" s="1"/>
  <c r="L257" i="1"/>
  <c r="K257" i="1" s="1"/>
  <c r="J257" i="1" s="1"/>
  <c r="L258" i="1"/>
  <c r="K258" i="1" s="1"/>
  <c r="J258" i="1" s="1"/>
  <c r="L259" i="1"/>
  <c r="K259" i="1" s="1"/>
  <c r="J259" i="1" s="1"/>
  <c r="L260" i="1"/>
  <c r="K260" i="1" s="1"/>
  <c r="J260" i="1" s="1"/>
  <c r="L261" i="1"/>
  <c r="K261" i="1" s="1"/>
  <c r="J261" i="1" s="1"/>
  <c r="L262" i="1"/>
  <c r="K262" i="1" s="1"/>
  <c r="J262" i="1" s="1"/>
  <c r="L263" i="1"/>
  <c r="K263" i="1" s="1"/>
  <c r="J263" i="1" s="1"/>
  <c r="L264" i="1"/>
  <c r="K264" i="1" s="1"/>
  <c r="J264" i="1" s="1"/>
  <c r="L265" i="1"/>
  <c r="K265" i="1" s="1"/>
  <c r="J265" i="1" s="1"/>
  <c r="L266" i="1"/>
  <c r="K266" i="1" s="1"/>
  <c r="J266" i="1" s="1"/>
  <c r="L267" i="1"/>
  <c r="K267" i="1" s="1"/>
  <c r="J267" i="1" s="1"/>
  <c r="L268" i="1"/>
  <c r="K268" i="1" s="1"/>
  <c r="J268" i="1" s="1"/>
  <c r="L269" i="1"/>
  <c r="K269" i="1" s="1"/>
  <c r="J269" i="1" s="1"/>
  <c r="L270" i="1"/>
  <c r="K270" i="1" s="1"/>
  <c r="J270" i="1" s="1"/>
  <c r="L271" i="1"/>
  <c r="K271" i="1" s="1"/>
  <c r="J271" i="1" s="1"/>
  <c r="L272" i="1"/>
  <c r="K272" i="1" s="1"/>
  <c r="J272" i="1" s="1"/>
  <c r="L273" i="1"/>
  <c r="K273" i="1" s="1"/>
  <c r="J273" i="1" s="1"/>
  <c r="L274" i="1"/>
  <c r="K274" i="1" s="1"/>
  <c r="J274" i="1" s="1"/>
  <c r="L275" i="1"/>
  <c r="K275" i="1" s="1"/>
  <c r="J275" i="1" s="1"/>
  <c r="L276" i="1"/>
  <c r="K276" i="1" s="1"/>
  <c r="J276" i="1" s="1"/>
  <c r="L277" i="1"/>
  <c r="K277" i="1" s="1"/>
  <c r="J277" i="1" s="1"/>
  <c r="L278" i="1"/>
  <c r="K278" i="1" s="1"/>
  <c r="J278" i="1" s="1"/>
  <c r="L279" i="1"/>
  <c r="K279" i="1" s="1"/>
  <c r="J279" i="1" s="1"/>
  <c r="L280" i="1"/>
  <c r="K280" i="1" s="1"/>
  <c r="J280" i="1" s="1"/>
  <c r="L281" i="1"/>
  <c r="K281" i="1" s="1"/>
  <c r="J281" i="1" s="1"/>
  <c r="L282" i="1"/>
  <c r="K282" i="1" s="1"/>
  <c r="J282" i="1" s="1"/>
  <c r="L283" i="1"/>
  <c r="K283" i="1" s="1"/>
  <c r="J283" i="1" s="1"/>
  <c r="L284" i="1"/>
  <c r="K284" i="1" s="1"/>
  <c r="J284" i="1" s="1"/>
  <c r="L285" i="1"/>
  <c r="K285" i="1" s="1"/>
  <c r="J285" i="1" s="1"/>
  <c r="L286" i="1"/>
  <c r="K286" i="1" s="1"/>
  <c r="J286" i="1" s="1"/>
  <c r="L287" i="1"/>
  <c r="K287" i="1" s="1"/>
  <c r="J287" i="1" s="1"/>
  <c r="L288" i="1"/>
  <c r="K288" i="1" s="1"/>
  <c r="J288" i="1" s="1"/>
  <c r="L289" i="1"/>
  <c r="K289" i="1" s="1"/>
  <c r="J289" i="1" s="1"/>
  <c r="L290" i="1"/>
  <c r="K290" i="1" s="1"/>
  <c r="J290" i="1" s="1"/>
  <c r="L291" i="1"/>
  <c r="K291" i="1" s="1"/>
  <c r="J291" i="1" s="1"/>
  <c r="L292" i="1"/>
  <c r="K292" i="1" s="1"/>
  <c r="J292" i="1" s="1"/>
  <c r="L293" i="1"/>
  <c r="K293" i="1" s="1"/>
  <c r="J293" i="1" s="1"/>
  <c r="L294" i="1"/>
  <c r="K294" i="1" s="1"/>
  <c r="J294" i="1" s="1"/>
  <c r="L295" i="1"/>
  <c r="K295" i="1" s="1"/>
  <c r="J295" i="1" s="1"/>
  <c r="L296" i="1"/>
  <c r="K296" i="1" s="1"/>
  <c r="J296" i="1" s="1"/>
  <c r="L297" i="1"/>
  <c r="K297" i="1" s="1"/>
  <c r="J297" i="1" s="1"/>
  <c r="L298" i="1"/>
  <c r="K298" i="1" s="1"/>
  <c r="J298" i="1" s="1"/>
  <c r="L299" i="1"/>
  <c r="K299" i="1" s="1"/>
  <c r="J299" i="1" s="1"/>
  <c r="L300" i="1"/>
  <c r="K300" i="1" s="1"/>
  <c r="J300" i="1" s="1"/>
  <c r="L301" i="1"/>
  <c r="K301" i="1" s="1"/>
  <c r="J301" i="1" s="1"/>
  <c r="L302" i="1"/>
  <c r="K302" i="1" s="1"/>
  <c r="J302" i="1" s="1"/>
  <c r="L303" i="1"/>
  <c r="K303" i="1" s="1"/>
  <c r="J303" i="1" s="1"/>
  <c r="L304" i="1"/>
  <c r="K304" i="1" s="1"/>
  <c r="J304" i="1" s="1"/>
  <c r="L305" i="1"/>
  <c r="K305" i="1" s="1"/>
  <c r="J305" i="1" s="1"/>
  <c r="L306" i="1"/>
  <c r="K306" i="1" s="1"/>
  <c r="J306" i="1" s="1"/>
  <c r="L307" i="1"/>
  <c r="K307" i="1" s="1"/>
  <c r="J307" i="1" s="1"/>
  <c r="L308" i="1"/>
  <c r="K308" i="1" s="1"/>
  <c r="J308" i="1" s="1"/>
  <c r="L309" i="1"/>
  <c r="K309" i="1" s="1"/>
  <c r="J309" i="1" s="1"/>
  <c r="L310" i="1"/>
  <c r="K310" i="1" s="1"/>
  <c r="J310" i="1" s="1"/>
  <c r="L311" i="1"/>
  <c r="K311" i="1" s="1"/>
  <c r="J311" i="1" s="1"/>
  <c r="L312" i="1"/>
  <c r="K312" i="1" s="1"/>
  <c r="J312" i="1" s="1"/>
  <c r="L313" i="1"/>
  <c r="K313" i="1" s="1"/>
  <c r="J313" i="1" s="1"/>
  <c r="L314" i="1"/>
  <c r="K314" i="1" s="1"/>
  <c r="J314" i="1" s="1"/>
  <c r="L315" i="1"/>
  <c r="K315" i="1" s="1"/>
  <c r="J315" i="1" s="1"/>
  <c r="L316" i="1"/>
  <c r="K316" i="1" s="1"/>
  <c r="J316" i="1" s="1"/>
  <c r="L317" i="1"/>
  <c r="K317" i="1" s="1"/>
  <c r="J317" i="1" s="1"/>
  <c r="L318" i="1"/>
  <c r="K318" i="1" s="1"/>
  <c r="J318" i="1" s="1"/>
  <c r="L319" i="1"/>
  <c r="K319" i="1" s="1"/>
  <c r="J319" i="1" s="1"/>
  <c r="L320" i="1"/>
  <c r="K320" i="1" s="1"/>
  <c r="J320" i="1" s="1"/>
  <c r="L321" i="1"/>
  <c r="K321" i="1" s="1"/>
  <c r="J321" i="1" s="1"/>
  <c r="L322" i="1"/>
  <c r="K322" i="1" s="1"/>
  <c r="J322" i="1" s="1"/>
  <c r="L323" i="1"/>
  <c r="K323" i="1" s="1"/>
  <c r="J323" i="1" s="1"/>
  <c r="L324" i="1"/>
  <c r="K324" i="1" s="1"/>
  <c r="J324" i="1" s="1"/>
  <c r="L325" i="1"/>
  <c r="K325" i="1" s="1"/>
  <c r="J325" i="1" s="1"/>
  <c r="L326" i="1"/>
  <c r="K326" i="1" s="1"/>
  <c r="J326" i="1" s="1"/>
  <c r="L327" i="1"/>
  <c r="K327" i="1" s="1"/>
  <c r="J327" i="1" s="1"/>
  <c r="L328" i="1"/>
  <c r="K328" i="1" s="1"/>
  <c r="J328" i="1" s="1"/>
  <c r="L329" i="1"/>
  <c r="K329" i="1" s="1"/>
  <c r="J329" i="1" s="1"/>
  <c r="L330" i="1"/>
  <c r="K330" i="1" s="1"/>
  <c r="J330" i="1" s="1"/>
  <c r="L331" i="1"/>
  <c r="K331" i="1" s="1"/>
  <c r="J331" i="1" s="1"/>
  <c r="L332" i="1"/>
  <c r="K332" i="1" s="1"/>
  <c r="J332" i="1" s="1"/>
  <c r="L333" i="1"/>
  <c r="K333" i="1" s="1"/>
  <c r="J333" i="1" s="1"/>
  <c r="L334" i="1"/>
  <c r="K334" i="1" s="1"/>
  <c r="J334" i="1" s="1"/>
  <c r="L335" i="1"/>
  <c r="K335" i="1" s="1"/>
  <c r="J335" i="1" s="1"/>
  <c r="L336" i="1"/>
  <c r="K336" i="1" s="1"/>
  <c r="J336" i="1" s="1"/>
  <c r="L337" i="1"/>
  <c r="K337" i="1" s="1"/>
  <c r="J337" i="1" s="1"/>
  <c r="L338" i="1"/>
  <c r="K338" i="1" s="1"/>
  <c r="J338" i="1" s="1"/>
  <c r="L339" i="1"/>
  <c r="K339" i="1" s="1"/>
  <c r="J339" i="1" s="1"/>
  <c r="L340" i="1"/>
  <c r="K340" i="1" s="1"/>
  <c r="J340" i="1" s="1"/>
  <c r="L341" i="1"/>
  <c r="K341" i="1" s="1"/>
  <c r="J341" i="1" s="1"/>
  <c r="L342" i="1"/>
  <c r="K342" i="1" s="1"/>
  <c r="J342" i="1" s="1"/>
  <c r="L343" i="1"/>
  <c r="K343" i="1" s="1"/>
  <c r="J343" i="1" s="1"/>
  <c r="L344" i="1"/>
  <c r="K344" i="1" s="1"/>
  <c r="J344" i="1" s="1"/>
  <c r="L345" i="1"/>
  <c r="K345" i="1" s="1"/>
  <c r="J345" i="1" s="1"/>
  <c r="L346" i="1"/>
  <c r="K346" i="1" s="1"/>
  <c r="J346" i="1" s="1"/>
  <c r="L347" i="1"/>
  <c r="K347" i="1" s="1"/>
  <c r="J347" i="1" s="1"/>
  <c r="L348" i="1"/>
  <c r="K348" i="1" s="1"/>
  <c r="J348" i="1" s="1"/>
  <c r="L349" i="1"/>
  <c r="K349" i="1" s="1"/>
  <c r="J349" i="1" s="1"/>
  <c r="L350" i="1"/>
  <c r="K350" i="1" s="1"/>
  <c r="J350" i="1" s="1"/>
  <c r="L351" i="1"/>
  <c r="K351" i="1" s="1"/>
  <c r="J351" i="1" s="1"/>
  <c r="L352" i="1"/>
  <c r="K352" i="1" s="1"/>
  <c r="J352" i="1" s="1"/>
  <c r="L353" i="1"/>
  <c r="K353" i="1" s="1"/>
  <c r="J353" i="1" s="1"/>
  <c r="L354" i="1"/>
  <c r="K354" i="1" s="1"/>
  <c r="J354" i="1" s="1"/>
  <c r="L355" i="1"/>
  <c r="K355" i="1" s="1"/>
  <c r="J355" i="1" s="1"/>
  <c r="L356" i="1"/>
  <c r="K356" i="1" s="1"/>
  <c r="J356" i="1" s="1"/>
  <c r="L357" i="1"/>
  <c r="K357" i="1" s="1"/>
  <c r="J357" i="1" s="1"/>
  <c r="L358" i="1"/>
  <c r="K358" i="1" s="1"/>
  <c r="J358" i="1" s="1"/>
  <c r="L359" i="1"/>
  <c r="K359" i="1" s="1"/>
  <c r="J359" i="1" s="1"/>
  <c r="L360" i="1"/>
  <c r="K360" i="1" s="1"/>
  <c r="J360" i="1" s="1"/>
  <c r="L361" i="1"/>
  <c r="K361" i="1" s="1"/>
  <c r="J361" i="1" s="1"/>
  <c r="L362" i="1"/>
  <c r="K362" i="1" s="1"/>
  <c r="J362" i="1" s="1"/>
  <c r="L363" i="1"/>
  <c r="K363" i="1" s="1"/>
  <c r="J363" i="1" s="1"/>
  <c r="L364" i="1"/>
  <c r="K364" i="1" s="1"/>
  <c r="J364" i="1" s="1"/>
  <c r="L365" i="1"/>
  <c r="K365" i="1" s="1"/>
  <c r="J365" i="1" s="1"/>
  <c r="L366" i="1"/>
  <c r="K366" i="1" s="1"/>
  <c r="J366" i="1" s="1"/>
  <c r="L367" i="1"/>
  <c r="K367" i="1" s="1"/>
  <c r="J367" i="1" s="1"/>
  <c r="L368" i="1"/>
  <c r="K368" i="1" s="1"/>
  <c r="J368" i="1" s="1"/>
  <c r="L369" i="1"/>
  <c r="K369" i="1" s="1"/>
  <c r="J369" i="1" s="1"/>
  <c r="L370" i="1"/>
  <c r="K370" i="1" s="1"/>
  <c r="J370" i="1" s="1"/>
  <c r="L371" i="1"/>
  <c r="K371" i="1" s="1"/>
  <c r="J371" i="1" s="1"/>
  <c r="L372" i="1"/>
  <c r="K372" i="1" s="1"/>
  <c r="J372" i="1" s="1"/>
  <c r="L373" i="1"/>
  <c r="K373" i="1" s="1"/>
  <c r="J373" i="1" s="1"/>
  <c r="L374" i="1"/>
  <c r="K374" i="1" s="1"/>
  <c r="J374" i="1" s="1"/>
  <c r="L375" i="1"/>
  <c r="K375" i="1" s="1"/>
  <c r="J375" i="1" s="1"/>
  <c r="L376" i="1"/>
  <c r="K376" i="1" s="1"/>
  <c r="J376" i="1" s="1"/>
  <c r="L377" i="1"/>
  <c r="K377" i="1" s="1"/>
  <c r="J377" i="1" s="1"/>
  <c r="L378" i="1"/>
  <c r="K378" i="1" s="1"/>
  <c r="J378" i="1" s="1"/>
  <c r="L379" i="1"/>
  <c r="K379" i="1" s="1"/>
  <c r="J379" i="1" s="1"/>
  <c r="L380" i="1"/>
  <c r="K380" i="1" s="1"/>
  <c r="J380" i="1" s="1"/>
  <c r="L381" i="1"/>
  <c r="K381" i="1" s="1"/>
  <c r="J381" i="1" s="1"/>
  <c r="L382" i="1"/>
  <c r="K382" i="1" s="1"/>
  <c r="J382" i="1" s="1"/>
  <c r="L383" i="1"/>
  <c r="K383" i="1" s="1"/>
  <c r="J383" i="1" s="1"/>
  <c r="L384" i="1"/>
  <c r="K384" i="1" s="1"/>
  <c r="J384" i="1" s="1"/>
  <c r="L385" i="1"/>
  <c r="K385" i="1" s="1"/>
  <c r="J385" i="1" s="1"/>
  <c r="L386" i="1"/>
  <c r="K386" i="1" s="1"/>
  <c r="J386" i="1" s="1"/>
  <c r="L387" i="1"/>
  <c r="K387" i="1" s="1"/>
  <c r="J387" i="1" s="1"/>
  <c r="L388" i="1"/>
  <c r="K388" i="1" s="1"/>
  <c r="J388" i="1" s="1"/>
  <c r="L389" i="1"/>
  <c r="K389" i="1" s="1"/>
  <c r="J389" i="1" s="1"/>
  <c r="L390" i="1"/>
  <c r="K390" i="1" s="1"/>
  <c r="J390" i="1" s="1"/>
  <c r="L391" i="1"/>
  <c r="K391" i="1" s="1"/>
  <c r="J391" i="1" s="1"/>
  <c r="L392" i="1"/>
  <c r="K392" i="1" s="1"/>
  <c r="J392" i="1" s="1"/>
  <c r="L393" i="1"/>
  <c r="K393" i="1" s="1"/>
  <c r="J393" i="1" s="1"/>
  <c r="L394" i="1"/>
  <c r="K394" i="1" s="1"/>
  <c r="J394" i="1" s="1"/>
  <c r="L395" i="1"/>
  <c r="K395" i="1" s="1"/>
  <c r="J395" i="1" s="1"/>
  <c r="L396" i="1"/>
  <c r="K396" i="1" s="1"/>
  <c r="J396" i="1" s="1"/>
  <c r="L397" i="1"/>
  <c r="K397" i="1" s="1"/>
  <c r="J397" i="1" s="1"/>
  <c r="L398" i="1"/>
  <c r="K398" i="1" s="1"/>
  <c r="J398" i="1" s="1"/>
  <c r="L399" i="1"/>
  <c r="K399" i="1" s="1"/>
  <c r="J399" i="1" s="1"/>
  <c r="L400" i="1"/>
  <c r="K400" i="1" s="1"/>
  <c r="J400" i="1" s="1"/>
  <c r="L401" i="1"/>
  <c r="K401" i="1" s="1"/>
  <c r="J401" i="1" s="1"/>
  <c r="L402" i="1"/>
  <c r="K402" i="1" s="1"/>
  <c r="J402" i="1" s="1"/>
  <c r="L403" i="1"/>
  <c r="K403" i="1" s="1"/>
  <c r="J403" i="1" s="1"/>
  <c r="L404" i="1"/>
  <c r="K404" i="1" s="1"/>
  <c r="J404" i="1" s="1"/>
  <c r="L405" i="1"/>
  <c r="K405" i="1" s="1"/>
  <c r="J405" i="1" s="1"/>
  <c r="L406" i="1"/>
  <c r="K406" i="1" s="1"/>
  <c r="J406" i="1" s="1"/>
  <c r="L407" i="1"/>
  <c r="K407" i="1" s="1"/>
  <c r="J407" i="1" s="1"/>
  <c r="L408" i="1"/>
  <c r="K408" i="1" s="1"/>
  <c r="J408" i="1" s="1"/>
  <c r="L409" i="1"/>
  <c r="K409" i="1" s="1"/>
  <c r="J409" i="1" s="1"/>
  <c r="L410" i="1"/>
  <c r="K410" i="1" s="1"/>
  <c r="J410" i="1" s="1"/>
  <c r="L411" i="1"/>
  <c r="K411" i="1" s="1"/>
  <c r="J411" i="1" s="1"/>
  <c r="L412" i="1"/>
  <c r="K412" i="1" s="1"/>
  <c r="J412" i="1" s="1"/>
  <c r="L413" i="1"/>
  <c r="K413" i="1" s="1"/>
  <c r="J413" i="1" s="1"/>
  <c r="L414" i="1"/>
  <c r="K414" i="1" s="1"/>
  <c r="J414" i="1" s="1"/>
  <c r="L415" i="1"/>
  <c r="K415" i="1" s="1"/>
  <c r="J415" i="1" s="1"/>
  <c r="L416" i="1"/>
  <c r="K416" i="1" s="1"/>
  <c r="J416" i="1" s="1"/>
  <c r="L417" i="1"/>
  <c r="K417" i="1" s="1"/>
  <c r="J417" i="1" s="1"/>
  <c r="L418" i="1"/>
  <c r="K418" i="1" s="1"/>
  <c r="J418" i="1" s="1"/>
  <c r="L419" i="1"/>
  <c r="K419" i="1" s="1"/>
  <c r="J419" i="1" s="1"/>
  <c r="L420" i="1"/>
  <c r="K420" i="1" s="1"/>
  <c r="J420" i="1" s="1"/>
  <c r="L421" i="1"/>
  <c r="K421" i="1" s="1"/>
  <c r="J421" i="1" s="1"/>
  <c r="L422" i="1"/>
  <c r="K422" i="1" s="1"/>
  <c r="J422" i="1" s="1"/>
  <c r="L423" i="1"/>
  <c r="K423" i="1" s="1"/>
  <c r="J423" i="1" s="1"/>
  <c r="L424" i="1"/>
  <c r="K424" i="1" s="1"/>
  <c r="J424" i="1" s="1"/>
  <c r="L425" i="1"/>
  <c r="K425" i="1" s="1"/>
  <c r="J425" i="1" s="1"/>
  <c r="L426" i="1"/>
  <c r="K426" i="1" s="1"/>
  <c r="J426" i="1" s="1"/>
  <c r="L427" i="1"/>
  <c r="K427" i="1" s="1"/>
  <c r="J427" i="1" s="1"/>
  <c r="L428" i="1"/>
  <c r="K428" i="1" s="1"/>
  <c r="J428" i="1" s="1"/>
  <c r="L429" i="1"/>
  <c r="K429" i="1" s="1"/>
  <c r="J429" i="1" s="1"/>
  <c r="L430" i="1"/>
  <c r="K430" i="1" s="1"/>
  <c r="J430" i="1" s="1"/>
  <c r="L431" i="1"/>
  <c r="K431" i="1" s="1"/>
  <c r="J431" i="1" s="1"/>
  <c r="L432" i="1"/>
  <c r="K432" i="1" s="1"/>
  <c r="J432" i="1" s="1"/>
  <c r="L433" i="1"/>
  <c r="K433" i="1" s="1"/>
  <c r="J433" i="1" s="1"/>
  <c r="L434" i="1"/>
  <c r="K434" i="1" s="1"/>
  <c r="J434" i="1" s="1"/>
  <c r="L435" i="1"/>
  <c r="K435" i="1" s="1"/>
  <c r="J435" i="1" s="1"/>
  <c r="L436" i="1"/>
  <c r="K436" i="1" s="1"/>
  <c r="J436" i="1" s="1"/>
  <c r="L437" i="1"/>
  <c r="K437" i="1" s="1"/>
  <c r="J437" i="1" s="1"/>
  <c r="L438" i="1"/>
  <c r="K438" i="1" s="1"/>
  <c r="J438" i="1" s="1"/>
  <c r="L439" i="1"/>
  <c r="K439" i="1" s="1"/>
  <c r="J439" i="1" s="1"/>
  <c r="L440" i="1"/>
  <c r="K440" i="1" s="1"/>
  <c r="J440" i="1" s="1"/>
  <c r="L441" i="1"/>
  <c r="K441" i="1" s="1"/>
  <c r="J441" i="1" s="1"/>
  <c r="L442" i="1"/>
  <c r="K442" i="1" s="1"/>
  <c r="J442" i="1" s="1"/>
  <c r="L443" i="1"/>
  <c r="K443" i="1" s="1"/>
  <c r="J443" i="1" s="1"/>
  <c r="L444" i="1"/>
  <c r="K444" i="1" s="1"/>
  <c r="J444" i="1" s="1"/>
  <c r="L445" i="1"/>
  <c r="K445" i="1" s="1"/>
  <c r="J445" i="1" s="1"/>
  <c r="L446" i="1"/>
  <c r="K446" i="1" s="1"/>
  <c r="J446" i="1" s="1"/>
  <c r="L447" i="1"/>
  <c r="K447" i="1" s="1"/>
  <c r="J447" i="1" s="1"/>
  <c r="L448" i="1"/>
  <c r="K448" i="1" s="1"/>
  <c r="J448" i="1" s="1"/>
  <c r="L449" i="1"/>
  <c r="K449" i="1" s="1"/>
  <c r="J449" i="1" s="1"/>
  <c r="L450" i="1"/>
  <c r="K450" i="1" s="1"/>
  <c r="J450" i="1" s="1"/>
  <c r="L451" i="1"/>
  <c r="K451" i="1" s="1"/>
  <c r="J451" i="1" s="1"/>
  <c r="L452" i="1"/>
  <c r="K452" i="1" s="1"/>
  <c r="J452" i="1" s="1"/>
  <c r="L453" i="1"/>
  <c r="K453" i="1" s="1"/>
  <c r="J453" i="1" s="1"/>
  <c r="L454" i="1"/>
  <c r="K454" i="1" s="1"/>
  <c r="J454" i="1" s="1"/>
  <c r="L455" i="1"/>
  <c r="K455" i="1" s="1"/>
  <c r="J455" i="1" s="1"/>
  <c r="L456" i="1"/>
  <c r="K456" i="1" s="1"/>
  <c r="J456" i="1" s="1"/>
  <c r="L457" i="1"/>
  <c r="K457" i="1" s="1"/>
  <c r="J457" i="1" s="1"/>
  <c r="L458" i="1"/>
  <c r="K458" i="1" s="1"/>
  <c r="J458" i="1" s="1"/>
  <c r="L459" i="1"/>
  <c r="K459" i="1" s="1"/>
  <c r="J459" i="1" s="1"/>
  <c r="L460" i="1"/>
  <c r="K460" i="1" s="1"/>
  <c r="J460" i="1" s="1"/>
  <c r="L461" i="1"/>
  <c r="K461" i="1" s="1"/>
  <c r="J461" i="1" s="1"/>
  <c r="L462" i="1"/>
  <c r="K462" i="1" s="1"/>
  <c r="J462" i="1" s="1"/>
  <c r="L463" i="1"/>
  <c r="K463" i="1" s="1"/>
  <c r="J463" i="1" s="1"/>
  <c r="L464" i="1"/>
  <c r="K464" i="1" s="1"/>
  <c r="J464" i="1" s="1"/>
  <c r="L465" i="1"/>
  <c r="K465" i="1" s="1"/>
  <c r="J465" i="1" s="1"/>
  <c r="L466" i="1"/>
  <c r="K466" i="1" s="1"/>
  <c r="J466" i="1" s="1"/>
  <c r="L467" i="1"/>
  <c r="K467" i="1" s="1"/>
  <c r="J467" i="1" s="1"/>
  <c r="L468" i="1"/>
  <c r="K468" i="1" s="1"/>
  <c r="J468" i="1" s="1"/>
  <c r="L469" i="1"/>
  <c r="K469" i="1" s="1"/>
  <c r="J469" i="1" s="1"/>
  <c r="L470" i="1"/>
  <c r="K470" i="1" s="1"/>
  <c r="J470" i="1" s="1"/>
  <c r="L471" i="1"/>
  <c r="K471" i="1" s="1"/>
  <c r="J471" i="1" s="1"/>
  <c r="L472" i="1"/>
  <c r="K472" i="1" s="1"/>
  <c r="J472" i="1" s="1"/>
  <c r="L473" i="1"/>
  <c r="K473" i="1" s="1"/>
  <c r="J473" i="1" s="1"/>
  <c r="L474" i="1"/>
  <c r="K474" i="1" s="1"/>
  <c r="J474" i="1" s="1"/>
  <c r="L475" i="1"/>
  <c r="K475" i="1" s="1"/>
  <c r="J475" i="1" s="1"/>
  <c r="L476" i="1"/>
  <c r="K476" i="1" s="1"/>
  <c r="J476" i="1" s="1"/>
  <c r="L477" i="1"/>
  <c r="K477" i="1" s="1"/>
  <c r="J477" i="1" s="1"/>
  <c r="L478" i="1"/>
  <c r="K478" i="1" s="1"/>
  <c r="J478" i="1" s="1"/>
  <c r="L479" i="1"/>
  <c r="K479" i="1" s="1"/>
  <c r="J479" i="1" s="1"/>
  <c r="L480" i="1"/>
  <c r="K480" i="1" s="1"/>
  <c r="J480" i="1" s="1"/>
  <c r="L481" i="1"/>
  <c r="K481" i="1" s="1"/>
  <c r="J481" i="1" s="1"/>
  <c r="L482" i="1"/>
  <c r="K482" i="1" s="1"/>
  <c r="J482" i="1" s="1"/>
  <c r="L483" i="1"/>
  <c r="K483" i="1" s="1"/>
  <c r="J483" i="1" s="1"/>
  <c r="L484" i="1"/>
  <c r="K484" i="1" s="1"/>
  <c r="J484" i="1" s="1"/>
  <c r="L485" i="1"/>
  <c r="K485" i="1" s="1"/>
  <c r="J485" i="1" s="1"/>
  <c r="L486" i="1"/>
  <c r="K486" i="1" s="1"/>
  <c r="J486" i="1" s="1"/>
  <c r="L487" i="1"/>
  <c r="K487" i="1" s="1"/>
  <c r="J487" i="1" s="1"/>
  <c r="L488" i="1"/>
  <c r="K488" i="1" s="1"/>
  <c r="J488" i="1" s="1"/>
  <c r="L489" i="1"/>
  <c r="K489" i="1" s="1"/>
  <c r="J489" i="1" s="1"/>
  <c r="L490" i="1"/>
  <c r="K490" i="1" s="1"/>
  <c r="J490" i="1" s="1"/>
  <c r="L491" i="1"/>
  <c r="K491" i="1" s="1"/>
  <c r="J491" i="1" s="1"/>
  <c r="L492" i="1"/>
  <c r="K492" i="1" s="1"/>
  <c r="J492" i="1" s="1"/>
  <c r="L493" i="1"/>
  <c r="K493" i="1" s="1"/>
  <c r="J493" i="1" s="1"/>
  <c r="L494" i="1"/>
  <c r="K494" i="1" s="1"/>
  <c r="J494" i="1" s="1"/>
  <c r="L495" i="1"/>
  <c r="K495" i="1" s="1"/>
  <c r="J495" i="1" s="1"/>
  <c r="L496" i="1"/>
  <c r="K496" i="1" s="1"/>
  <c r="J496" i="1" s="1"/>
  <c r="L497" i="1"/>
  <c r="K497" i="1" s="1"/>
  <c r="J497" i="1" s="1"/>
  <c r="L498" i="1"/>
  <c r="K498" i="1" s="1"/>
  <c r="J498" i="1" s="1"/>
  <c r="L499" i="1"/>
  <c r="K499" i="1" s="1"/>
  <c r="J499" i="1" s="1"/>
  <c r="L500" i="1"/>
  <c r="K500" i="1" s="1"/>
  <c r="J500" i="1" s="1"/>
  <c r="L501" i="1"/>
  <c r="K501" i="1" s="1"/>
  <c r="J501" i="1" s="1"/>
  <c r="L502" i="1"/>
  <c r="K502" i="1" s="1"/>
  <c r="J502" i="1" s="1"/>
  <c r="L503" i="1"/>
  <c r="K503" i="1" s="1"/>
  <c r="J503" i="1" s="1"/>
  <c r="L504" i="1"/>
  <c r="K504" i="1" s="1"/>
  <c r="J504" i="1" s="1"/>
  <c r="L505" i="1"/>
  <c r="K505" i="1" s="1"/>
  <c r="J505" i="1" s="1"/>
  <c r="L506" i="1"/>
  <c r="K506" i="1" s="1"/>
  <c r="J506" i="1" s="1"/>
  <c r="L507" i="1"/>
  <c r="K507" i="1" s="1"/>
  <c r="J507" i="1" s="1"/>
  <c r="L508" i="1"/>
  <c r="K508" i="1" s="1"/>
  <c r="J508" i="1" s="1"/>
  <c r="L509" i="1"/>
  <c r="K509" i="1" s="1"/>
  <c r="J509" i="1" s="1"/>
  <c r="L510" i="1"/>
  <c r="K510" i="1" s="1"/>
  <c r="J510" i="1" s="1"/>
  <c r="L511" i="1"/>
  <c r="K511" i="1" s="1"/>
  <c r="J511" i="1" s="1"/>
  <c r="L512" i="1"/>
  <c r="K512" i="1" s="1"/>
  <c r="J512" i="1" s="1"/>
  <c r="L513" i="1"/>
  <c r="K513" i="1" s="1"/>
  <c r="J513" i="1" s="1"/>
  <c r="L514" i="1"/>
  <c r="K514" i="1" s="1"/>
  <c r="J514" i="1" s="1"/>
  <c r="L515" i="1"/>
  <c r="K515" i="1" s="1"/>
  <c r="J515" i="1" s="1"/>
  <c r="L516" i="1"/>
  <c r="K516" i="1" s="1"/>
  <c r="J516" i="1" s="1"/>
  <c r="L517" i="1"/>
  <c r="K517" i="1" s="1"/>
  <c r="J517" i="1" s="1"/>
  <c r="L518" i="1"/>
  <c r="K518" i="1" s="1"/>
  <c r="J518" i="1" s="1"/>
  <c r="L519" i="1"/>
  <c r="K519" i="1" s="1"/>
  <c r="J519" i="1" s="1"/>
  <c r="L520" i="1"/>
  <c r="K520" i="1" s="1"/>
  <c r="J520" i="1" s="1"/>
  <c r="L521" i="1"/>
  <c r="K521" i="1" s="1"/>
  <c r="J521" i="1" s="1"/>
  <c r="L522" i="1"/>
  <c r="K522" i="1" s="1"/>
  <c r="J522" i="1" s="1"/>
  <c r="L523" i="1"/>
  <c r="K523" i="1" s="1"/>
  <c r="J523" i="1" s="1"/>
  <c r="L524" i="1"/>
  <c r="K524" i="1" s="1"/>
  <c r="J524" i="1" s="1"/>
  <c r="L525" i="1"/>
  <c r="K525" i="1" s="1"/>
  <c r="J525" i="1" s="1"/>
  <c r="L526" i="1"/>
  <c r="K526" i="1" s="1"/>
  <c r="J526" i="1" s="1"/>
  <c r="L527" i="1"/>
  <c r="K527" i="1" s="1"/>
  <c r="J527" i="1" s="1"/>
  <c r="L528" i="1"/>
  <c r="K528" i="1" s="1"/>
  <c r="J528" i="1" s="1"/>
  <c r="L529" i="1"/>
  <c r="K529" i="1" s="1"/>
  <c r="J529" i="1" s="1"/>
  <c r="L530" i="1"/>
  <c r="K530" i="1" s="1"/>
  <c r="J530" i="1" s="1"/>
  <c r="L531" i="1"/>
  <c r="K531" i="1" s="1"/>
  <c r="J531" i="1" s="1"/>
  <c r="L532" i="1"/>
  <c r="K532" i="1" s="1"/>
  <c r="J532" i="1" s="1"/>
  <c r="L533" i="1"/>
  <c r="K533" i="1" s="1"/>
  <c r="J533" i="1" s="1"/>
  <c r="L534" i="1"/>
  <c r="K534" i="1" s="1"/>
  <c r="J534" i="1" s="1"/>
  <c r="L535" i="1"/>
  <c r="K535" i="1" s="1"/>
  <c r="J535" i="1" s="1"/>
  <c r="L536" i="1"/>
  <c r="K536" i="1" s="1"/>
  <c r="J536" i="1" s="1"/>
  <c r="L537" i="1"/>
  <c r="K537" i="1" s="1"/>
  <c r="J537" i="1" s="1"/>
  <c r="L538" i="1"/>
  <c r="K538" i="1" s="1"/>
  <c r="J538" i="1" s="1"/>
  <c r="L539" i="1"/>
  <c r="K539" i="1" s="1"/>
  <c r="J539" i="1" s="1"/>
  <c r="L540" i="1"/>
  <c r="K540" i="1" s="1"/>
  <c r="J540" i="1" s="1"/>
  <c r="L541" i="1"/>
  <c r="K541" i="1" s="1"/>
  <c r="J541" i="1" s="1"/>
  <c r="L542" i="1"/>
  <c r="K542" i="1" s="1"/>
  <c r="J542" i="1" s="1"/>
  <c r="L543" i="1"/>
  <c r="K543" i="1" s="1"/>
  <c r="J543" i="1" s="1"/>
  <c r="L544" i="1"/>
  <c r="K544" i="1" s="1"/>
  <c r="J544" i="1" s="1"/>
  <c r="L545" i="1"/>
  <c r="K545" i="1" s="1"/>
  <c r="J545" i="1" s="1"/>
  <c r="L546" i="1"/>
  <c r="K546" i="1" s="1"/>
  <c r="J546" i="1" s="1"/>
  <c r="L547" i="1"/>
  <c r="K547" i="1" s="1"/>
  <c r="J547" i="1" s="1"/>
  <c r="L548" i="1"/>
  <c r="K548" i="1" s="1"/>
  <c r="J548" i="1" s="1"/>
  <c r="L549" i="1"/>
  <c r="K549" i="1" s="1"/>
  <c r="J549" i="1" s="1"/>
  <c r="L550" i="1"/>
  <c r="K550" i="1" s="1"/>
  <c r="J550" i="1" s="1"/>
  <c r="L551" i="1"/>
  <c r="K551" i="1" s="1"/>
  <c r="J551" i="1" s="1"/>
  <c r="L552" i="1"/>
  <c r="K552" i="1" s="1"/>
  <c r="J552" i="1" s="1"/>
  <c r="L553" i="1"/>
  <c r="K553" i="1" s="1"/>
  <c r="J553" i="1" s="1"/>
  <c r="L554" i="1"/>
  <c r="K554" i="1" s="1"/>
  <c r="J554" i="1" s="1"/>
  <c r="L555" i="1"/>
  <c r="K555" i="1" s="1"/>
  <c r="J555" i="1" s="1"/>
  <c r="L556" i="1"/>
  <c r="K556" i="1" s="1"/>
  <c r="J556" i="1" s="1"/>
  <c r="L557" i="1"/>
  <c r="K557" i="1" s="1"/>
  <c r="J557" i="1" s="1"/>
  <c r="L558" i="1"/>
  <c r="K558" i="1" s="1"/>
  <c r="J558" i="1" s="1"/>
  <c r="L559" i="1"/>
  <c r="K559" i="1" s="1"/>
  <c r="J559" i="1" s="1"/>
  <c r="L560" i="1"/>
  <c r="K560" i="1" s="1"/>
  <c r="J560" i="1" s="1"/>
  <c r="L561" i="1"/>
  <c r="K561" i="1" s="1"/>
  <c r="J561" i="1" s="1"/>
  <c r="L562" i="1"/>
  <c r="K562" i="1" s="1"/>
  <c r="J562" i="1" s="1"/>
  <c r="L563" i="1"/>
  <c r="K563" i="1" s="1"/>
  <c r="J563" i="1" s="1"/>
  <c r="L564" i="1"/>
  <c r="K564" i="1" s="1"/>
  <c r="J564" i="1" s="1"/>
  <c r="L565" i="1"/>
  <c r="K565" i="1" s="1"/>
  <c r="J565" i="1" s="1"/>
  <c r="L566" i="1"/>
  <c r="K566" i="1" s="1"/>
  <c r="J566" i="1" s="1"/>
  <c r="L567" i="1"/>
  <c r="K567" i="1" s="1"/>
  <c r="J567" i="1" s="1"/>
  <c r="L568" i="1"/>
  <c r="K568" i="1" s="1"/>
  <c r="J568" i="1" s="1"/>
  <c r="L569" i="1"/>
  <c r="K569" i="1" s="1"/>
  <c r="J569" i="1" s="1"/>
  <c r="L570" i="1"/>
  <c r="K570" i="1" s="1"/>
  <c r="J570" i="1" s="1"/>
  <c r="L571" i="1"/>
  <c r="K571" i="1" s="1"/>
  <c r="J571" i="1" s="1"/>
  <c r="L572" i="1"/>
  <c r="K572" i="1" s="1"/>
  <c r="J572" i="1" s="1"/>
  <c r="L573" i="1"/>
  <c r="K573" i="1" s="1"/>
  <c r="J573" i="1" s="1"/>
  <c r="L574" i="1"/>
  <c r="K574" i="1" s="1"/>
  <c r="J574" i="1" s="1"/>
  <c r="L575" i="1"/>
  <c r="K575" i="1" s="1"/>
  <c r="J575" i="1" s="1"/>
  <c r="L576" i="1"/>
  <c r="K576" i="1" s="1"/>
  <c r="J576" i="1" s="1"/>
  <c r="L577" i="1"/>
  <c r="K577" i="1" s="1"/>
  <c r="J577" i="1" s="1"/>
  <c r="L578" i="1"/>
  <c r="K578" i="1" s="1"/>
  <c r="J578" i="1" s="1"/>
  <c r="L579" i="1"/>
  <c r="K579" i="1" s="1"/>
  <c r="J579" i="1" s="1"/>
  <c r="L580" i="1"/>
  <c r="K580" i="1" s="1"/>
  <c r="J580" i="1" s="1"/>
  <c r="L581" i="1"/>
  <c r="K581" i="1" s="1"/>
  <c r="J581" i="1" s="1"/>
  <c r="L582" i="1"/>
  <c r="K582" i="1" s="1"/>
  <c r="J582" i="1" s="1"/>
  <c r="L583" i="1"/>
  <c r="K583" i="1" s="1"/>
  <c r="J583" i="1" s="1"/>
  <c r="L584" i="1"/>
  <c r="K584" i="1" s="1"/>
  <c r="J584" i="1" s="1"/>
  <c r="L585" i="1"/>
  <c r="K585" i="1" s="1"/>
  <c r="J585" i="1" s="1"/>
  <c r="L586" i="1"/>
  <c r="K586" i="1" s="1"/>
  <c r="J586" i="1" s="1"/>
  <c r="L587" i="1"/>
  <c r="K587" i="1" s="1"/>
  <c r="J587" i="1" s="1"/>
  <c r="L588" i="1"/>
  <c r="K588" i="1" s="1"/>
  <c r="J588" i="1" s="1"/>
  <c r="L589" i="1"/>
  <c r="K589" i="1" s="1"/>
  <c r="J589" i="1" s="1"/>
  <c r="L590" i="1"/>
  <c r="K590" i="1" s="1"/>
  <c r="J590" i="1" s="1"/>
  <c r="L591" i="1"/>
  <c r="K591" i="1" s="1"/>
  <c r="J591" i="1" s="1"/>
  <c r="L592" i="1"/>
  <c r="K592" i="1" s="1"/>
  <c r="J592" i="1" s="1"/>
  <c r="L593" i="1"/>
  <c r="K593" i="1" s="1"/>
  <c r="J593" i="1" s="1"/>
  <c r="L594" i="1"/>
  <c r="K594" i="1" s="1"/>
  <c r="J594" i="1" s="1"/>
  <c r="L595" i="1"/>
  <c r="K595" i="1" s="1"/>
  <c r="J595" i="1" s="1"/>
  <c r="L596" i="1"/>
  <c r="K596" i="1" s="1"/>
  <c r="J596" i="1" s="1"/>
  <c r="L597" i="1"/>
  <c r="K597" i="1" s="1"/>
  <c r="J597" i="1" s="1"/>
  <c r="L598" i="1"/>
  <c r="K598" i="1" s="1"/>
  <c r="J598" i="1" s="1"/>
  <c r="L599" i="1"/>
  <c r="K599" i="1" s="1"/>
  <c r="J599" i="1" s="1"/>
  <c r="L600" i="1"/>
  <c r="K600" i="1" s="1"/>
  <c r="J600" i="1" s="1"/>
  <c r="L601" i="1"/>
  <c r="K601" i="1" s="1"/>
  <c r="J601" i="1" s="1"/>
  <c r="L602" i="1"/>
  <c r="K602" i="1" s="1"/>
  <c r="J602" i="1" s="1"/>
  <c r="L603" i="1"/>
  <c r="K603" i="1" s="1"/>
  <c r="J603" i="1" s="1"/>
  <c r="L604" i="1"/>
  <c r="K604" i="1" s="1"/>
  <c r="J604" i="1" s="1"/>
  <c r="L605" i="1"/>
  <c r="K605" i="1" s="1"/>
  <c r="J605" i="1" s="1"/>
  <c r="L606" i="1"/>
  <c r="K606" i="1" s="1"/>
  <c r="J606" i="1" s="1"/>
  <c r="L607" i="1"/>
  <c r="K607" i="1" s="1"/>
  <c r="J607" i="1" s="1"/>
  <c r="L608" i="1"/>
  <c r="K608" i="1" s="1"/>
  <c r="J608" i="1" s="1"/>
  <c r="L609" i="1"/>
  <c r="K609" i="1" s="1"/>
  <c r="J609" i="1" s="1"/>
  <c r="L610" i="1"/>
  <c r="K610" i="1" s="1"/>
  <c r="J610" i="1" s="1"/>
  <c r="L611" i="1"/>
  <c r="K611" i="1" s="1"/>
  <c r="J611" i="1" s="1"/>
  <c r="L612" i="1"/>
  <c r="K612" i="1" s="1"/>
  <c r="J612" i="1" s="1"/>
  <c r="L613" i="1"/>
  <c r="K613" i="1" s="1"/>
  <c r="J613" i="1" s="1"/>
  <c r="L614" i="1"/>
  <c r="K614" i="1" s="1"/>
  <c r="J614" i="1" s="1"/>
  <c r="L615" i="1"/>
  <c r="K615" i="1" s="1"/>
  <c r="J615" i="1" s="1"/>
  <c r="L616" i="1"/>
  <c r="K616" i="1" s="1"/>
  <c r="J616" i="1" s="1"/>
  <c r="L617" i="1"/>
  <c r="K617" i="1" s="1"/>
  <c r="J617" i="1" s="1"/>
  <c r="L618" i="1"/>
  <c r="K618" i="1" s="1"/>
  <c r="J618" i="1" s="1"/>
  <c r="L619" i="1"/>
  <c r="K619" i="1" s="1"/>
  <c r="J619" i="1" s="1"/>
  <c r="L620" i="1"/>
  <c r="K620" i="1" s="1"/>
  <c r="J620" i="1" s="1"/>
  <c r="L621" i="1"/>
  <c r="K621" i="1" s="1"/>
  <c r="J621" i="1" s="1"/>
  <c r="L622" i="1"/>
  <c r="K622" i="1" s="1"/>
  <c r="J622" i="1" s="1"/>
  <c r="L623" i="1"/>
  <c r="K623" i="1" s="1"/>
  <c r="J623" i="1" s="1"/>
  <c r="L624" i="1"/>
  <c r="K624" i="1" s="1"/>
  <c r="J624" i="1" s="1"/>
  <c r="L625" i="1"/>
  <c r="K625" i="1" s="1"/>
  <c r="J625" i="1" s="1"/>
  <c r="L626" i="1"/>
  <c r="K626" i="1" s="1"/>
  <c r="J626" i="1" s="1"/>
  <c r="L627" i="1"/>
  <c r="K627" i="1" s="1"/>
  <c r="J627" i="1" s="1"/>
  <c r="L628" i="1"/>
  <c r="K628" i="1" s="1"/>
  <c r="J628" i="1" s="1"/>
  <c r="L629" i="1"/>
  <c r="K629" i="1" s="1"/>
  <c r="J629" i="1" s="1"/>
  <c r="L630" i="1"/>
  <c r="L631" i="1"/>
  <c r="L632" i="1"/>
  <c r="F51" i="4" l="1"/>
  <c r="G50" i="4"/>
  <c r="F227" i="4"/>
  <c r="G226" i="4"/>
  <c r="F3" i="4"/>
  <c r="G2" i="4"/>
  <c r="G264" i="4"/>
  <c r="F265" i="4"/>
  <c r="F186" i="4"/>
  <c r="G185" i="4"/>
  <c r="K631" i="1"/>
  <c r="J631" i="1" s="1"/>
  <c r="E2" i="10"/>
  <c r="AD633" i="1"/>
  <c r="K630" i="1"/>
  <c r="J630" i="1" s="1"/>
  <c r="Z631" i="1"/>
  <c r="E630" i="1"/>
  <c r="F630" i="1" s="1"/>
  <c r="G630" i="1" s="1"/>
  <c r="F97" i="4"/>
  <c r="J632" i="1"/>
  <c r="K632" i="1"/>
  <c r="E632" i="1"/>
  <c r="F632" i="1" s="1"/>
  <c r="G632" i="1" s="1"/>
  <c r="E631" i="1"/>
  <c r="F631" i="1" s="1"/>
  <c r="G631" i="1" s="1"/>
  <c r="F137" i="4"/>
  <c r="Z330" i="1"/>
  <c r="Z395" i="1"/>
  <c r="Z505" i="1"/>
  <c r="Z383" i="1"/>
  <c r="Z377" i="1"/>
  <c r="Z351" i="1"/>
  <c r="Z347" i="1"/>
  <c r="Z337" i="1"/>
  <c r="Z297" i="1"/>
  <c r="Z291" i="1"/>
  <c r="Z269" i="1"/>
  <c r="Z215" i="1"/>
  <c r="Z205" i="1"/>
  <c r="Z185" i="1"/>
  <c r="Z145" i="1"/>
  <c r="Z125" i="1"/>
  <c r="Z113" i="1"/>
  <c r="Z105" i="1"/>
  <c r="Z97" i="1"/>
  <c r="Z53" i="1"/>
  <c r="Z39" i="1"/>
  <c r="Z27" i="1"/>
  <c r="Z21" i="1"/>
  <c r="Z9" i="1"/>
  <c r="AF216" i="1"/>
  <c r="AG216" i="1" s="1"/>
  <c r="AF152" i="1"/>
  <c r="AG152" i="1" s="1"/>
  <c r="Z164" i="1"/>
  <c r="Z100" i="1"/>
  <c r="Z88" i="1"/>
  <c r="Z258" i="1"/>
  <c r="Z79" i="1"/>
  <c r="Z77" i="1"/>
  <c r="AF385" i="1"/>
  <c r="AG385" i="1" s="1"/>
  <c r="AF607" i="1"/>
  <c r="AG607" i="1" s="1"/>
  <c r="Z380" i="1"/>
  <c r="Z376" i="1"/>
  <c r="Z370" i="1"/>
  <c r="Z368" i="1"/>
  <c r="Z364" i="1"/>
  <c r="Z362" i="1"/>
  <c r="Z358" i="1"/>
  <c r="Z350" i="1"/>
  <c r="Z348" i="1"/>
  <c r="Z344" i="1"/>
  <c r="Z338" i="1"/>
  <c r="Z334" i="1"/>
  <c r="Z324" i="1"/>
  <c r="Z314" i="1"/>
  <c r="Z312" i="1"/>
  <c r="Z304" i="1"/>
  <c r="Z302" i="1"/>
  <c r="Z294" i="1"/>
  <c r="Z292" i="1"/>
  <c r="Z280" i="1"/>
  <c r="Z274" i="1"/>
  <c r="Z268" i="1"/>
  <c r="Z266" i="1"/>
  <c r="Z252" i="1"/>
  <c r="Z246" i="1"/>
  <c r="Z238" i="1"/>
  <c r="Z226" i="1"/>
  <c r="Z212" i="1"/>
  <c r="Z210" i="1"/>
  <c r="Z194" i="1"/>
  <c r="Z192" i="1"/>
  <c r="Z190" i="1"/>
  <c r="Z186" i="1"/>
  <c r="AF45" i="1"/>
  <c r="Z477" i="1"/>
  <c r="Z453" i="1"/>
  <c r="Z433" i="1"/>
  <c r="Z423" i="1"/>
  <c r="Z415" i="1"/>
  <c r="Z405" i="1"/>
  <c r="Z403" i="1"/>
  <c r="Z389" i="1"/>
  <c r="Z387" i="1"/>
  <c r="Z381" i="1"/>
  <c r="Z373" i="1"/>
  <c r="Z365" i="1"/>
  <c r="Z361" i="1"/>
  <c r="Z359" i="1"/>
  <c r="Z355" i="1"/>
  <c r="Z353" i="1"/>
  <c r="Z339" i="1"/>
  <c r="Z335" i="1"/>
  <c r="Z333" i="1"/>
  <c r="Z329" i="1"/>
  <c r="Z327" i="1"/>
  <c r="Z303" i="1"/>
  <c r="Z271" i="1"/>
  <c r="Z267" i="1"/>
  <c r="Z263" i="1"/>
  <c r="Z257" i="1"/>
  <c r="Z253" i="1"/>
  <c r="Z239" i="1"/>
  <c r="Z233" i="1"/>
  <c r="Z231" i="1"/>
  <c r="Z225" i="1"/>
  <c r="Z178" i="1"/>
  <c r="Z170" i="1"/>
  <c r="Z168" i="1"/>
  <c r="Z162" i="1"/>
  <c r="Z152" i="1"/>
  <c r="Z146" i="1"/>
  <c r="Z138" i="1"/>
  <c r="Z132" i="1"/>
  <c r="Z126" i="1"/>
  <c r="Z120" i="1"/>
  <c r="Z118" i="1"/>
  <c r="Z102" i="1"/>
  <c r="Z98" i="1"/>
  <c r="Z94" i="1"/>
  <c r="Z80" i="1"/>
  <c r="Z78" i="1"/>
  <c r="Z68" i="1"/>
  <c r="Z58" i="1"/>
  <c r="Z50" i="1"/>
  <c r="Z48" i="1"/>
  <c r="Z40" i="1"/>
  <c r="Z32" i="1"/>
  <c r="Z24" i="1"/>
  <c r="Z16" i="1"/>
  <c r="AF626" i="1"/>
  <c r="AG626" i="1" s="1"/>
  <c r="AF618" i="1"/>
  <c r="AG618" i="1" s="1"/>
  <c r="AF610" i="1"/>
  <c r="AF602" i="1"/>
  <c r="AF594" i="1"/>
  <c r="AG594" i="1" s="1"/>
  <c r="AF586" i="1"/>
  <c r="AG586" i="1" s="1"/>
  <c r="AF578" i="1"/>
  <c r="AF562" i="1"/>
  <c r="AF554" i="1"/>
  <c r="AG554" i="1" s="1"/>
  <c r="AF546" i="1"/>
  <c r="AG546" i="1" s="1"/>
  <c r="AF538" i="1"/>
  <c r="AF530" i="1"/>
  <c r="AG530" i="1" s="1"/>
  <c r="AF522" i="1"/>
  <c r="AG522" i="1" s="1"/>
  <c r="AF514" i="1"/>
  <c r="AG514" i="1" s="1"/>
  <c r="AF458" i="1"/>
  <c r="AF422" i="1"/>
  <c r="AG422" i="1" s="1"/>
  <c r="AF501" i="1"/>
  <c r="AG501" i="1" s="1"/>
  <c r="AF485" i="1"/>
  <c r="AG485" i="1" s="1"/>
  <c r="AF469" i="1"/>
  <c r="AG469" i="1" s="1"/>
  <c r="AF453" i="1"/>
  <c r="AG453" i="1" s="1"/>
  <c r="AF437" i="1"/>
  <c r="AG437" i="1" s="1"/>
  <c r="AF421" i="1"/>
  <c r="AG421" i="1" s="1"/>
  <c r="AF405" i="1"/>
  <c r="AG405" i="1" s="1"/>
  <c r="AF389" i="1"/>
  <c r="AG389" i="1" s="1"/>
  <c r="AF381" i="1"/>
  <c r="AG381" i="1" s="1"/>
  <c r="AF373" i="1"/>
  <c r="AG373" i="1" s="1"/>
  <c r="AF365" i="1"/>
  <c r="AF357" i="1"/>
  <c r="AG357" i="1" s="1"/>
  <c r="AF349" i="1"/>
  <c r="AG349" i="1" s="1"/>
  <c r="AF321" i="1"/>
  <c r="AG321" i="1" s="1"/>
  <c r="AF320" i="1"/>
  <c r="AF256" i="1"/>
  <c r="AG256" i="1" s="1"/>
  <c r="AF192" i="1"/>
  <c r="AG192" i="1" s="1"/>
  <c r="AF128" i="1"/>
  <c r="AG128" i="1" s="1"/>
  <c r="AF64" i="1"/>
  <c r="AF614" i="1"/>
  <c r="AG614" i="1" s="1"/>
  <c r="AF566" i="1"/>
  <c r="AG566" i="1" s="1"/>
  <c r="AF550" i="1"/>
  <c r="AG550" i="1" s="1"/>
  <c r="AF518" i="1"/>
  <c r="AG518" i="1" s="1"/>
  <c r="AF502" i="1"/>
  <c r="AG502" i="1" s="1"/>
  <c r="AF498" i="1"/>
  <c r="AG498" i="1" s="1"/>
  <c r="AF490" i="1"/>
  <c r="AG490" i="1" s="1"/>
  <c r="AF470" i="1"/>
  <c r="AG470" i="1" s="1"/>
  <c r="AF438" i="1"/>
  <c r="AG438" i="1" s="1"/>
  <c r="AF426" i="1"/>
  <c r="AG426" i="1" s="1"/>
  <c r="AF406" i="1"/>
  <c r="AG406" i="1" s="1"/>
  <c r="AF402" i="1"/>
  <c r="AG402" i="1" s="1"/>
  <c r="AF394" i="1"/>
  <c r="AG394" i="1" s="1"/>
  <c r="AF358" i="1"/>
  <c r="AG358" i="1" s="1"/>
  <c r="AF629" i="1"/>
  <c r="AG629" i="1" s="1"/>
  <c r="AF625" i="1"/>
  <c r="AG625" i="1" s="1"/>
  <c r="AF621" i="1"/>
  <c r="AG621" i="1" s="1"/>
  <c r="AF617" i="1"/>
  <c r="AG617" i="1" s="1"/>
  <c r="AF613" i="1"/>
  <c r="AG613" i="1" s="1"/>
  <c r="AF609" i="1"/>
  <c r="AG609" i="1" s="1"/>
  <c r="AF605" i="1"/>
  <c r="AG605" i="1" s="1"/>
  <c r="AF601" i="1"/>
  <c r="AG601" i="1" s="1"/>
  <c r="AF597" i="1"/>
  <c r="AG597" i="1" s="1"/>
  <c r="AF593" i="1"/>
  <c r="AG593" i="1" s="1"/>
  <c r="AF589" i="1"/>
  <c r="AG589" i="1" s="1"/>
  <c r="AF585" i="1"/>
  <c r="AG585" i="1" s="1"/>
  <c r="AF581" i="1"/>
  <c r="AG581" i="1" s="1"/>
  <c r="AF577" i="1"/>
  <c r="AG577" i="1" s="1"/>
  <c r="AF573" i="1"/>
  <c r="AG573" i="1" s="1"/>
  <c r="AF569" i="1"/>
  <c r="AG569" i="1" s="1"/>
  <c r="AF565" i="1"/>
  <c r="AG565" i="1" s="1"/>
  <c r="AF561" i="1"/>
  <c r="AG561" i="1" s="1"/>
  <c r="AF557" i="1"/>
  <c r="AG557" i="1" s="1"/>
  <c r="AF553" i="1"/>
  <c r="AG553" i="1" s="1"/>
  <c r="AF549" i="1"/>
  <c r="AG549" i="1" s="1"/>
  <c r="AF545" i="1"/>
  <c r="AG545" i="1" s="1"/>
  <c r="AF541" i="1"/>
  <c r="AG541" i="1" s="1"/>
  <c r="AF537" i="1"/>
  <c r="AG537" i="1" s="1"/>
  <c r="AF533" i="1"/>
  <c r="AG533" i="1" s="1"/>
  <c r="AF529" i="1"/>
  <c r="AG529" i="1" s="1"/>
  <c r="AF525" i="1"/>
  <c r="AG525" i="1" s="1"/>
  <c r="AF521" i="1"/>
  <c r="AG521" i="1" s="1"/>
  <c r="AF517" i="1"/>
  <c r="AG517" i="1" s="1"/>
  <c r="AF513" i="1"/>
  <c r="AG513" i="1" s="1"/>
  <c r="AF509" i="1"/>
  <c r="AG509" i="1" s="1"/>
  <c r="AF505" i="1"/>
  <c r="AG505" i="1" s="1"/>
  <c r="AF497" i="1"/>
  <c r="AG497" i="1" s="1"/>
  <c r="AF493" i="1"/>
  <c r="AG493" i="1" s="1"/>
  <c r="AF489" i="1"/>
  <c r="AG489" i="1" s="1"/>
  <c r="AF481" i="1"/>
  <c r="AG481" i="1" s="1"/>
  <c r="AF477" i="1"/>
  <c r="AG477" i="1" s="1"/>
  <c r="AF473" i="1"/>
  <c r="AG473" i="1" s="1"/>
  <c r="AF465" i="1"/>
  <c r="AG465" i="1" s="1"/>
  <c r="AF461" i="1"/>
  <c r="AG461" i="1" s="1"/>
  <c r="AF457" i="1"/>
  <c r="AG457" i="1" s="1"/>
  <c r="AF449" i="1"/>
  <c r="AG449" i="1" s="1"/>
  <c r="AF445" i="1"/>
  <c r="AG445" i="1" s="1"/>
  <c r="AF441" i="1"/>
  <c r="AG441" i="1" s="1"/>
  <c r="AF433" i="1"/>
  <c r="AG433" i="1" s="1"/>
  <c r="AF429" i="1"/>
  <c r="AG429" i="1" s="1"/>
  <c r="AF425" i="1"/>
  <c r="AG425" i="1" s="1"/>
  <c r="AF417" i="1"/>
  <c r="AG417" i="1" s="1"/>
  <c r="AF413" i="1"/>
  <c r="AG413" i="1" s="1"/>
  <c r="AF409" i="1"/>
  <c r="AG409" i="1" s="1"/>
  <c r="AF401" i="1"/>
  <c r="AG401" i="1" s="1"/>
  <c r="AF397" i="1"/>
  <c r="AG397" i="1" s="1"/>
  <c r="AF393" i="1"/>
  <c r="AG393" i="1" s="1"/>
  <c r="AF570" i="1"/>
  <c r="AG570" i="1" s="1"/>
  <c r="AG610" i="1"/>
  <c r="AG578" i="1"/>
  <c r="E10" i="1"/>
  <c r="F10" i="1" s="1"/>
  <c r="G10" i="1" s="1"/>
  <c r="AF630" i="1"/>
  <c r="AG630" i="1" s="1"/>
  <c r="AF598" i="1"/>
  <c r="AG598" i="1" s="1"/>
  <c r="AF582" i="1"/>
  <c r="AG582" i="1" s="1"/>
  <c r="AF506" i="1"/>
  <c r="AG506" i="1" s="1"/>
  <c r="AF486" i="1"/>
  <c r="AG486" i="1" s="1"/>
  <c r="AF482" i="1"/>
  <c r="AG482" i="1" s="1"/>
  <c r="AF474" i="1"/>
  <c r="AG474" i="1" s="1"/>
  <c r="AF466" i="1"/>
  <c r="AG466" i="1" s="1"/>
  <c r="AG458" i="1"/>
  <c r="AF454" i="1"/>
  <c r="AG454" i="1" s="1"/>
  <c r="AF450" i="1"/>
  <c r="AG450" i="1" s="1"/>
  <c r="AF442" i="1"/>
  <c r="AG442" i="1" s="1"/>
  <c r="AF434" i="1"/>
  <c r="AG434" i="1" s="1"/>
  <c r="AF418" i="1"/>
  <c r="AG418" i="1" s="1"/>
  <c r="AF410" i="1"/>
  <c r="AG410" i="1" s="1"/>
  <c r="AF390" i="1"/>
  <c r="AG390" i="1" s="1"/>
  <c r="AF386" i="1"/>
  <c r="AG386" i="1" s="1"/>
  <c r="AF378" i="1"/>
  <c r="AG378" i="1" s="1"/>
  <c r="AF374" i="1"/>
  <c r="AG374" i="1" s="1"/>
  <c r="AF370" i="1"/>
  <c r="AG370" i="1" s="1"/>
  <c r="AF362" i="1"/>
  <c r="AG362" i="1" s="1"/>
  <c r="AF354" i="1"/>
  <c r="AG354" i="1" s="1"/>
  <c r="AF346" i="1"/>
  <c r="AG346" i="1" s="1"/>
  <c r="AF342" i="1"/>
  <c r="AG342" i="1" s="1"/>
  <c r="AF534" i="1"/>
  <c r="AG534" i="1" s="1"/>
  <c r="AG602" i="1"/>
  <c r="AG538" i="1"/>
  <c r="Z520" i="1"/>
  <c r="Z374" i="1"/>
  <c r="AF631" i="1"/>
  <c r="AG631" i="1" s="1"/>
  <c r="AF627" i="1"/>
  <c r="AG627" i="1" s="1"/>
  <c r="AF623" i="1"/>
  <c r="AG623" i="1" s="1"/>
  <c r="AF619" i="1"/>
  <c r="AG619" i="1" s="1"/>
  <c r="AF615" i="1"/>
  <c r="AG615" i="1" s="1"/>
  <c r="AF611" i="1"/>
  <c r="AG611" i="1" s="1"/>
  <c r="AF603" i="1"/>
  <c r="AG603" i="1" s="1"/>
  <c r="AF599" i="1"/>
  <c r="AG599" i="1" s="1"/>
  <c r="AF595" i="1"/>
  <c r="AG595" i="1" s="1"/>
  <c r="AF591" i="1"/>
  <c r="AG591" i="1" s="1"/>
  <c r="AF587" i="1"/>
  <c r="AG587" i="1" s="1"/>
  <c r="AF583" i="1"/>
  <c r="AG583" i="1" s="1"/>
  <c r="AF579" i="1"/>
  <c r="AG579" i="1" s="1"/>
  <c r="AF575" i="1"/>
  <c r="AG575" i="1" s="1"/>
  <c r="AF571" i="1"/>
  <c r="AG571" i="1" s="1"/>
  <c r="AF567" i="1"/>
  <c r="AG567" i="1" s="1"/>
  <c r="AF563" i="1"/>
  <c r="AG563" i="1" s="1"/>
  <c r="AF559" i="1"/>
  <c r="AG559" i="1" s="1"/>
  <c r="AF555" i="1"/>
  <c r="AG555" i="1" s="1"/>
  <c r="AF551" i="1"/>
  <c r="AG551" i="1" s="1"/>
  <c r="AF547" i="1"/>
  <c r="AG547" i="1" s="1"/>
  <c r="AF543" i="1"/>
  <c r="AG543" i="1" s="1"/>
  <c r="AF539" i="1"/>
  <c r="AG539" i="1" s="1"/>
  <c r="AF535" i="1"/>
  <c r="AG535" i="1" s="1"/>
  <c r="AF531" i="1"/>
  <c r="AG531" i="1" s="1"/>
  <c r="AF527" i="1"/>
  <c r="AG527" i="1" s="1"/>
  <c r="AF523" i="1"/>
  <c r="AG523" i="1" s="1"/>
  <c r="AF519" i="1"/>
  <c r="AG519" i="1" s="1"/>
  <c r="AF515" i="1"/>
  <c r="AG515" i="1" s="1"/>
  <c r="AF511" i="1"/>
  <c r="AG511" i="1" s="1"/>
  <c r="AF507" i="1"/>
  <c r="AG507" i="1" s="1"/>
  <c r="AF503" i="1"/>
  <c r="AG503" i="1" s="1"/>
  <c r="AF495" i="1"/>
  <c r="AG495" i="1" s="1"/>
  <c r="AF479" i="1"/>
  <c r="AG479" i="1" s="1"/>
  <c r="AF475" i="1"/>
  <c r="AG475" i="1" s="1"/>
  <c r="AF463" i="1"/>
  <c r="AG463" i="1" s="1"/>
  <c r="AF459" i="1"/>
  <c r="AG459" i="1" s="1"/>
  <c r="AF447" i="1"/>
  <c r="AG447" i="1" s="1"/>
  <c r="AF443" i="1"/>
  <c r="AG443" i="1" s="1"/>
  <c r="AF431" i="1"/>
  <c r="AG431" i="1" s="1"/>
  <c r="AF427" i="1"/>
  <c r="AG427" i="1" s="1"/>
  <c r="AF415" i="1"/>
  <c r="AG415" i="1" s="1"/>
  <c r="AF411" i="1"/>
  <c r="AG411" i="1" s="1"/>
  <c r="AF399" i="1"/>
  <c r="AG399" i="1" s="1"/>
  <c r="AF395" i="1"/>
  <c r="AG395" i="1" s="1"/>
  <c r="AF383" i="1"/>
  <c r="AG383" i="1" s="1"/>
  <c r="AF379" i="1"/>
  <c r="AG379" i="1" s="1"/>
  <c r="AF367" i="1"/>
  <c r="AG367" i="1" s="1"/>
  <c r="AF363" i="1"/>
  <c r="AG363" i="1" s="1"/>
  <c r="AF347" i="1"/>
  <c r="AG347" i="1" s="1"/>
  <c r="AF491" i="1"/>
  <c r="AG491" i="1" s="1"/>
  <c r="AF351" i="1"/>
  <c r="AG351" i="1" s="1"/>
  <c r="AG562" i="1"/>
  <c r="AF377" i="1"/>
  <c r="AG377" i="1" s="1"/>
  <c r="AF369" i="1"/>
  <c r="AG369" i="1" s="1"/>
  <c r="AF361" i="1"/>
  <c r="AG361" i="1" s="1"/>
  <c r="AF345" i="1"/>
  <c r="AG345" i="1" s="1"/>
  <c r="AF341" i="1"/>
  <c r="AG341" i="1" s="1"/>
  <c r="AF337" i="1"/>
  <c r="AG337" i="1" s="1"/>
  <c r="AF333" i="1"/>
  <c r="AG333" i="1" s="1"/>
  <c r="AF329" i="1"/>
  <c r="AG329" i="1" s="1"/>
  <c r="AF325" i="1"/>
  <c r="AG325" i="1" s="1"/>
  <c r="AF317" i="1"/>
  <c r="AG317" i="1" s="1"/>
  <c r="AF313" i="1"/>
  <c r="AG313" i="1" s="1"/>
  <c r="AF309" i="1"/>
  <c r="AG309" i="1" s="1"/>
  <c r="AF305" i="1"/>
  <c r="AG305" i="1" s="1"/>
  <c r="AF297" i="1"/>
  <c r="AG297" i="1" s="1"/>
  <c r="AF293" i="1"/>
  <c r="AG293" i="1" s="1"/>
  <c r="AF289" i="1"/>
  <c r="AG289" i="1" s="1"/>
  <c r="AF285" i="1"/>
  <c r="AG285" i="1" s="1"/>
  <c r="AF281" i="1"/>
  <c r="AG281" i="1" s="1"/>
  <c r="AF277" i="1"/>
  <c r="AG277" i="1" s="1"/>
  <c r="AF273" i="1"/>
  <c r="AG273" i="1" s="1"/>
  <c r="AF269" i="1"/>
  <c r="AG269" i="1" s="1"/>
  <c r="AF265" i="1"/>
  <c r="AG265" i="1" s="1"/>
  <c r="AF261" i="1"/>
  <c r="AG261" i="1" s="1"/>
  <c r="AF257" i="1"/>
  <c r="AG257" i="1" s="1"/>
  <c r="AF253" i="1"/>
  <c r="AG253" i="1" s="1"/>
  <c r="AF249" i="1"/>
  <c r="AG249" i="1" s="1"/>
  <c r="AF245" i="1"/>
  <c r="AG245" i="1" s="1"/>
  <c r="AF241" i="1"/>
  <c r="AG241" i="1" s="1"/>
  <c r="AF233" i="1"/>
  <c r="AG233" i="1" s="1"/>
  <c r="AF229" i="1"/>
  <c r="AG229" i="1" s="1"/>
  <c r="AF225" i="1"/>
  <c r="AG225" i="1" s="1"/>
  <c r="AF221" i="1"/>
  <c r="AG221" i="1" s="1"/>
  <c r="AF217" i="1"/>
  <c r="AG217" i="1" s="1"/>
  <c r="AF213" i="1"/>
  <c r="AG213" i="1" s="1"/>
  <c r="AF209" i="1"/>
  <c r="AG209" i="1" s="1"/>
  <c r="AF205" i="1"/>
  <c r="AG205" i="1" s="1"/>
  <c r="AF201" i="1"/>
  <c r="AG201" i="1" s="1"/>
  <c r="AF197" i="1"/>
  <c r="AG197" i="1" s="1"/>
  <c r="AF193" i="1"/>
  <c r="AG193" i="1" s="1"/>
  <c r="AF189" i="1"/>
  <c r="AG189" i="1" s="1"/>
  <c r="AF185" i="1"/>
  <c r="AG185" i="1" s="1"/>
  <c r="AF181" i="1"/>
  <c r="AG181" i="1" s="1"/>
  <c r="AF177" i="1"/>
  <c r="AG177" i="1" s="1"/>
  <c r="AF173" i="1"/>
  <c r="AG173" i="1" s="1"/>
  <c r="AF169" i="1"/>
  <c r="AG169" i="1" s="1"/>
  <c r="AF165" i="1"/>
  <c r="AG165" i="1" s="1"/>
  <c r="AF161" i="1"/>
  <c r="AG161" i="1" s="1"/>
  <c r="AF157" i="1"/>
  <c r="AG157" i="1" s="1"/>
  <c r="AF153" i="1"/>
  <c r="AG153" i="1" s="1"/>
  <c r="AF149" i="1"/>
  <c r="AG149" i="1" s="1"/>
  <c r="AF145" i="1"/>
  <c r="AG145" i="1" s="1"/>
  <c r="AF141" i="1"/>
  <c r="AG141" i="1" s="1"/>
  <c r="AF137" i="1"/>
  <c r="AG137" i="1" s="1"/>
  <c r="AF133" i="1"/>
  <c r="AG133" i="1" s="1"/>
  <c r="AF125" i="1"/>
  <c r="AG125" i="1" s="1"/>
  <c r="AF121" i="1"/>
  <c r="AG121" i="1" s="1"/>
  <c r="AF117" i="1"/>
  <c r="AG117" i="1" s="1"/>
  <c r="AF113" i="1"/>
  <c r="AG113" i="1" s="1"/>
  <c r="AF109" i="1"/>
  <c r="AG109" i="1" s="1"/>
  <c r="AF105" i="1"/>
  <c r="AG105" i="1" s="1"/>
  <c r="AF101" i="1"/>
  <c r="AG101" i="1" s="1"/>
  <c r="AF97" i="1"/>
  <c r="AG97" i="1" s="1"/>
  <c r="AF93" i="1"/>
  <c r="AG93" i="1" s="1"/>
  <c r="AF89" i="1"/>
  <c r="AG89" i="1" s="1"/>
  <c r="AF85" i="1"/>
  <c r="AG85" i="1" s="1"/>
  <c r="AF81" i="1"/>
  <c r="AG81" i="1" s="1"/>
  <c r="AF77" i="1"/>
  <c r="AG77" i="1" s="1"/>
  <c r="AF73" i="1"/>
  <c r="AG73" i="1" s="1"/>
  <c r="AF69" i="1"/>
  <c r="AG69" i="1" s="1"/>
  <c r="AF61" i="1"/>
  <c r="AG61" i="1" s="1"/>
  <c r="AF57" i="1"/>
  <c r="AG57" i="1" s="1"/>
  <c r="AF53" i="1"/>
  <c r="AG53" i="1" s="1"/>
  <c r="AF49" i="1"/>
  <c r="AG49" i="1" s="1"/>
  <c r="AG45" i="1"/>
  <c r="AF41" i="1"/>
  <c r="AG41" i="1" s="1"/>
  <c r="AF37" i="1"/>
  <c r="AG37" i="1" s="1"/>
  <c r="AF33" i="1"/>
  <c r="AG33" i="1" s="1"/>
  <c r="AF29" i="1"/>
  <c r="AG29" i="1" s="1"/>
  <c r="AF25" i="1"/>
  <c r="AG25" i="1" s="1"/>
  <c r="AF21" i="1"/>
  <c r="AG21" i="1" s="1"/>
  <c r="AF17" i="1"/>
  <c r="AG17" i="1" s="1"/>
  <c r="AF13" i="1"/>
  <c r="AG13" i="1" s="1"/>
  <c r="AF9" i="1"/>
  <c r="AG9" i="1" s="1"/>
  <c r="AF5" i="1"/>
  <c r="AG5" i="1" s="1"/>
  <c r="AF301" i="1"/>
  <c r="AG301" i="1" s="1"/>
  <c r="AF129" i="1"/>
  <c r="AG129" i="1" s="1"/>
  <c r="AG365" i="1"/>
  <c r="AF353" i="1"/>
  <c r="AG353" i="1" s="1"/>
  <c r="AF237" i="1"/>
  <c r="AG237" i="1" s="1"/>
  <c r="AF65" i="1"/>
  <c r="AG65" i="1" s="1"/>
  <c r="AG320" i="1"/>
  <c r="AF312" i="1"/>
  <c r="AG312" i="1" s="1"/>
  <c r="AF288" i="1"/>
  <c r="AG288" i="1" s="1"/>
  <c r="AF248" i="1"/>
  <c r="AG248" i="1" s="1"/>
  <c r="AF224" i="1"/>
  <c r="AG224" i="1" s="1"/>
  <c r="AF184" i="1"/>
  <c r="AG184" i="1" s="1"/>
  <c r="AF160" i="1"/>
  <c r="AG160" i="1" s="1"/>
  <c r="AF120" i="1"/>
  <c r="AG120" i="1" s="1"/>
  <c r="AF96" i="1"/>
  <c r="AG96" i="1" s="1"/>
  <c r="AG64" i="1"/>
  <c r="AF56" i="1"/>
  <c r="AG56" i="1" s="1"/>
  <c r="AF32" i="1"/>
  <c r="AG32" i="1" s="1"/>
  <c r="AF280" i="1"/>
  <c r="AG280" i="1" s="1"/>
  <c r="AF24" i="1"/>
  <c r="AG24" i="1" s="1"/>
  <c r="AF622" i="1"/>
  <c r="AG622" i="1" s="1"/>
  <c r="AF606" i="1"/>
  <c r="AG606" i="1" s="1"/>
  <c r="AF590" i="1"/>
  <c r="AG590" i="1" s="1"/>
  <c r="AF574" i="1"/>
  <c r="AG574" i="1" s="1"/>
  <c r="AF558" i="1"/>
  <c r="AG558" i="1" s="1"/>
  <c r="AF542" i="1"/>
  <c r="AG542" i="1" s="1"/>
  <c r="AF526" i="1"/>
  <c r="AG526" i="1" s="1"/>
  <c r="AF510" i="1"/>
  <c r="AG510" i="1" s="1"/>
  <c r="AF494" i="1"/>
  <c r="AG494" i="1" s="1"/>
  <c r="AF478" i="1"/>
  <c r="AG478" i="1" s="1"/>
  <c r="AF462" i="1"/>
  <c r="AG462" i="1" s="1"/>
  <c r="AF446" i="1"/>
  <c r="AG446" i="1" s="1"/>
  <c r="AF430" i="1"/>
  <c r="AG430" i="1" s="1"/>
  <c r="AF414" i="1"/>
  <c r="AG414" i="1" s="1"/>
  <c r="AF398" i="1"/>
  <c r="AG398" i="1" s="1"/>
  <c r="AF382" i="1"/>
  <c r="AG382" i="1" s="1"/>
  <c r="AF366" i="1"/>
  <c r="AG366" i="1" s="1"/>
  <c r="AF350" i="1"/>
  <c r="AG350" i="1" s="1"/>
  <c r="AF88" i="1"/>
  <c r="AG88" i="1" s="1"/>
  <c r="AF632" i="1"/>
  <c r="AG632" i="1" s="1"/>
  <c r="AF628" i="1"/>
  <c r="AG628" i="1" s="1"/>
  <c r="AF624" i="1"/>
  <c r="AG624" i="1" s="1"/>
  <c r="AF620" i="1"/>
  <c r="AG620" i="1" s="1"/>
  <c r="AF616" i="1"/>
  <c r="AG616" i="1" s="1"/>
  <c r="AF612" i="1"/>
  <c r="AG612" i="1" s="1"/>
  <c r="AF608" i="1"/>
  <c r="AG608" i="1" s="1"/>
  <c r="AF604" i="1"/>
  <c r="AG604" i="1" s="1"/>
  <c r="AF600" i="1"/>
  <c r="AG600" i="1" s="1"/>
  <c r="AF596" i="1"/>
  <c r="AG596" i="1" s="1"/>
  <c r="AF592" i="1"/>
  <c r="AG592" i="1" s="1"/>
  <c r="AF588" i="1"/>
  <c r="AG588" i="1" s="1"/>
  <c r="AF584" i="1"/>
  <c r="AG584" i="1" s="1"/>
  <c r="AF580" i="1"/>
  <c r="AG580" i="1" s="1"/>
  <c r="AF576" i="1"/>
  <c r="AG576" i="1" s="1"/>
  <c r="AF572" i="1"/>
  <c r="AG572" i="1" s="1"/>
  <c r="AF568" i="1"/>
  <c r="AG568" i="1" s="1"/>
  <c r="AF564" i="1"/>
  <c r="AG564" i="1" s="1"/>
  <c r="AF560" i="1"/>
  <c r="AG560" i="1" s="1"/>
  <c r="AF556" i="1"/>
  <c r="AG556" i="1" s="1"/>
  <c r="AF552" i="1"/>
  <c r="AG552" i="1" s="1"/>
  <c r="AF548" i="1"/>
  <c r="AG548" i="1" s="1"/>
  <c r="AF544" i="1"/>
  <c r="AG544" i="1" s="1"/>
  <c r="AF540" i="1"/>
  <c r="AG540" i="1" s="1"/>
  <c r="AF536" i="1"/>
  <c r="AG536" i="1" s="1"/>
  <c r="AF532" i="1"/>
  <c r="AG532" i="1" s="1"/>
  <c r="AF528" i="1"/>
  <c r="AG528" i="1" s="1"/>
  <c r="AF524" i="1"/>
  <c r="AG524" i="1" s="1"/>
  <c r="AF520" i="1"/>
  <c r="AG520" i="1" s="1"/>
  <c r="AF516" i="1"/>
  <c r="AG516" i="1" s="1"/>
  <c r="AF512" i="1"/>
  <c r="AG512" i="1" s="1"/>
  <c r="AF508" i="1"/>
  <c r="AG508" i="1" s="1"/>
  <c r="AF504" i="1"/>
  <c r="AG504" i="1" s="1"/>
  <c r="AF500" i="1"/>
  <c r="AG500" i="1" s="1"/>
  <c r="AF496" i="1"/>
  <c r="AG496" i="1" s="1"/>
  <c r="AF492" i="1"/>
  <c r="AG492" i="1" s="1"/>
  <c r="AF488" i="1"/>
  <c r="AG488" i="1" s="1"/>
  <c r="AF484" i="1"/>
  <c r="AG484" i="1" s="1"/>
  <c r="AF480" i="1"/>
  <c r="AG480" i="1" s="1"/>
  <c r="AF476" i="1"/>
  <c r="AG476" i="1" s="1"/>
  <c r="AF472" i="1"/>
  <c r="AG472" i="1" s="1"/>
  <c r="AF468" i="1"/>
  <c r="AG468" i="1" s="1"/>
  <c r="AF464" i="1"/>
  <c r="AG464" i="1" s="1"/>
  <c r="AF460" i="1"/>
  <c r="AG460" i="1" s="1"/>
  <c r="AF456" i="1"/>
  <c r="AG456" i="1" s="1"/>
  <c r="AF452" i="1"/>
  <c r="AG452" i="1" s="1"/>
  <c r="AF448" i="1"/>
  <c r="AG448" i="1" s="1"/>
  <c r="AF444" i="1"/>
  <c r="AG444" i="1" s="1"/>
  <c r="AF440" i="1"/>
  <c r="AG440" i="1" s="1"/>
  <c r="AF436" i="1"/>
  <c r="AG436" i="1" s="1"/>
  <c r="AF432" i="1"/>
  <c r="AG432" i="1" s="1"/>
  <c r="AF428" i="1"/>
  <c r="AG428" i="1" s="1"/>
  <c r="AF424" i="1"/>
  <c r="AG424" i="1" s="1"/>
  <c r="AF420" i="1"/>
  <c r="AG420" i="1" s="1"/>
  <c r="AF416" i="1"/>
  <c r="AG416" i="1" s="1"/>
  <c r="AF412" i="1"/>
  <c r="AG412" i="1" s="1"/>
  <c r="AF408" i="1"/>
  <c r="AG408" i="1" s="1"/>
  <c r="AF404" i="1"/>
  <c r="AG404" i="1" s="1"/>
  <c r="AF400" i="1"/>
  <c r="AG400" i="1" s="1"/>
  <c r="AF396" i="1"/>
  <c r="AG396" i="1" s="1"/>
  <c r="AF392" i="1"/>
  <c r="AG392" i="1" s="1"/>
  <c r="AF388" i="1"/>
  <c r="AG388" i="1" s="1"/>
  <c r="AF384" i="1"/>
  <c r="AG384" i="1" s="1"/>
  <c r="AF380" i="1"/>
  <c r="AG380" i="1" s="1"/>
  <c r="AF376" i="1"/>
  <c r="AG376" i="1" s="1"/>
  <c r="AF372" i="1"/>
  <c r="AG372" i="1" s="1"/>
  <c r="AF368" i="1"/>
  <c r="AG368" i="1" s="1"/>
  <c r="AF364" i="1"/>
  <c r="AG364" i="1" s="1"/>
  <c r="AF360" i="1"/>
  <c r="AG360" i="1" s="1"/>
  <c r="AF356" i="1"/>
  <c r="AG356" i="1" s="1"/>
  <c r="AF352" i="1"/>
  <c r="AG352" i="1" s="1"/>
  <c r="AF348" i="1"/>
  <c r="AG348" i="1" s="1"/>
  <c r="AF344" i="1"/>
  <c r="AG344" i="1" s="1"/>
  <c r="AF340" i="1"/>
  <c r="AG340" i="1" s="1"/>
  <c r="AF336" i="1"/>
  <c r="AG336" i="1" s="1"/>
  <c r="AF332" i="1"/>
  <c r="AG332" i="1" s="1"/>
  <c r="AF328" i="1"/>
  <c r="AG328" i="1" s="1"/>
  <c r="AF324" i="1"/>
  <c r="AG324" i="1" s="1"/>
  <c r="AF316" i="1"/>
  <c r="AG316" i="1" s="1"/>
  <c r="AF308" i="1"/>
  <c r="AG308" i="1" s="1"/>
  <c r="AF304" i="1"/>
  <c r="AG304" i="1" s="1"/>
  <c r="AF300" i="1"/>
  <c r="AG300" i="1" s="1"/>
  <c r="AF296" i="1"/>
  <c r="AG296" i="1" s="1"/>
  <c r="AF292" i="1"/>
  <c r="AG292" i="1" s="1"/>
  <c r="AF284" i="1"/>
  <c r="AG284" i="1" s="1"/>
  <c r="AF276" i="1"/>
  <c r="AG276" i="1" s="1"/>
  <c r="AF272" i="1"/>
  <c r="AG272" i="1" s="1"/>
  <c r="AF268" i="1"/>
  <c r="AG268" i="1" s="1"/>
  <c r="AF264" i="1"/>
  <c r="AG264" i="1" s="1"/>
  <c r="AF260" i="1"/>
  <c r="AG260" i="1" s="1"/>
  <c r="AF252" i="1"/>
  <c r="AG252" i="1" s="1"/>
  <c r="AF244" i="1"/>
  <c r="AG244" i="1" s="1"/>
  <c r="AF240" i="1"/>
  <c r="AG240" i="1" s="1"/>
  <c r="AF236" i="1"/>
  <c r="AG236" i="1" s="1"/>
  <c r="AF232" i="1"/>
  <c r="AG232" i="1" s="1"/>
  <c r="AF228" i="1"/>
  <c r="AG228" i="1" s="1"/>
  <c r="AF220" i="1"/>
  <c r="AG220" i="1" s="1"/>
  <c r="AF212" i="1"/>
  <c r="AG212" i="1" s="1"/>
  <c r="AF208" i="1"/>
  <c r="AG208" i="1" s="1"/>
  <c r="AF204" i="1"/>
  <c r="AG204" i="1" s="1"/>
  <c r="AF200" i="1"/>
  <c r="AG200" i="1" s="1"/>
  <c r="AF196" i="1"/>
  <c r="AG196" i="1" s="1"/>
  <c r="AF188" i="1"/>
  <c r="AG188" i="1" s="1"/>
  <c r="AF180" i="1"/>
  <c r="AG180" i="1" s="1"/>
  <c r="AF176" i="1"/>
  <c r="AG176" i="1" s="1"/>
  <c r="AF172" i="1"/>
  <c r="AG172" i="1" s="1"/>
  <c r="AF168" i="1"/>
  <c r="AG168" i="1" s="1"/>
  <c r="AF164" i="1"/>
  <c r="AG164" i="1" s="1"/>
  <c r="AF156" i="1"/>
  <c r="AG156" i="1" s="1"/>
  <c r="AF148" i="1"/>
  <c r="AG148" i="1" s="1"/>
  <c r="AF144" i="1"/>
  <c r="AG144" i="1" s="1"/>
  <c r="AF140" i="1"/>
  <c r="AG140" i="1" s="1"/>
  <c r="AF136" i="1"/>
  <c r="AG136" i="1" s="1"/>
  <c r="AF132" i="1"/>
  <c r="AG132" i="1" s="1"/>
  <c r="AF124" i="1"/>
  <c r="AG124" i="1" s="1"/>
  <c r="AF116" i="1"/>
  <c r="AG116" i="1" s="1"/>
  <c r="AF112" i="1"/>
  <c r="AG112" i="1" s="1"/>
  <c r="AF108" i="1"/>
  <c r="AG108" i="1" s="1"/>
  <c r="AF104" i="1"/>
  <c r="AG104" i="1" s="1"/>
  <c r="AF100" i="1"/>
  <c r="AG100" i="1" s="1"/>
  <c r="AF92" i="1"/>
  <c r="AG92" i="1" s="1"/>
  <c r="AF84" i="1"/>
  <c r="AG84" i="1" s="1"/>
  <c r="AF80" i="1"/>
  <c r="AG80" i="1" s="1"/>
  <c r="AF76" i="1"/>
  <c r="AG76" i="1" s="1"/>
  <c r="AF72" i="1"/>
  <c r="AG72" i="1" s="1"/>
  <c r="AF68" i="1"/>
  <c r="AG68" i="1" s="1"/>
  <c r="AF60" i="1"/>
  <c r="AG60" i="1" s="1"/>
  <c r="AF52" i="1"/>
  <c r="AG52" i="1" s="1"/>
  <c r="AF48" i="1"/>
  <c r="AG48" i="1" s="1"/>
  <c r="AF44" i="1"/>
  <c r="AG44" i="1" s="1"/>
  <c r="AF40" i="1"/>
  <c r="AG40" i="1" s="1"/>
  <c r="AF36" i="1"/>
  <c r="AG36" i="1" s="1"/>
  <c r="AF28" i="1"/>
  <c r="AG28" i="1" s="1"/>
  <c r="AF20" i="1"/>
  <c r="AG20" i="1" s="1"/>
  <c r="AF16" i="1"/>
  <c r="AG16" i="1" s="1"/>
  <c r="AF12" i="1"/>
  <c r="AG12" i="1" s="1"/>
  <c r="AF8" i="1"/>
  <c r="AG8" i="1" s="1"/>
  <c r="AF4" i="1"/>
  <c r="AG4" i="1" s="1"/>
  <c r="AF499" i="1"/>
  <c r="AG499" i="1" s="1"/>
  <c r="AF487" i="1"/>
  <c r="AG487" i="1" s="1"/>
  <c r="AF483" i="1"/>
  <c r="AG483" i="1" s="1"/>
  <c r="AF471" i="1"/>
  <c r="AG471" i="1" s="1"/>
  <c r="AF467" i="1"/>
  <c r="AG467" i="1" s="1"/>
  <c r="AF455" i="1"/>
  <c r="AG455" i="1" s="1"/>
  <c r="AF451" i="1"/>
  <c r="AG451" i="1" s="1"/>
  <c r="AF439" i="1"/>
  <c r="AG439" i="1" s="1"/>
  <c r="AF435" i="1"/>
  <c r="AG435" i="1" s="1"/>
  <c r="AF423" i="1"/>
  <c r="AG423" i="1" s="1"/>
  <c r="AF419" i="1"/>
  <c r="AG419" i="1" s="1"/>
  <c r="AF407" i="1"/>
  <c r="AG407" i="1" s="1"/>
  <c r="AF403" i="1"/>
  <c r="AG403" i="1" s="1"/>
  <c r="AF391" i="1"/>
  <c r="AG391" i="1" s="1"/>
  <c r="AF387" i="1"/>
  <c r="AG387" i="1" s="1"/>
  <c r="AF375" i="1"/>
  <c r="AG375" i="1" s="1"/>
  <c r="AF371" i="1"/>
  <c r="AG371" i="1" s="1"/>
  <c r="AF359" i="1"/>
  <c r="AG359" i="1" s="1"/>
  <c r="AF355" i="1"/>
  <c r="AG355" i="1" s="1"/>
  <c r="AF343" i="1"/>
  <c r="AG343" i="1" s="1"/>
  <c r="AF339" i="1"/>
  <c r="AG339" i="1" s="1"/>
  <c r="AF335" i="1"/>
  <c r="AG335" i="1" s="1"/>
  <c r="AF331" i="1"/>
  <c r="AG331" i="1" s="1"/>
  <c r="AF327" i="1"/>
  <c r="AG327" i="1" s="1"/>
  <c r="AF323" i="1"/>
  <c r="AG323" i="1" s="1"/>
  <c r="AF319" i="1"/>
  <c r="AG319" i="1" s="1"/>
  <c r="AF315" i="1"/>
  <c r="AG315" i="1" s="1"/>
  <c r="AF311" i="1"/>
  <c r="AG311" i="1" s="1"/>
  <c r="AF307" i="1"/>
  <c r="AG307" i="1" s="1"/>
  <c r="AF303" i="1"/>
  <c r="AG303" i="1" s="1"/>
  <c r="AF299" i="1"/>
  <c r="AG299" i="1" s="1"/>
  <c r="AF295" i="1"/>
  <c r="AG295" i="1" s="1"/>
  <c r="AF291" i="1"/>
  <c r="AG291" i="1" s="1"/>
  <c r="AF287" i="1"/>
  <c r="AG287" i="1" s="1"/>
  <c r="AF283" i="1"/>
  <c r="AG283" i="1" s="1"/>
  <c r="AF279" i="1"/>
  <c r="AG279" i="1" s="1"/>
  <c r="AF275" i="1"/>
  <c r="AG275" i="1" s="1"/>
  <c r="AF271" i="1"/>
  <c r="AG271" i="1" s="1"/>
  <c r="AF267" i="1"/>
  <c r="AG267" i="1" s="1"/>
  <c r="AF263" i="1"/>
  <c r="AG263" i="1" s="1"/>
  <c r="AF259" i="1"/>
  <c r="AG259" i="1" s="1"/>
  <c r="AF255" i="1"/>
  <c r="AG255" i="1" s="1"/>
  <c r="AF251" i="1"/>
  <c r="AG251" i="1" s="1"/>
  <c r="AF247" i="1"/>
  <c r="AG247" i="1" s="1"/>
  <c r="AF243" i="1"/>
  <c r="AG243" i="1" s="1"/>
  <c r="AF239" i="1"/>
  <c r="AG239" i="1" s="1"/>
  <c r="AF235" i="1"/>
  <c r="AG235" i="1" s="1"/>
  <c r="AF231" i="1"/>
  <c r="AG231" i="1" s="1"/>
  <c r="AF227" i="1"/>
  <c r="AG227" i="1" s="1"/>
  <c r="AF223" i="1"/>
  <c r="AG223" i="1" s="1"/>
  <c r="AF219" i="1"/>
  <c r="AG219" i="1" s="1"/>
  <c r="AF215" i="1"/>
  <c r="AG215" i="1" s="1"/>
  <c r="AF211" i="1"/>
  <c r="AG211" i="1" s="1"/>
  <c r="AF207" i="1"/>
  <c r="AG207" i="1" s="1"/>
  <c r="AF203" i="1"/>
  <c r="AG203" i="1" s="1"/>
  <c r="AF199" i="1"/>
  <c r="AG199" i="1" s="1"/>
  <c r="AF195" i="1"/>
  <c r="AG195" i="1" s="1"/>
  <c r="AF191" i="1"/>
  <c r="AG191" i="1" s="1"/>
  <c r="AF187" i="1"/>
  <c r="AG187" i="1" s="1"/>
  <c r="AF183" i="1"/>
  <c r="AG183" i="1" s="1"/>
  <c r="AF179" i="1"/>
  <c r="AG179" i="1" s="1"/>
  <c r="AF175" i="1"/>
  <c r="AG175" i="1" s="1"/>
  <c r="AF171" i="1"/>
  <c r="AG171" i="1" s="1"/>
  <c r="AF167" i="1"/>
  <c r="AG167" i="1" s="1"/>
  <c r="AF163" i="1"/>
  <c r="AG163" i="1" s="1"/>
  <c r="AF159" i="1"/>
  <c r="AG159" i="1" s="1"/>
  <c r="AF155" i="1"/>
  <c r="AG155" i="1" s="1"/>
  <c r="AF151" i="1"/>
  <c r="AG151" i="1" s="1"/>
  <c r="AF147" i="1"/>
  <c r="AG147" i="1" s="1"/>
  <c r="AF143" i="1"/>
  <c r="AG143" i="1" s="1"/>
  <c r="AF139" i="1"/>
  <c r="AG139" i="1" s="1"/>
  <c r="AF135" i="1"/>
  <c r="AG135" i="1" s="1"/>
  <c r="AF131" i="1"/>
  <c r="AG131" i="1" s="1"/>
  <c r="AF127" i="1"/>
  <c r="AG127" i="1" s="1"/>
  <c r="AF123" i="1"/>
  <c r="AG123" i="1" s="1"/>
  <c r="AF119" i="1"/>
  <c r="AG119" i="1" s="1"/>
  <c r="AF115" i="1"/>
  <c r="AG115" i="1" s="1"/>
  <c r="AF111" i="1"/>
  <c r="AG111" i="1" s="1"/>
  <c r="AF107" i="1"/>
  <c r="AG107" i="1" s="1"/>
  <c r="AF103" i="1"/>
  <c r="AG103" i="1" s="1"/>
  <c r="AF99" i="1"/>
  <c r="AG99" i="1" s="1"/>
  <c r="AF95" i="1"/>
  <c r="AG95" i="1" s="1"/>
  <c r="AF91" i="1"/>
  <c r="AG91" i="1" s="1"/>
  <c r="AF87" i="1"/>
  <c r="AG87" i="1" s="1"/>
  <c r="AF83" i="1"/>
  <c r="AG83" i="1" s="1"/>
  <c r="AF79" i="1"/>
  <c r="AG79" i="1" s="1"/>
  <c r="AF75" i="1"/>
  <c r="AG75" i="1" s="1"/>
  <c r="AF71" i="1"/>
  <c r="AG71" i="1" s="1"/>
  <c r="AF67" i="1"/>
  <c r="AG67" i="1" s="1"/>
  <c r="AF63" i="1"/>
  <c r="AG63" i="1" s="1"/>
  <c r="AF59" i="1"/>
  <c r="AG59" i="1" s="1"/>
  <c r="AF55" i="1"/>
  <c r="AG55" i="1" s="1"/>
  <c r="AF51" i="1"/>
  <c r="AG51" i="1" s="1"/>
  <c r="AF47" i="1"/>
  <c r="AG47" i="1" s="1"/>
  <c r="AF43" i="1"/>
  <c r="AG43" i="1" s="1"/>
  <c r="AF39" i="1"/>
  <c r="AG39" i="1" s="1"/>
  <c r="AF35" i="1"/>
  <c r="AG35" i="1" s="1"/>
  <c r="AF31" i="1"/>
  <c r="AG31" i="1" s="1"/>
  <c r="AF27" i="1"/>
  <c r="AG27" i="1" s="1"/>
  <c r="AF23" i="1"/>
  <c r="AG23" i="1" s="1"/>
  <c r="AF19" i="1"/>
  <c r="AG19" i="1" s="1"/>
  <c r="AF15" i="1"/>
  <c r="AG15" i="1" s="1"/>
  <c r="AF11" i="1"/>
  <c r="AG11" i="1" s="1"/>
  <c r="AF7" i="1"/>
  <c r="AG7" i="1" s="1"/>
  <c r="AF3" i="1"/>
  <c r="AF338" i="1"/>
  <c r="AG338" i="1" s="1"/>
  <c r="AF334" i="1"/>
  <c r="AG334" i="1" s="1"/>
  <c r="AF330" i="1"/>
  <c r="AG330" i="1" s="1"/>
  <c r="AF326" i="1"/>
  <c r="AG326" i="1" s="1"/>
  <c r="AF322" i="1"/>
  <c r="AG322" i="1" s="1"/>
  <c r="AF318" i="1"/>
  <c r="AG318" i="1" s="1"/>
  <c r="AF314" i="1"/>
  <c r="AG314" i="1" s="1"/>
  <c r="AF310" i="1"/>
  <c r="AG310" i="1" s="1"/>
  <c r="AF306" i="1"/>
  <c r="AG306" i="1" s="1"/>
  <c r="AF302" i="1"/>
  <c r="AG302" i="1" s="1"/>
  <c r="AF298" i="1"/>
  <c r="AG298" i="1" s="1"/>
  <c r="AF294" i="1"/>
  <c r="AG294" i="1" s="1"/>
  <c r="AF290" i="1"/>
  <c r="AG290" i="1" s="1"/>
  <c r="AF286" i="1"/>
  <c r="AG286" i="1" s="1"/>
  <c r="AF282" i="1"/>
  <c r="AG282" i="1" s="1"/>
  <c r="AF278" i="1"/>
  <c r="AG278" i="1" s="1"/>
  <c r="AF274" i="1"/>
  <c r="AG274" i="1" s="1"/>
  <c r="AF270" i="1"/>
  <c r="AG270" i="1" s="1"/>
  <c r="AF266" i="1"/>
  <c r="AG266" i="1" s="1"/>
  <c r="AF262" i="1"/>
  <c r="AG262" i="1" s="1"/>
  <c r="AF258" i="1"/>
  <c r="AG258" i="1" s="1"/>
  <c r="AF254" i="1"/>
  <c r="AG254" i="1" s="1"/>
  <c r="AF250" i="1"/>
  <c r="AG250" i="1" s="1"/>
  <c r="AF246" i="1"/>
  <c r="AG246" i="1" s="1"/>
  <c r="AF242" i="1"/>
  <c r="AG242" i="1" s="1"/>
  <c r="AF238" i="1"/>
  <c r="AG238" i="1" s="1"/>
  <c r="AF234" i="1"/>
  <c r="AG234" i="1" s="1"/>
  <c r="AF230" i="1"/>
  <c r="AG230" i="1" s="1"/>
  <c r="AF226" i="1"/>
  <c r="AG226" i="1" s="1"/>
  <c r="AF222" i="1"/>
  <c r="AG222" i="1" s="1"/>
  <c r="AF218" i="1"/>
  <c r="AG218" i="1" s="1"/>
  <c r="AF214" i="1"/>
  <c r="AG214" i="1" s="1"/>
  <c r="AF210" i="1"/>
  <c r="AG210" i="1" s="1"/>
  <c r="AF206" i="1"/>
  <c r="AG206" i="1" s="1"/>
  <c r="AF202" i="1"/>
  <c r="AG202" i="1" s="1"/>
  <c r="AF198" i="1"/>
  <c r="AG198" i="1" s="1"/>
  <c r="AF194" i="1"/>
  <c r="AG194" i="1" s="1"/>
  <c r="AF190" i="1"/>
  <c r="AG190" i="1" s="1"/>
  <c r="AF186" i="1"/>
  <c r="AG186" i="1" s="1"/>
  <c r="AF182" i="1"/>
  <c r="AG182" i="1" s="1"/>
  <c r="AF178" i="1"/>
  <c r="AG178" i="1" s="1"/>
  <c r="AF174" i="1"/>
  <c r="AG174" i="1" s="1"/>
  <c r="AF170" i="1"/>
  <c r="AG170" i="1" s="1"/>
  <c r="AF166" i="1"/>
  <c r="AG166" i="1" s="1"/>
  <c r="AF162" i="1"/>
  <c r="AG162" i="1" s="1"/>
  <c r="AF158" i="1"/>
  <c r="AG158" i="1" s="1"/>
  <c r="AF154" i="1"/>
  <c r="AG154" i="1" s="1"/>
  <c r="AF150" i="1"/>
  <c r="AG150" i="1" s="1"/>
  <c r="AF146" i="1"/>
  <c r="AG146" i="1" s="1"/>
  <c r="AF142" i="1"/>
  <c r="AG142" i="1" s="1"/>
  <c r="AF138" i="1"/>
  <c r="AG138" i="1" s="1"/>
  <c r="AF134" i="1"/>
  <c r="AG134" i="1" s="1"/>
  <c r="AF130" i="1"/>
  <c r="AG130" i="1" s="1"/>
  <c r="AF126" i="1"/>
  <c r="AG126" i="1" s="1"/>
  <c r="AF122" i="1"/>
  <c r="AG122" i="1" s="1"/>
  <c r="AF118" i="1"/>
  <c r="AG118" i="1" s="1"/>
  <c r="AF114" i="1"/>
  <c r="AG114" i="1" s="1"/>
  <c r="AF110" i="1"/>
  <c r="AG110" i="1" s="1"/>
  <c r="AF106" i="1"/>
  <c r="AG106" i="1" s="1"/>
  <c r="AF102" i="1"/>
  <c r="AG102" i="1" s="1"/>
  <c r="AF98" i="1"/>
  <c r="AG98" i="1" s="1"/>
  <c r="AF94" i="1"/>
  <c r="AG94" i="1" s="1"/>
  <c r="AF90" i="1"/>
  <c r="AG90" i="1" s="1"/>
  <c r="AF86" i="1"/>
  <c r="AG86" i="1" s="1"/>
  <c r="AF82" i="1"/>
  <c r="AG82" i="1" s="1"/>
  <c r="AF78" i="1"/>
  <c r="AG78" i="1" s="1"/>
  <c r="AF74" i="1"/>
  <c r="AG74" i="1" s="1"/>
  <c r="AF70" i="1"/>
  <c r="AG70" i="1" s="1"/>
  <c r="AF66" i="1"/>
  <c r="AG66" i="1" s="1"/>
  <c r="AF62" i="1"/>
  <c r="AG62" i="1" s="1"/>
  <c r="AF58" i="1"/>
  <c r="AG58" i="1" s="1"/>
  <c r="AF54" i="1"/>
  <c r="AG54" i="1" s="1"/>
  <c r="AF50" i="1"/>
  <c r="AG50" i="1" s="1"/>
  <c r="AF46" i="1"/>
  <c r="AG46" i="1" s="1"/>
  <c r="AF42" i="1"/>
  <c r="AG42" i="1" s="1"/>
  <c r="AF38" i="1"/>
  <c r="AG38" i="1" s="1"/>
  <c r="AF34" i="1"/>
  <c r="AG34" i="1" s="1"/>
  <c r="AF30" i="1"/>
  <c r="AG30" i="1" s="1"/>
  <c r="AF26" i="1"/>
  <c r="AG26" i="1" s="1"/>
  <c r="AF22" i="1"/>
  <c r="AG22" i="1" s="1"/>
  <c r="AF18" i="1"/>
  <c r="AG18" i="1" s="1"/>
  <c r="AF14" i="1"/>
  <c r="AG14" i="1" s="1"/>
  <c r="AF10" i="1"/>
  <c r="AG10" i="1" s="1"/>
  <c r="AF6" i="1"/>
  <c r="AG6" i="1" s="1"/>
  <c r="AF2" i="1"/>
  <c r="Z557" i="1"/>
  <c r="Z515" i="1"/>
  <c r="Z511" i="1"/>
  <c r="Z499" i="1"/>
  <c r="Z489" i="1"/>
  <c r="Z473" i="1"/>
  <c r="Z467" i="1"/>
  <c r="Z457" i="1"/>
  <c r="Z451" i="1"/>
  <c r="Z437" i="1"/>
  <c r="Z435" i="1"/>
  <c r="Z427" i="1"/>
  <c r="Z425" i="1"/>
  <c r="Z417" i="1"/>
  <c r="Z409" i="1"/>
  <c r="Z407" i="1"/>
  <c r="Z506" i="1"/>
  <c r="Z456" i="1"/>
  <c r="Z452" i="1"/>
  <c r="Z450" i="1"/>
  <c r="Z446" i="1"/>
  <c r="Z432" i="1"/>
  <c r="Z426" i="1"/>
  <c r="Z418" i="1"/>
  <c r="Z416" i="1"/>
  <c r="Z414" i="1"/>
  <c r="Z408" i="1"/>
  <c r="Z386" i="1"/>
  <c r="Z543" i="1"/>
  <c r="Z501" i="1"/>
  <c r="E525" i="1"/>
  <c r="F525" i="1" s="1"/>
  <c r="G525" i="1" s="1"/>
  <c r="E565" i="1"/>
  <c r="F565" i="1" s="1"/>
  <c r="G565" i="1" s="1"/>
  <c r="E532" i="1"/>
  <c r="F532" i="1" s="1"/>
  <c r="G532" i="1" s="1"/>
  <c r="E516" i="1"/>
  <c r="F516" i="1" s="1"/>
  <c r="G516" i="1" s="1"/>
  <c r="Z617" i="1"/>
  <c r="Z605" i="1"/>
  <c r="Z597" i="1"/>
  <c r="Z565" i="1"/>
  <c r="Z561" i="1"/>
  <c r="Z523" i="1"/>
  <c r="E523" i="1"/>
  <c r="F523" i="1" s="1"/>
  <c r="G523" i="1" s="1"/>
  <c r="E591" i="1"/>
  <c r="F591" i="1" s="1"/>
  <c r="G591" i="1" s="1"/>
  <c r="E583" i="1"/>
  <c r="F583" i="1" s="1"/>
  <c r="G583" i="1" s="1"/>
  <c r="E575" i="1"/>
  <c r="F575" i="1" s="1"/>
  <c r="G575" i="1" s="1"/>
  <c r="E527" i="1"/>
  <c r="F527" i="1" s="1"/>
  <c r="G527" i="1" s="1"/>
  <c r="E34" i="1"/>
  <c r="F34" i="1" s="1"/>
  <c r="G34" i="1" s="1"/>
  <c r="E66" i="1"/>
  <c r="F66" i="1" s="1"/>
  <c r="G66" i="1" s="1"/>
  <c r="E70" i="1"/>
  <c r="F70" i="1" s="1"/>
  <c r="G70" i="1" s="1"/>
  <c r="E74" i="1"/>
  <c r="F74" i="1" s="1"/>
  <c r="G74" i="1" s="1"/>
  <c r="E82" i="1"/>
  <c r="F82" i="1" s="1"/>
  <c r="G82" i="1" s="1"/>
  <c r="E114" i="1"/>
  <c r="F114" i="1" s="1"/>
  <c r="G114" i="1" s="1"/>
  <c r="E290" i="1"/>
  <c r="F290" i="1" s="1"/>
  <c r="G290" i="1" s="1"/>
  <c r="E326" i="1"/>
  <c r="F326" i="1" s="1"/>
  <c r="G326" i="1" s="1"/>
  <c r="E36" i="1"/>
  <c r="F36" i="1" s="1"/>
  <c r="G36" i="1" s="1"/>
  <c r="E76" i="1"/>
  <c r="F76" i="1" s="1"/>
  <c r="G76" i="1" s="1"/>
  <c r="E176" i="1"/>
  <c r="F176" i="1" s="1"/>
  <c r="G176" i="1" s="1"/>
  <c r="E224" i="1"/>
  <c r="F224" i="1" s="1"/>
  <c r="G224" i="1" s="1"/>
  <c r="E264" i="1"/>
  <c r="F264" i="1" s="1"/>
  <c r="G264" i="1" s="1"/>
  <c r="E340" i="1"/>
  <c r="F340" i="1" s="1"/>
  <c r="G340" i="1" s="1"/>
  <c r="E43" i="1"/>
  <c r="F43" i="1" s="1"/>
  <c r="G43" i="1" s="1"/>
  <c r="E107" i="1"/>
  <c r="F107" i="1" s="1"/>
  <c r="G107" i="1" s="1"/>
  <c r="E147" i="1"/>
  <c r="F147" i="1" s="1"/>
  <c r="G147" i="1" s="1"/>
  <c r="E211" i="1"/>
  <c r="F211" i="1" s="1"/>
  <c r="G211" i="1" s="1"/>
  <c r="E235" i="1"/>
  <c r="F235" i="1" s="1"/>
  <c r="G235" i="1" s="1"/>
  <c r="E315" i="1"/>
  <c r="F315" i="1" s="1"/>
  <c r="G315" i="1" s="1"/>
  <c r="E360" i="1"/>
  <c r="F360" i="1" s="1"/>
  <c r="G360" i="1" s="1"/>
  <c r="E400" i="1"/>
  <c r="F400" i="1" s="1"/>
  <c r="G400" i="1" s="1"/>
  <c r="E448" i="1"/>
  <c r="F448" i="1" s="1"/>
  <c r="G448" i="1" s="1"/>
  <c r="E464" i="1"/>
  <c r="F464" i="1" s="1"/>
  <c r="G464" i="1" s="1"/>
  <c r="E87" i="1"/>
  <c r="F87" i="1" s="1"/>
  <c r="G87" i="1" s="1"/>
  <c r="E175" i="1"/>
  <c r="F175" i="1" s="1"/>
  <c r="G175" i="1" s="1"/>
  <c r="E223" i="1"/>
  <c r="F223" i="1" s="1"/>
  <c r="G223" i="1" s="1"/>
  <c r="E279" i="1"/>
  <c r="F279" i="1" s="1"/>
  <c r="G279" i="1" s="1"/>
  <c r="E378" i="1"/>
  <c r="F378" i="1" s="1"/>
  <c r="G378" i="1" s="1"/>
  <c r="E390" i="1"/>
  <c r="F390" i="1" s="1"/>
  <c r="G390" i="1" s="1"/>
  <c r="E462" i="1"/>
  <c r="F462" i="1" s="1"/>
  <c r="G462" i="1" s="1"/>
  <c r="E153" i="1"/>
  <c r="F153" i="1" s="1"/>
  <c r="G153" i="1" s="1"/>
  <c r="E289" i="1"/>
  <c r="F289" i="1" s="1"/>
  <c r="G289" i="1" s="1"/>
  <c r="E379" i="1"/>
  <c r="F379" i="1" s="1"/>
  <c r="G379" i="1" s="1"/>
  <c r="E391" i="1"/>
  <c r="F391" i="1" s="1"/>
  <c r="G391" i="1" s="1"/>
  <c r="E399" i="1"/>
  <c r="F399" i="1" s="1"/>
  <c r="G399" i="1" s="1"/>
  <c r="E6" i="1"/>
  <c r="F6" i="1" s="1"/>
  <c r="G6" i="1" s="1"/>
  <c r="E110" i="1"/>
  <c r="F110" i="1" s="1"/>
  <c r="G110" i="1" s="1"/>
  <c r="E154" i="1"/>
  <c r="F154" i="1" s="1"/>
  <c r="G154" i="1" s="1"/>
  <c r="E234" i="1"/>
  <c r="F234" i="1" s="1"/>
  <c r="G234" i="1" s="1"/>
  <c r="E250" i="1"/>
  <c r="F250" i="1" s="1"/>
  <c r="G250" i="1" s="1"/>
  <c r="E282" i="1"/>
  <c r="F282" i="1" s="1"/>
  <c r="G282" i="1" s="1"/>
  <c r="E286" i="1"/>
  <c r="F286" i="1" s="1"/>
  <c r="G286" i="1" s="1"/>
  <c r="E92" i="1"/>
  <c r="F92" i="1" s="1"/>
  <c r="G92" i="1" s="1"/>
  <c r="E116" i="1"/>
  <c r="F116" i="1" s="1"/>
  <c r="G116" i="1" s="1"/>
  <c r="E172" i="1"/>
  <c r="F172" i="1" s="1"/>
  <c r="G172" i="1" s="1"/>
  <c r="E184" i="1"/>
  <c r="F184" i="1" s="1"/>
  <c r="G184" i="1" s="1"/>
  <c r="E216" i="1"/>
  <c r="F216" i="1" s="1"/>
  <c r="G216" i="1" s="1"/>
  <c r="E236" i="1"/>
  <c r="F236" i="1" s="1"/>
  <c r="G236" i="1" s="1"/>
  <c r="E19" i="1"/>
  <c r="F19" i="1" s="1"/>
  <c r="G19" i="1" s="1"/>
  <c r="E91" i="1"/>
  <c r="F91" i="1" s="1"/>
  <c r="G91" i="1" s="1"/>
  <c r="E227" i="1"/>
  <c r="F227" i="1" s="1"/>
  <c r="G227" i="1" s="1"/>
  <c r="E243" i="1"/>
  <c r="F243" i="1" s="1"/>
  <c r="G243" i="1" s="1"/>
  <c r="E396" i="1"/>
  <c r="F396" i="1" s="1"/>
  <c r="G396" i="1" s="1"/>
  <c r="E69" i="1"/>
  <c r="F69" i="1" s="1"/>
  <c r="G69" i="1" s="1"/>
  <c r="E157" i="1"/>
  <c r="F157" i="1" s="1"/>
  <c r="G157" i="1" s="1"/>
  <c r="E165" i="1"/>
  <c r="F165" i="1" s="1"/>
  <c r="G165" i="1" s="1"/>
  <c r="E173" i="1"/>
  <c r="F173" i="1" s="1"/>
  <c r="G173" i="1" s="1"/>
  <c r="E197" i="1"/>
  <c r="F197" i="1" s="1"/>
  <c r="G197" i="1" s="1"/>
  <c r="E309" i="1"/>
  <c r="F309" i="1" s="1"/>
  <c r="G309" i="1" s="1"/>
  <c r="E317" i="1"/>
  <c r="F317" i="1" s="1"/>
  <c r="G317" i="1" s="1"/>
  <c r="E345" i="1"/>
  <c r="F345" i="1" s="1"/>
  <c r="G345" i="1" s="1"/>
  <c r="E421" i="1"/>
  <c r="F421" i="1" s="1"/>
  <c r="G421" i="1" s="1"/>
  <c r="E461" i="1"/>
  <c r="F461" i="1" s="1"/>
  <c r="G461" i="1" s="1"/>
  <c r="E465" i="1"/>
  <c r="F465" i="1" s="1"/>
  <c r="G465" i="1" s="1"/>
  <c r="E481" i="1"/>
  <c r="F481" i="1" s="1"/>
  <c r="G481" i="1" s="1"/>
  <c r="E493" i="1"/>
  <c r="F493" i="1" s="1"/>
  <c r="G493" i="1" s="1"/>
  <c r="E13" i="1"/>
  <c r="F13" i="1" s="1"/>
  <c r="G13" i="1" s="1"/>
  <c r="E63" i="1"/>
  <c r="F63" i="1" s="1"/>
  <c r="G63" i="1" s="1"/>
  <c r="E255" i="1"/>
  <c r="F255" i="1" s="1"/>
  <c r="G255" i="1" s="1"/>
  <c r="E295" i="1"/>
  <c r="F295" i="1" s="1"/>
  <c r="G295" i="1" s="1"/>
  <c r="E346" i="1"/>
  <c r="F346" i="1" s="1"/>
  <c r="G346" i="1" s="1"/>
  <c r="E354" i="1"/>
  <c r="F354" i="1" s="1"/>
  <c r="G354" i="1" s="1"/>
  <c r="E366" i="1"/>
  <c r="F366" i="1" s="1"/>
  <c r="G366" i="1" s="1"/>
  <c r="E398" i="1"/>
  <c r="F398" i="1" s="1"/>
  <c r="G398" i="1" s="1"/>
  <c r="E438" i="1"/>
  <c r="F438" i="1" s="1"/>
  <c r="G438" i="1" s="1"/>
  <c r="E454" i="1"/>
  <c r="F454" i="1" s="1"/>
  <c r="G454" i="1" s="1"/>
  <c r="E482" i="1"/>
  <c r="F482" i="1" s="1"/>
  <c r="G482" i="1" s="1"/>
  <c r="E490" i="1"/>
  <c r="F490" i="1" s="1"/>
  <c r="G490" i="1" s="1"/>
  <c r="E411" i="1"/>
  <c r="F411" i="1" s="1"/>
  <c r="G411" i="1" s="1"/>
  <c r="E447" i="1"/>
  <c r="F447" i="1" s="1"/>
  <c r="G447" i="1" s="1"/>
  <c r="E2" i="1"/>
  <c r="F2" i="1" s="1"/>
  <c r="G2" i="1" s="1"/>
  <c r="E22" i="1"/>
  <c r="F22" i="1" s="1"/>
  <c r="G22" i="1" s="1"/>
  <c r="E30" i="1"/>
  <c r="F30" i="1" s="1"/>
  <c r="G30" i="1" s="1"/>
  <c r="E54" i="1"/>
  <c r="F54" i="1" s="1"/>
  <c r="G54" i="1" s="1"/>
  <c r="E198" i="1"/>
  <c r="F198" i="1" s="1"/>
  <c r="G198" i="1" s="1"/>
  <c r="E214" i="1"/>
  <c r="F214" i="1" s="1"/>
  <c r="G214" i="1" s="1"/>
  <c r="E230" i="1"/>
  <c r="F230" i="1" s="1"/>
  <c r="G230" i="1" s="1"/>
  <c r="E4" i="1"/>
  <c r="F4" i="1" s="1"/>
  <c r="G4" i="1" s="1"/>
  <c r="E44" i="1"/>
  <c r="F44" i="1" s="1"/>
  <c r="G44" i="1" s="1"/>
  <c r="E96" i="1"/>
  <c r="F96" i="1" s="1"/>
  <c r="G96" i="1" s="1"/>
  <c r="E104" i="1"/>
  <c r="F104" i="1" s="1"/>
  <c r="G104" i="1" s="1"/>
  <c r="E108" i="1"/>
  <c r="F108" i="1" s="1"/>
  <c r="G108" i="1" s="1"/>
  <c r="E124" i="1"/>
  <c r="F124" i="1" s="1"/>
  <c r="G124" i="1" s="1"/>
  <c r="E148" i="1"/>
  <c r="F148" i="1" s="1"/>
  <c r="G148" i="1" s="1"/>
  <c r="E156" i="1"/>
  <c r="F156" i="1" s="1"/>
  <c r="G156" i="1" s="1"/>
  <c r="E204" i="1"/>
  <c r="F204" i="1" s="1"/>
  <c r="G204" i="1" s="1"/>
  <c r="E208" i="1"/>
  <c r="F208" i="1" s="1"/>
  <c r="G208" i="1" s="1"/>
  <c r="E320" i="1"/>
  <c r="F320" i="1" s="1"/>
  <c r="G320" i="1" s="1"/>
  <c r="E328" i="1"/>
  <c r="F328" i="1" s="1"/>
  <c r="G328" i="1" s="1"/>
  <c r="E139" i="1"/>
  <c r="F139" i="1" s="1"/>
  <c r="G139" i="1" s="1"/>
  <c r="E155" i="1"/>
  <c r="F155" i="1" s="1"/>
  <c r="G155" i="1" s="1"/>
  <c r="E283" i="1"/>
  <c r="F283" i="1" s="1"/>
  <c r="G283" i="1" s="1"/>
  <c r="E436" i="1"/>
  <c r="F436" i="1" s="1"/>
  <c r="G436" i="1" s="1"/>
  <c r="E440" i="1"/>
  <c r="F440" i="1" s="1"/>
  <c r="G440" i="1" s="1"/>
  <c r="E29" i="1"/>
  <c r="F29" i="1" s="1"/>
  <c r="G29" i="1" s="1"/>
  <c r="E61" i="1"/>
  <c r="F61" i="1" s="1"/>
  <c r="G61" i="1" s="1"/>
  <c r="E221" i="1"/>
  <c r="F221" i="1" s="1"/>
  <c r="G221" i="1" s="1"/>
  <c r="E237" i="1"/>
  <c r="F237" i="1" s="1"/>
  <c r="G237" i="1" s="1"/>
  <c r="E341" i="1"/>
  <c r="F341" i="1" s="1"/>
  <c r="G341" i="1" s="1"/>
  <c r="E401" i="1"/>
  <c r="F401" i="1" s="1"/>
  <c r="G401" i="1" s="1"/>
  <c r="E111" i="1"/>
  <c r="F111" i="1" s="1"/>
  <c r="G111" i="1" s="1"/>
  <c r="E466" i="1"/>
  <c r="F466" i="1" s="1"/>
  <c r="G466" i="1" s="1"/>
  <c r="E474" i="1"/>
  <c r="F474" i="1" s="1"/>
  <c r="G474" i="1" s="1"/>
  <c r="E17" i="1"/>
  <c r="F17" i="1" s="1"/>
  <c r="G17" i="1" s="1"/>
  <c r="E89" i="1"/>
  <c r="F89" i="1" s="1"/>
  <c r="G89" i="1" s="1"/>
  <c r="E209" i="1"/>
  <c r="F209" i="1" s="1"/>
  <c r="G209" i="1" s="1"/>
  <c r="E249" i="1"/>
  <c r="F249" i="1" s="1"/>
  <c r="G249" i="1" s="1"/>
  <c r="E305" i="1"/>
  <c r="F305" i="1" s="1"/>
  <c r="G305" i="1" s="1"/>
  <c r="E343" i="1"/>
  <c r="F343" i="1" s="1"/>
  <c r="G343" i="1" s="1"/>
  <c r="E367" i="1"/>
  <c r="F367" i="1" s="1"/>
  <c r="G367" i="1" s="1"/>
  <c r="E471" i="1"/>
  <c r="F471" i="1" s="1"/>
  <c r="G471" i="1" s="1"/>
  <c r="E629" i="1"/>
  <c r="F629" i="1" s="1"/>
  <c r="G629" i="1" s="1"/>
  <c r="E625" i="1"/>
  <c r="F625" i="1" s="1"/>
  <c r="G625" i="1" s="1"/>
  <c r="E621" i="1"/>
  <c r="F621" i="1" s="1"/>
  <c r="G621" i="1" s="1"/>
  <c r="E617" i="1"/>
  <c r="F617" i="1" s="1"/>
  <c r="G617" i="1" s="1"/>
  <c r="E613" i="1"/>
  <c r="F613" i="1" s="1"/>
  <c r="G613" i="1" s="1"/>
  <c r="E609" i="1"/>
  <c r="F609" i="1" s="1"/>
  <c r="G609" i="1" s="1"/>
  <c r="E605" i="1"/>
  <c r="F605" i="1" s="1"/>
  <c r="G605" i="1" s="1"/>
  <c r="E601" i="1"/>
  <c r="F601" i="1" s="1"/>
  <c r="G601" i="1" s="1"/>
  <c r="E597" i="1"/>
  <c r="F597" i="1" s="1"/>
  <c r="G597" i="1" s="1"/>
  <c r="E593" i="1"/>
  <c r="F593" i="1" s="1"/>
  <c r="G593" i="1" s="1"/>
  <c r="E589" i="1"/>
  <c r="F589" i="1" s="1"/>
  <c r="G589" i="1" s="1"/>
  <c r="E585" i="1"/>
  <c r="F585" i="1" s="1"/>
  <c r="G585" i="1" s="1"/>
  <c r="E581" i="1"/>
  <c r="F581" i="1" s="1"/>
  <c r="G581" i="1" s="1"/>
  <c r="E577" i="1"/>
  <c r="F577" i="1" s="1"/>
  <c r="G577" i="1" s="1"/>
  <c r="E573" i="1"/>
  <c r="F573" i="1" s="1"/>
  <c r="G573" i="1" s="1"/>
  <c r="E569" i="1"/>
  <c r="F569" i="1" s="1"/>
  <c r="G569" i="1" s="1"/>
  <c r="E561" i="1"/>
  <c r="F561" i="1" s="1"/>
  <c r="G561" i="1" s="1"/>
  <c r="E557" i="1"/>
  <c r="F557" i="1" s="1"/>
  <c r="G557" i="1" s="1"/>
  <c r="E553" i="1"/>
  <c r="F553" i="1" s="1"/>
  <c r="G553" i="1" s="1"/>
  <c r="E549" i="1"/>
  <c r="F549" i="1" s="1"/>
  <c r="G549" i="1" s="1"/>
  <c r="E545" i="1"/>
  <c r="F545" i="1" s="1"/>
  <c r="G545" i="1" s="1"/>
  <c r="E541" i="1"/>
  <c r="F541" i="1" s="1"/>
  <c r="G541" i="1" s="1"/>
  <c r="E537" i="1"/>
  <c r="F537" i="1" s="1"/>
  <c r="G537" i="1" s="1"/>
  <c r="E533" i="1"/>
  <c r="F533" i="1" s="1"/>
  <c r="G533" i="1" s="1"/>
  <c r="E529" i="1"/>
  <c r="F529" i="1" s="1"/>
  <c r="G529" i="1" s="1"/>
  <c r="E521" i="1"/>
  <c r="F521" i="1" s="1"/>
  <c r="G521" i="1" s="1"/>
  <c r="E517" i="1"/>
  <c r="F517" i="1" s="1"/>
  <c r="G517" i="1" s="1"/>
  <c r="E130" i="1"/>
  <c r="F130" i="1" s="1"/>
  <c r="G130" i="1" s="1"/>
  <c r="E174" i="1"/>
  <c r="F174" i="1" s="1"/>
  <c r="G174" i="1" s="1"/>
  <c r="E202" i="1"/>
  <c r="F202" i="1" s="1"/>
  <c r="G202" i="1" s="1"/>
  <c r="E222" i="1"/>
  <c r="F222" i="1" s="1"/>
  <c r="G222" i="1" s="1"/>
  <c r="E254" i="1"/>
  <c r="F254" i="1" s="1"/>
  <c r="G254" i="1" s="1"/>
  <c r="E298" i="1"/>
  <c r="F298" i="1" s="1"/>
  <c r="G298" i="1" s="1"/>
  <c r="E322" i="1"/>
  <c r="F322" i="1" s="1"/>
  <c r="G322" i="1" s="1"/>
  <c r="E136" i="1"/>
  <c r="F136" i="1" s="1"/>
  <c r="G136" i="1" s="1"/>
  <c r="E144" i="1"/>
  <c r="F144" i="1" s="1"/>
  <c r="G144" i="1" s="1"/>
  <c r="E228" i="1"/>
  <c r="F228" i="1" s="1"/>
  <c r="G228" i="1" s="1"/>
  <c r="E240" i="1"/>
  <c r="F240" i="1" s="1"/>
  <c r="G240" i="1" s="1"/>
  <c r="E308" i="1"/>
  <c r="F308" i="1" s="1"/>
  <c r="G308" i="1" s="1"/>
  <c r="E115" i="1"/>
  <c r="F115" i="1" s="1"/>
  <c r="G115" i="1" s="1"/>
  <c r="E131" i="1"/>
  <c r="F131" i="1" s="1"/>
  <c r="G131" i="1" s="1"/>
  <c r="E195" i="1"/>
  <c r="F195" i="1" s="1"/>
  <c r="G195" i="1" s="1"/>
  <c r="E203" i="1"/>
  <c r="F203" i="1" s="1"/>
  <c r="G203" i="1" s="1"/>
  <c r="E251" i="1"/>
  <c r="F251" i="1" s="1"/>
  <c r="G251" i="1" s="1"/>
  <c r="E299" i="1"/>
  <c r="F299" i="1" s="1"/>
  <c r="G299" i="1" s="1"/>
  <c r="E331" i="1"/>
  <c r="F331" i="1" s="1"/>
  <c r="G331" i="1" s="1"/>
  <c r="E372" i="1"/>
  <c r="F372" i="1" s="1"/>
  <c r="G372" i="1" s="1"/>
  <c r="E384" i="1"/>
  <c r="F384" i="1" s="1"/>
  <c r="G384" i="1" s="1"/>
  <c r="E496" i="1"/>
  <c r="F496" i="1" s="1"/>
  <c r="G496" i="1" s="1"/>
  <c r="E85" i="1"/>
  <c r="F85" i="1" s="1"/>
  <c r="G85" i="1" s="1"/>
  <c r="E229" i="1"/>
  <c r="F229" i="1" s="1"/>
  <c r="G229" i="1" s="1"/>
  <c r="E277" i="1"/>
  <c r="F277" i="1" s="1"/>
  <c r="G277" i="1" s="1"/>
  <c r="E369" i="1"/>
  <c r="F369" i="1" s="1"/>
  <c r="G369" i="1" s="1"/>
  <c r="E319" i="1"/>
  <c r="F319" i="1" s="1"/>
  <c r="G319" i="1" s="1"/>
  <c r="E342" i="1"/>
  <c r="F342" i="1" s="1"/>
  <c r="G342" i="1" s="1"/>
  <c r="E394" i="1"/>
  <c r="F394" i="1" s="1"/>
  <c r="G394" i="1" s="1"/>
  <c r="E402" i="1"/>
  <c r="F402" i="1" s="1"/>
  <c r="G402" i="1" s="1"/>
  <c r="E422" i="1"/>
  <c r="F422" i="1" s="1"/>
  <c r="G422" i="1" s="1"/>
  <c r="E25" i="1"/>
  <c r="F25" i="1" s="1"/>
  <c r="G25" i="1" s="1"/>
  <c r="E41" i="1"/>
  <c r="F41" i="1" s="1"/>
  <c r="G41" i="1" s="1"/>
  <c r="E193" i="1"/>
  <c r="F193" i="1" s="1"/>
  <c r="G193" i="1" s="1"/>
  <c r="E201" i="1"/>
  <c r="F201" i="1" s="1"/>
  <c r="G201" i="1" s="1"/>
  <c r="E281" i="1"/>
  <c r="F281" i="1" s="1"/>
  <c r="G281" i="1" s="1"/>
  <c r="E375" i="1"/>
  <c r="F375" i="1" s="1"/>
  <c r="G375" i="1" s="1"/>
  <c r="E455" i="1"/>
  <c r="F455" i="1" s="1"/>
  <c r="G455" i="1" s="1"/>
  <c r="E507" i="1"/>
  <c r="F507" i="1" s="1"/>
  <c r="G507" i="1" s="1"/>
  <c r="E86" i="1"/>
  <c r="F86" i="1" s="1"/>
  <c r="G86" i="1" s="1"/>
  <c r="E122" i="1"/>
  <c r="F122" i="1" s="1"/>
  <c r="G122" i="1" s="1"/>
  <c r="E134" i="1"/>
  <c r="F134" i="1" s="1"/>
  <c r="G134" i="1" s="1"/>
  <c r="E178" i="1"/>
  <c r="F178" i="1" s="1"/>
  <c r="G178" i="1" s="1"/>
  <c r="E258" i="1"/>
  <c r="F258" i="1" s="1"/>
  <c r="G258" i="1" s="1"/>
  <c r="E294" i="1"/>
  <c r="F294" i="1" s="1"/>
  <c r="G294" i="1" s="1"/>
  <c r="E314" i="1"/>
  <c r="F314" i="1" s="1"/>
  <c r="G314" i="1" s="1"/>
  <c r="E334" i="1"/>
  <c r="F334" i="1" s="1"/>
  <c r="G334" i="1" s="1"/>
  <c r="E68" i="1"/>
  <c r="F68" i="1" s="1"/>
  <c r="G68" i="1" s="1"/>
  <c r="E80" i="1"/>
  <c r="F80" i="1" s="1"/>
  <c r="G80" i="1" s="1"/>
  <c r="E192" i="1"/>
  <c r="F192" i="1" s="1"/>
  <c r="G192" i="1" s="1"/>
  <c r="E304" i="1"/>
  <c r="F304" i="1" s="1"/>
  <c r="G304" i="1" s="1"/>
  <c r="E332" i="1"/>
  <c r="F332" i="1" s="1"/>
  <c r="G332" i="1" s="1"/>
  <c r="E35" i="1"/>
  <c r="F35" i="1" s="1"/>
  <c r="G35" i="1" s="1"/>
  <c r="E171" i="1"/>
  <c r="F171" i="1" s="1"/>
  <c r="G171" i="1" s="1"/>
  <c r="E267" i="1"/>
  <c r="F267" i="1" s="1"/>
  <c r="G267" i="1" s="1"/>
  <c r="E356" i="1"/>
  <c r="F356" i="1" s="1"/>
  <c r="G356" i="1" s="1"/>
  <c r="E452" i="1"/>
  <c r="F452" i="1" s="1"/>
  <c r="G452" i="1" s="1"/>
  <c r="E21" i="1"/>
  <c r="F21" i="1" s="1"/>
  <c r="G21" i="1" s="1"/>
  <c r="E109" i="1"/>
  <c r="F109" i="1" s="1"/>
  <c r="G109" i="1" s="1"/>
  <c r="E205" i="1"/>
  <c r="F205" i="1" s="1"/>
  <c r="G205" i="1" s="1"/>
  <c r="E293" i="1"/>
  <c r="F293" i="1" s="1"/>
  <c r="G293" i="1" s="1"/>
  <c r="E361" i="1"/>
  <c r="F361" i="1" s="1"/>
  <c r="G361" i="1" s="1"/>
  <c r="E365" i="1"/>
  <c r="F365" i="1" s="1"/>
  <c r="G365" i="1" s="1"/>
  <c r="E381" i="1"/>
  <c r="F381" i="1" s="1"/>
  <c r="G381" i="1" s="1"/>
  <c r="E433" i="1"/>
  <c r="F433" i="1" s="1"/>
  <c r="G433" i="1" s="1"/>
  <c r="E477" i="1"/>
  <c r="F477" i="1" s="1"/>
  <c r="G477" i="1" s="1"/>
  <c r="E489" i="1"/>
  <c r="F489" i="1" s="1"/>
  <c r="G489" i="1" s="1"/>
  <c r="E513" i="1"/>
  <c r="F513" i="1" s="1"/>
  <c r="G513" i="1" s="1"/>
  <c r="E207" i="1"/>
  <c r="F207" i="1" s="1"/>
  <c r="G207" i="1" s="1"/>
  <c r="E311" i="1"/>
  <c r="F311" i="1" s="1"/>
  <c r="G311" i="1" s="1"/>
  <c r="E362" i="1"/>
  <c r="F362" i="1" s="1"/>
  <c r="G362" i="1" s="1"/>
  <c r="E374" i="1"/>
  <c r="F374" i="1" s="1"/>
  <c r="G374" i="1" s="1"/>
  <c r="E498" i="1"/>
  <c r="F498" i="1" s="1"/>
  <c r="G498" i="1" s="1"/>
  <c r="E502" i="1"/>
  <c r="F502" i="1" s="1"/>
  <c r="G502" i="1" s="1"/>
  <c r="E49" i="1"/>
  <c r="F49" i="1" s="1"/>
  <c r="G49" i="1" s="1"/>
  <c r="E97" i="1"/>
  <c r="F97" i="1" s="1"/>
  <c r="G97" i="1" s="1"/>
  <c r="E113" i="1"/>
  <c r="F113" i="1" s="1"/>
  <c r="G113" i="1" s="1"/>
  <c r="E129" i="1"/>
  <c r="F129" i="1" s="1"/>
  <c r="G129" i="1" s="1"/>
  <c r="E177" i="1"/>
  <c r="F177" i="1" s="1"/>
  <c r="G177" i="1" s="1"/>
  <c r="E225" i="1"/>
  <c r="F225" i="1" s="1"/>
  <c r="G225" i="1" s="1"/>
  <c r="E351" i="1"/>
  <c r="F351" i="1" s="1"/>
  <c r="G351" i="1" s="1"/>
  <c r="E383" i="1"/>
  <c r="F383" i="1" s="1"/>
  <c r="G383" i="1" s="1"/>
  <c r="E395" i="1"/>
  <c r="F395" i="1" s="1"/>
  <c r="G395" i="1" s="1"/>
  <c r="E479" i="1"/>
  <c r="F479" i="1" s="1"/>
  <c r="G479" i="1" s="1"/>
  <c r="E628" i="1"/>
  <c r="F628" i="1" s="1"/>
  <c r="G628" i="1" s="1"/>
  <c r="E624" i="1"/>
  <c r="F624" i="1" s="1"/>
  <c r="G624" i="1" s="1"/>
  <c r="E620" i="1"/>
  <c r="F620" i="1" s="1"/>
  <c r="G620" i="1" s="1"/>
  <c r="E616" i="1"/>
  <c r="F616" i="1" s="1"/>
  <c r="G616" i="1" s="1"/>
  <c r="E612" i="1"/>
  <c r="F612" i="1" s="1"/>
  <c r="G612" i="1" s="1"/>
  <c r="E608" i="1"/>
  <c r="F608" i="1" s="1"/>
  <c r="G608" i="1" s="1"/>
  <c r="E604" i="1"/>
  <c r="F604" i="1" s="1"/>
  <c r="G604" i="1" s="1"/>
  <c r="E600" i="1"/>
  <c r="F600" i="1" s="1"/>
  <c r="G600" i="1" s="1"/>
  <c r="E596" i="1"/>
  <c r="F596" i="1" s="1"/>
  <c r="G596" i="1" s="1"/>
  <c r="E592" i="1"/>
  <c r="F592" i="1" s="1"/>
  <c r="G592" i="1" s="1"/>
  <c r="E588" i="1"/>
  <c r="F588" i="1" s="1"/>
  <c r="G588" i="1" s="1"/>
  <c r="E584" i="1"/>
  <c r="F584" i="1" s="1"/>
  <c r="G584" i="1" s="1"/>
  <c r="E580" i="1"/>
  <c r="F580" i="1" s="1"/>
  <c r="G580" i="1" s="1"/>
  <c r="E576" i="1"/>
  <c r="F576" i="1" s="1"/>
  <c r="G576" i="1" s="1"/>
  <c r="E572" i="1"/>
  <c r="F572" i="1" s="1"/>
  <c r="G572" i="1" s="1"/>
  <c r="E568" i="1"/>
  <c r="F568" i="1" s="1"/>
  <c r="G568" i="1" s="1"/>
  <c r="E564" i="1"/>
  <c r="F564" i="1" s="1"/>
  <c r="G564" i="1" s="1"/>
  <c r="E560" i="1"/>
  <c r="F560" i="1" s="1"/>
  <c r="G560" i="1" s="1"/>
  <c r="E556" i="1"/>
  <c r="F556" i="1" s="1"/>
  <c r="G556" i="1" s="1"/>
  <c r="E552" i="1"/>
  <c r="F552" i="1" s="1"/>
  <c r="G552" i="1" s="1"/>
  <c r="E548" i="1"/>
  <c r="F548" i="1" s="1"/>
  <c r="G548" i="1" s="1"/>
  <c r="E544" i="1"/>
  <c r="F544" i="1" s="1"/>
  <c r="G544" i="1" s="1"/>
  <c r="E540" i="1"/>
  <c r="F540" i="1" s="1"/>
  <c r="G540" i="1" s="1"/>
  <c r="E536" i="1"/>
  <c r="F536" i="1" s="1"/>
  <c r="G536" i="1" s="1"/>
  <c r="E528" i="1"/>
  <c r="F528" i="1" s="1"/>
  <c r="G528" i="1" s="1"/>
  <c r="E524" i="1"/>
  <c r="F524" i="1" s="1"/>
  <c r="G524" i="1" s="1"/>
  <c r="E520" i="1"/>
  <c r="F520" i="1" s="1"/>
  <c r="G520" i="1" s="1"/>
  <c r="E38" i="1"/>
  <c r="F38" i="1" s="1"/>
  <c r="G38" i="1" s="1"/>
  <c r="E42" i="1"/>
  <c r="F42" i="1" s="1"/>
  <c r="G42" i="1" s="1"/>
  <c r="E206" i="1"/>
  <c r="F206" i="1" s="1"/>
  <c r="G206" i="1" s="1"/>
  <c r="E218" i="1"/>
  <c r="F218" i="1" s="1"/>
  <c r="G218" i="1" s="1"/>
  <c r="E262" i="1"/>
  <c r="F262" i="1" s="1"/>
  <c r="G262" i="1" s="1"/>
  <c r="E278" i="1"/>
  <c r="F278" i="1" s="1"/>
  <c r="G278" i="1" s="1"/>
  <c r="E12" i="1"/>
  <c r="F12" i="1" s="1"/>
  <c r="G12" i="1" s="1"/>
  <c r="E56" i="1"/>
  <c r="F56" i="1" s="1"/>
  <c r="G56" i="1" s="1"/>
  <c r="E72" i="1"/>
  <c r="F72" i="1" s="1"/>
  <c r="G72" i="1" s="1"/>
  <c r="E128" i="1"/>
  <c r="F128" i="1" s="1"/>
  <c r="G128" i="1" s="1"/>
  <c r="E160" i="1"/>
  <c r="F160" i="1" s="1"/>
  <c r="G160" i="1" s="1"/>
  <c r="E200" i="1"/>
  <c r="F200" i="1" s="1"/>
  <c r="G200" i="1" s="1"/>
  <c r="E244" i="1"/>
  <c r="F244" i="1" s="1"/>
  <c r="G244" i="1" s="1"/>
  <c r="E248" i="1"/>
  <c r="F248" i="1" s="1"/>
  <c r="G248" i="1" s="1"/>
  <c r="E256" i="1"/>
  <c r="F256" i="1" s="1"/>
  <c r="G256" i="1" s="1"/>
  <c r="E296" i="1"/>
  <c r="F296" i="1" s="1"/>
  <c r="G296" i="1" s="1"/>
  <c r="E59" i="1"/>
  <c r="F59" i="1" s="1"/>
  <c r="G59" i="1" s="1"/>
  <c r="E179" i="1"/>
  <c r="F179" i="1" s="1"/>
  <c r="G179" i="1" s="1"/>
  <c r="E259" i="1"/>
  <c r="F259" i="1" s="1"/>
  <c r="G259" i="1" s="1"/>
  <c r="E352" i="1"/>
  <c r="F352" i="1" s="1"/>
  <c r="G352" i="1" s="1"/>
  <c r="E420" i="1"/>
  <c r="F420" i="1" s="1"/>
  <c r="G420" i="1" s="1"/>
  <c r="E444" i="1"/>
  <c r="F444" i="1" s="1"/>
  <c r="G444" i="1" s="1"/>
  <c r="E480" i="1"/>
  <c r="F480" i="1" s="1"/>
  <c r="G480" i="1" s="1"/>
  <c r="E484" i="1"/>
  <c r="F484" i="1" s="1"/>
  <c r="G484" i="1" s="1"/>
  <c r="E45" i="1"/>
  <c r="F45" i="1" s="1"/>
  <c r="G45" i="1" s="1"/>
  <c r="E101" i="1"/>
  <c r="F101" i="1" s="1"/>
  <c r="G101" i="1" s="1"/>
  <c r="E149" i="1"/>
  <c r="F149" i="1" s="1"/>
  <c r="G149" i="1" s="1"/>
  <c r="E285" i="1"/>
  <c r="F285" i="1" s="1"/>
  <c r="G285" i="1" s="1"/>
  <c r="E397" i="1"/>
  <c r="F397" i="1" s="1"/>
  <c r="G397" i="1" s="1"/>
  <c r="E413" i="1"/>
  <c r="F413" i="1" s="1"/>
  <c r="G413" i="1" s="1"/>
  <c r="E469" i="1"/>
  <c r="F469" i="1" s="1"/>
  <c r="G469" i="1" s="1"/>
  <c r="E119" i="1"/>
  <c r="F119" i="1" s="1"/>
  <c r="G119" i="1" s="1"/>
  <c r="E143" i="1"/>
  <c r="F143" i="1" s="1"/>
  <c r="G143" i="1" s="1"/>
  <c r="E167" i="1"/>
  <c r="F167" i="1" s="1"/>
  <c r="G167" i="1" s="1"/>
  <c r="E199" i="1"/>
  <c r="F199" i="1" s="1"/>
  <c r="G199" i="1" s="1"/>
  <c r="E287" i="1"/>
  <c r="F287" i="1" s="1"/>
  <c r="G287" i="1" s="1"/>
  <c r="E470" i="1"/>
  <c r="F470" i="1" s="1"/>
  <c r="G470" i="1" s="1"/>
  <c r="E478" i="1"/>
  <c r="F478" i="1" s="1"/>
  <c r="G478" i="1" s="1"/>
  <c r="E514" i="1"/>
  <c r="F514" i="1" s="1"/>
  <c r="G514" i="1" s="1"/>
  <c r="E273" i="1"/>
  <c r="F273" i="1" s="1"/>
  <c r="G273" i="1" s="1"/>
  <c r="E321" i="1"/>
  <c r="F321" i="1" s="1"/>
  <c r="G321" i="1" s="1"/>
  <c r="E431" i="1"/>
  <c r="F431" i="1" s="1"/>
  <c r="G431" i="1" s="1"/>
  <c r="E459" i="1"/>
  <c r="F459" i="1" s="1"/>
  <c r="G459" i="1" s="1"/>
  <c r="E463" i="1"/>
  <c r="F463" i="1" s="1"/>
  <c r="G463" i="1" s="1"/>
  <c r="E90" i="1"/>
  <c r="F90" i="1" s="1"/>
  <c r="G90" i="1" s="1"/>
  <c r="E98" i="1"/>
  <c r="F98" i="1" s="1"/>
  <c r="G98" i="1" s="1"/>
  <c r="E142" i="1"/>
  <c r="F142" i="1" s="1"/>
  <c r="G142" i="1" s="1"/>
  <c r="E162" i="1"/>
  <c r="F162" i="1" s="1"/>
  <c r="G162" i="1" s="1"/>
  <c r="E170" i="1"/>
  <c r="F170" i="1" s="1"/>
  <c r="G170" i="1" s="1"/>
  <c r="E8" i="1"/>
  <c r="F8" i="1" s="1"/>
  <c r="G8" i="1" s="1"/>
  <c r="E32" i="1"/>
  <c r="F32" i="1" s="1"/>
  <c r="G32" i="1" s="1"/>
  <c r="E272" i="1"/>
  <c r="F272" i="1" s="1"/>
  <c r="G272" i="1" s="1"/>
  <c r="E280" i="1"/>
  <c r="F280" i="1" s="1"/>
  <c r="G280" i="1" s="1"/>
  <c r="E284" i="1"/>
  <c r="F284" i="1" s="1"/>
  <c r="G284" i="1" s="1"/>
  <c r="E288" i="1"/>
  <c r="F288" i="1" s="1"/>
  <c r="G288" i="1" s="1"/>
  <c r="E344" i="1"/>
  <c r="F344" i="1" s="1"/>
  <c r="G344" i="1" s="1"/>
  <c r="E368" i="1"/>
  <c r="F368" i="1" s="1"/>
  <c r="G368" i="1" s="1"/>
  <c r="E424" i="1"/>
  <c r="F424" i="1" s="1"/>
  <c r="G424" i="1" s="1"/>
  <c r="E428" i="1"/>
  <c r="F428" i="1" s="1"/>
  <c r="G428" i="1" s="1"/>
  <c r="E468" i="1"/>
  <c r="F468" i="1" s="1"/>
  <c r="G468" i="1" s="1"/>
  <c r="E37" i="1"/>
  <c r="F37" i="1" s="1"/>
  <c r="G37" i="1" s="1"/>
  <c r="E53" i="1"/>
  <c r="F53" i="1" s="1"/>
  <c r="G53" i="1" s="1"/>
  <c r="E77" i="1"/>
  <c r="F77" i="1" s="1"/>
  <c r="G77" i="1" s="1"/>
  <c r="E93" i="1"/>
  <c r="F93" i="1" s="1"/>
  <c r="G93" i="1" s="1"/>
  <c r="E333" i="1"/>
  <c r="F333" i="1" s="1"/>
  <c r="G333" i="1" s="1"/>
  <c r="E409" i="1"/>
  <c r="F409" i="1" s="1"/>
  <c r="G409" i="1" s="1"/>
  <c r="E417" i="1"/>
  <c r="F417" i="1" s="1"/>
  <c r="G417" i="1" s="1"/>
  <c r="E437" i="1"/>
  <c r="F437" i="1" s="1"/>
  <c r="G437" i="1" s="1"/>
  <c r="E453" i="1"/>
  <c r="F453" i="1" s="1"/>
  <c r="G453" i="1" s="1"/>
  <c r="E501" i="1"/>
  <c r="F501" i="1" s="1"/>
  <c r="G501" i="1" s="1"/>
  <c r="E47" i="1"/>
  <c r="F47" i="1" s="1"/>
  <c r="G47" i="1" s="1"/>
  <c r="E103" i="1"/>
  <c r="F103" i="1" s="1"/>
  <c r="G103" i="1" s="1"/>
  <c r="E159" i="1"/>
  <c r="F159" i="1" s="1"/>
  <c r="G159" i="1" s="1"/>
  <c r="E239" i="1"/>
  <c r="F239" i="1" s="1"/>
  <c r="G239" i="1" s="1"/>
  <c r="E327" i="1"/>
  <c r="F327" i="1" s="1"/>
  <c r="G327" i="1" s="1"/>
  <c r="E335" i="1"/>
  <c r="F335" i="1" s="1"/>
  <c r="G335" i="1" s="1"/>
  <c r="E350" i="1"/>
  <c r="F350" i="1" s="1"/>
  <c r="G350" i="1" s="1"/>
  <c r="E386" i="1"/>
  <c r="F386" i="1" s="1"/>
  <c r="G386" i="1" s="1"/>
  <c r="E418" i="1"/>
  <c r="F418" i="1" s="1"/>
  <c r="G418" i="1" s="1"/>
  <c r="E426" i="1"/>
  <c r="F426" i="1" s="1"/>
  <c r="G426" i="1" s="1"/>
  <c r="E430" i="1"/>
  <c r="F430" i="1" s="1"/>
  <c r="G430" i="1" s="1"/>
  <c r="E442" i="1"/>
  <c r="F442" i="1" s="1"/>
  <c r="G442" i="1" s="1"/>
  <c r="E510" i="1"/>
  <c r="F510" i="1" s="1"/>
  <c r="G510" i="1" s="1"/>
  <c r="E65" i="1"/>
  <c r="F65" i="1" s="1"/>
  <c r="G65" i="1" s="1"/>
  <c r="E217" i="1"/>
  <c r="F217" i="1" s="1"/>
  <c r="G217" i="1" s="1"/>
  <c r="E241" i="1"/>
  <c r="F241" i="1" s="1"/>
  <c r="G241" i="1" s="1"/>
  <c r="E257" i="1"/>
  <c r="F257" i="1" s="1"/>
  <c r="G257" i="1" s="1"/>
  <c r="E387" i="1"/>
  <c r="F387" i="1" s="1"/>
  <c r="G387" i="1" s="1"/>
  <c r="E407" i="1"/>
  <c r="F407" i="1" s="1"/>
  <c r="G407" i="1" s="1"/>
  <c r="E415" i="1"/>
  <c r="F415" i="1" s="1"/>
  <c r="G415" i="1" s="1"/>
  <c r="E443" i="1"/>
  <c r="F443" i="1" s="1"/>
  <c r="G443" i="1" s="1"/>
  <c r="E451" i="1"/>
  <c r="F451" i="1" s="1"/>
  <c r="G451" i="1" s="1"/>
  <c r="E495" i="1"/>
  <c r="F495" i="1" s="1"/>
  <c r="G495" i="1" s="1"/>
  <c r="E511" i="1"/>
  <c r="F511" i="1" s="1"/>
  <c r="G511" i="1" s="1"/>
  <c r="E515" i="1"/>
  <c r="F515" i="1" s="1"/>
  <c r="G515" i="1" s="1"/>
  <c r="E627" i="1"/>
  <c r="F627" i="1" s="1"/>
  <c r="G627" i="1" s="1"/>
  <c r="E623" i="1"/>
  <c r="F623" i="1" s="1"/>
  <c r="G623" i="1" s="1"/>
  <c r="E619" i="1"/>
  <c r="F619" i="1" s="1"/>
  <c r="G619" i="1" s="1"/>
  <c r="E615" i="1"/>
  <c r="F615" i="1" s="1"/>
  <c r="G615" i="1" s="1"/>
  <c r="E611" i="1"/>
  <c r="F611" i="1" s="1"/>
  <c r="G611" i="1" s="1"/>
  <c r="E607" i="1"/>
  <c r="F607" i="1" s="1"/>
  <c r="G607" i="1" s="1"/>
  <c r="E603" i="1"/>
  <c r="F603" i="1" s="1"/>
  <c r="G603" i="1" s="1"/>
  <c r="E599" i="1"/>
  <c r="F599" i="1" s="1"/>
  <c r="G599" i="1" s="1"/>
  <c r="E595" i="1"/>
  <c r="F595" i="1" s="1"/>
  <c r="G595" i="1" s="1"/>
  <c r="E587" i="1"/>
  <c r="F587" i="1" s="1"/>
  <c r="G587" i="1" s="1"/>
  <c r="E579" i="1"/>
  <c r="F579" i="1" s="1"/>
  <c r="G579" i="1" s="1"/>
  <c r="E571" i="1"/>
  <c r="F571" i="1" s="1"/>
  <c r="G571" i="1" s="1"/>
  <c r="E567" i="1"/>
  <c r="F567" i="1" s="1"/>
  <c r="G567" i="1" s="1"/>
  <c r="E563" i="1"/>
  <c r="F563" i="1" s="1"/>
  <c r="G563" i="1" s="1"/>
  <c r="E559" i="1"/>
  <c r="F559" i="1" s="1"/>
  <c r="G559" i="1" s="1"/>
  <c r="E555" i="1"/>
  <c r="F555" i="1" s="1"/>
  <c r="G555" i="1" s="1"/>
  <c r="E551" i="1"/>
  <c r="F551" i="1" s="1"/>
  <c r="G551" i="1" s="1"/>
  <c r="E547" i="1"/>
  <c r="F547" i="1" s="1"/>
  <c r="G547" i="1" s="1"/>
  <c r="E543" i="1"/>
  <c r="F543" i="1" s="1"/>
  <c r="G543" i="1" s="1"/>
  <c r="E539" i="1"/>
  <c r="F539" i="1" s="1"/>
  <c r="G539" i="1" s="1"/>
  <c r="E535" i="1"/>
  <c r="F535" i="1" s="1"/>
  <c r="G535" i="1" s="1"/>
  <c r="E531" i="1"/>
  <c r="F531" i="1" s="1"/>
  <c r="G531" i="1" s="1"/>
  <c r="E519" i="1"/>
  <c r="F519" i="1" s="1"/>
  <c r="G519" i="1" s="1"/>
  <c r="E512" i="1"/>
  <c r="F512" i="1" s="1"/>
  <c r="G512" i="1" s="1"/>
  <c r="E102" i="1"/>
  <c r="F102" i="1" s="1"/>
  <c r="G102" i="1" s="1"/>
  <c r="E106" i="1"/>
  <c r="F106" i="1" s="1"/>
  <c r="G106" i="1" s="1"/>
  <c r="E138" i="1"/>
  <c r="F138" i="1" s="1"/>
  <c r="G138" i="1" s="1"/>
  <c r="E166" i="1"/>
  <c r="F166" i="1" s="1"/>
  <c r="G166" i="1" s="1"/>
  <c r="E194" i="1"/>
  <c r="F194" i="1" s="1"/>
  <c r="G194" i="1" s="1"/>
  <c r="E242" i="1"/>
  <c r="F242" i="1" s="1"/>
  <c r="G242" i="1" s="1"/>
  <c r="E302" i="1"/>
  <c r="F302" i="1" s="1"/>
  <c r="G302" i="1" s="1"/>
  <c r="E88" i="1"/>
  <c r="F88" i="1" s="1"/>
  <c r="G88" i="1" s="1"/>
  <c r="E100" i="1"/>
  <c r="F100" i="1" s="1"/>
  <c r="G100" i="1" s="1"/>
  <c r="E112" i="1"/>
  <c r="F112" i="1" s="1"/>
  <c r="G112" i="1" s="1"/>
  <c r="E120" i="1"/>
  <c r="F120" i="1" s="1"/>
  <c r="G120" i="1" s="1"/>
  <c r="E168" i="1"/>
  <c r="F168" i="1" s="1"/>
  <c r="G168" i="1" s="1"/>
  <c r="E75" i="1"/>
  <c r="F75" i="1" s="1"/>
  <c r="G75" i="1" s="1"/>
  <c r="E163" i="1"/>
  <c r="F163" i="1" s="1"/>
  <c r="G163" i="1" s="1"/>
  <c r="E219" i="1"/>
  <c r="F219" i="1" s="1"/>
  <c r="G219" i="1" s="1"/>
  <c r="E364" i="1"/>
  <c r="F364" i="1" s="1"/>
  <c r="G364" i="1" s="1"/>
  <c r="E376" i="1"/>
  <c r="F376" i="1" s="1"/>
  <c r="G376" i="1" s="1"/>
  <c r="E432" i="1"/>
  <c r="F432" i="1" s="1"/>
  <c r="G432" i="1" s="1"/>
  <c r="E504" i="1"/>
  <c r="F504" i="1" s="1"/>
  <c r="G504" i="1" s="1"/>
  <c r="E141" i="1"/>
  <c r="F141" i="1" s="1"/>
  <c r="G141" i="1" s="1"/>
  <c r="E181" i="1"/>
  <c r="F181" i="1" s="1"/>
  <c r="G181" i="1" s="1"/>
  <c r="E213" i="1"/>
  <c r="F213" i="1" s="1"/>
  <c r="G213" i="1" s="1"/>
  <c r="E377" i="1"/>
  <c r="F377" i="1" s="1"/>
  <c r="G377" i="1" s="1"/>
  <c r="E389" i="1"/>
  <c r="F389" i="1" s="1"/>
  <c r="G389" i="1" s="1"/>
  <c r="E393" i="1"/>
  <c r="F393" i="1" s="1"/>
  <c r="G393" i="1" s="1"/>
  <c r="E425" i="1"/>
  <c r="F425" i="1" s="1"/>
  <c r="G425" i="1" s="1"/>
  <c r="E441" i="1"/>
  <c r="F441" i="1" s="1"/>
  <c r="G441" i="1" s="1"/>
  <c r="E473" i="1"/>
  <c r="F473" i="1" s="1"/>
  <c r="G473" i="1" s="1"/>
  <c r="E23" i="1"/>
  <c r="F23" i="1" s="1"/>
  <c r="G23" i="1" s="1"/>
  <c r="E39" i="1"/>
  <c r="F39" i="1" s="1"/>
  <c r="G39" i="1" s="1"/>
  <c r="E71" i="1"/>
  <c r="F71" i="1" s="1"/>
  <c r="G71" i="1" s="1"/>
  <c r="E127" i="1"/>
  <c r="F127" i="1" s="1"/>
  <c r="G127" i="1" s="1"/>
  <c r="E135" i="1"/>
  <c r="F135" i="1" s="1"/>
  <c r="G135" i="1" s="1"/>
  <c r="E183" i="1"/>
  <c r="F183" i="1" s="1"/>
  <c r="G183" i="1" s="1"/>
  <c r="E191" i="1"/>
  <c r="F191" i="1" s="1"/>
  <c r="G191" i="1" s="1"/>
  <c r="E231" i="1"/>
  <c r="F231" i="1" s="1"/>
  <c r="G231" i="1" s="1"/>
  <c r="E406" i="1"/>
  <c r="F406" i="1" s="1"/>
  <c r="G406" i="1" s="1"/>
  <c r="E410" i="1"/>
  <c r="F410" i="1" s="1"/>
  <c r="G410" i="1" s="1"/>
  <c r="E458" i="1"/>
  <c r="F458" i="1" s="1"/>
  <c r="G458" i="1" s="1"/>
  <c r="E161" i="1"/>
  <c r="F161" i="1" s="1"/>
  <c r="G161" i="1" s="1"/>
  <c r="E337" i="1"/>
  <c r="F337" i="1" s="1"/>
  <c r="G337" i="1" s="1"/>
  <c r="E359" i="1"/>
  <c r="F359" i="1" s="1"/>
  <c r="G359" i="1" s="1"/>
  <c r="E419" i="1"/>
  <c r="F419" i="1" s="1"/>
  <c r="G419" i="1" s="1"/>
  <c r="E435" i="1"/>
  <c r="F435" i="1" s="1"/>
  <c r="G435" i="1" s="1"/>
  <c r="E503" i="1"/>
  <c r="F503" i="1" s="1"/>
  <c r="G503" i="1" s="1"/>
  <c r="E18" i="1"/>
  <c r="F18" i="1" s="1"/>
  <c r="G18" i="1" s="1"/>
  <c r="E62" i="1"/>
  <c r="F62" i="1" s="1"/>
  <c r="G62" i="1" s="1"/>
  <c r="E150" i="1"/>
  <c r="F150" i="1" s="1"/>
  <c r="G150" i="1" s="1"/>
  <c r="E158" i="1"/>
  <c r="F158" i="1" s="1"/>
  <c r="G158" i="1" s="1"/>
  <c r="E270" i="1"/>
  <c r="F270" i="1" s="1"/>
  <c r="G270" i="1" s="1"/>
  <c r="E306" i="1"/>
  <c r="F306" i="1" s="1"/>
  <c r="G306" i="1" s="1"/>
  <c r="E310" i="1"/>
  <c r="F310" i="1" s="1"/>
  <c r="G310" i="1" s="1"/>
  <c r="E15" i="1"/>
  <c r="F15" i="1" s="1"/>
  <c r="G15" i="1" s="1"/>
  <c r="E28" i="1"/>
  <c r="F28" i="1" s="1"/>
  <c r="G28" i="1" s="1"/>
  <c r="E60" i="1"/>
  <c r="F60" i="1" s="1"/>
  <c r="G60" i="1" s="1"/>
  <c r="E64" i="1"/>
  <c r="F64" i="1" s="1"/>
  <c r="G64" i="1" s="1"/>
  <c r="E84" i="1"/>
  <c r="F84" i="1" s="1"/>
  <c r="G84" i="1" s="1"/>
  <c r="E140" i="1"/>
  <c r="F140" i="1" s="1"/>
  <c r="G140" i="1" s="1"/>
  <c r="E188" i="1"/>
  <c r="F188" i="1" s="1"/>
  <c r="G188" i="1" s="1"/>
  <c r="E300" i="1"/>
  <c r="F300" i="1" s="1"/>
  <c r="G300" i="1" s="1"/>
  <c r="E316" i="1"/>
  <c r="F316" i="1" s="1"/>
  <c r="G316" i="1" s="1"/>
  <c r="E336" i="1"/>
  <c r="F336" i="1" s="1"/>
  <c r="G336" i="1" s="1"/>
  <c r="E51" i="1"/>
  <c r="F51" i="1" s="1"/>
  <c r="G51" i="1" s="1"/>
  <c r="E123" i="1"/>
  <c r="F123" i="1" s="1"/>
  <c r="G123" i="1" s="1"/>
  <c r="E187" i="1"/>
  <c r="F187" i="1" s="1"/>
  <c r="G187" i="1" s="1"/>
  <c r="E275" i="1"/>
  <c r="F275" i="1" s="1"/>
  <c r="G275" i="1" s="1"/>
  <c r="E323" i="1"/>
  <c r="F323" i="1" s="1"/>
  <c r="G323" i="1" s="1"/>
  <c r="E392" i="1"/>
  <c r="F392" i="1" s="1"/>
  <c r="G392" i="1" s="1"/>
  <c r="E404" i="1"/>
  <c r="F404" i="1" s="1"/>
  <c r="G404" i="1" s="1"/>
  <c r="E412" i="1"/>
  <c r="F412" i="1" s="1"/>
  <c r="G412" i="1" s="1"/>
  <c r="E460" i="1"/>
  <c r="F460" i="1" s="1"/>
  <c r="G460" i="1" s="1"/>
  <c r="E472" i="1"/>
  <c r="F472" i="1" s="1"/>
  <c r="G472" i="1" s="1"/>
  <c r="E492" i="1"/>
  <c r="F492" i="1" s="1"/>
  <c r="G492" i="1" s="1"/>
  <c r="E385" i="1"/>
  <c r="F385" i="1" s="1"/>
  <c r="G385" i="1" s="1"/>
  <c r="E429" i="1"/>
  <c r="F429" i="1" s="1"/>
  <c r="G429" i="1" s="1"/>
  <c r="E509" i="1"/>
  <c r="F509" i="1" s="1"/>
  <c r="G509" i="1" s="1"/>
  <c r="E31" i="1"/>
  <c r="F31" i="1" s="1"/>
  <c r="G31" i="1" s="1"/>
  <c r="E55" i="1"/>
  <c r="F55" i="1" s="1"/>
  <c r="G55" i="1" s="1"/>
  <c r="E486" i="1"/>
  <c r="F486" i="1" s="1"/>
  <c r="G486" i="1" s="1"/>
  <c r="E81" i="1"/>
  <c r="F81" i="1" s="1"/>
  <c r="G81" i="1" s="1"/>
  <c r="E137" i="1"/>
  <c r="F137" i="1" s="1"/>
  <c r="G137" i="1" s="1"/>
  <c r="E169" i="1"/>
  <c r="F169" i="1" s="1"/>
  <c r="G169" i="1" s="1"/>
  <c r="E371" i="1"/>
  <c r="F371" i="1" s="1"/>
  <c r="G371" i="1" s="1"/>
  <c r="E439" i="1"/>
  <c r="F439" i="1" s="1"/>
  <c r="G439" i="1" s="1"/>
  <c r="E475" i="1"/>
  <c r="F475" i="1" s="1"/>
  <c r="G475" i="1" s="1"/>
  <c r="E483" i="1"/>
  <c r="F483" i="1" s="1"/>
  <c r="G483" i="1" s="1"/>
  <c r="E487" i="1"/>
  <c r="F487" i="1" s="1"/>
  <c r="G487" i="1" s="1"/>
  <c r="E14" i="1"/>
  <c r="F14" i="1" s="1"/>
  <c r="G14" i="1" s="1"/>
  <c r="E26" i="1"/>
  <c r="F26" i="1" s="1"/>
  <c r="G26" i="1" s="1"/>
  <c r="E58" i="1"/>
  <c r="F58" i="1" s="1"/>
  <c r="G58" i="1" s="1"/>
  <c r="E78" i="1"/>
  <c r="F78" i="1" s="1"/>
  <c r="G78" i="1" s="1"/>
  <c r="E94" i="1"/>
  <c r="F94" i="1" s="1"/>
  <c r="G94" i="1" s="1"/>
  <c r="E146" i="1"/>
  <c r="F146" i="1" s="1"/>
  <c r="G146" i="1" s="1"/>
  <c r="E182" i="1"/>
  <c r="F182" i="1" s="1"/>
  <c r="G182" i="1" s="1"/>
  <c r="E190" i="1"/>
  <c r="F190" i="1" s="1"/>
  <c r="G190" i="1" s="1"/>
  <c r="E226" i="1"/>
  <c r="F226" i="1" s="1"/>
  <c r="G226" i="1" s="1"/>
  <c r="E318" i="1"/>
  <c r="F318" i="1" s="1"/>
  <c r="G318" i="1" s="1"/>
  <c r="E338" i="1"/>
  <c r="F338" i="1" s="1"/>
  <c r="G338" i="1" s="1"/>
  <c r="E11" i="1"/>
  <c r="F11" i="1" s="1"/>
  <c r="G11" i="1" s="1"/>
  <c r="E16" i="1"/>
  <c r="F16" i="1" s="1"/>
  <c r="G16" i="1" s="1"/>
  <c r="E20" i="1"/>
  <c r="F20" i="1" s="1"/>
  <c r="G20" i="1" s="1"/>
  <c r="E132" i="1"/>
  <c r="F132" i="1" s="1"/>
  <c r="G132" i="1" s="1"/>
  <c r="E164" i="1"/>
  <c r="F164" i="1" s="1"/>
  <c r="G164" i="1" s="1"/>
  <c r="E196" i="1"/>
  <c r="F196" i="1" s="1"/>
  <c r="G196" i="1" s="1"/>
  <c r="E220" i="1"/>
  <c r="F220" i="1" s="1"/>
  <c r="G220" i="1" s="1"/>
  <c r="E232" i="1"/>
  <c r="F232" i="1" s="1"/>
  <c r="G232" i="1" s="1"/>
  <c r="E260" i="1"/>
  <c r="F260" i="1" s="1"/>
  <c r="G260" i="1" s="1"/>
  <c r="E276" i="1"/>
  <c r="F276" i="1" s="1"/>
  <c r="G276" i="1" s="1"/>
  <c r="E292" i="1"/>
  <c r="F292" i="1" s="1"/>
  <c r="G292" i="1" s="1"/>
  <c r="E312" i="1"/>
  <c r="F312" i="1" s="1"/>
  <c r="G312" i="1" s="1"/>
  <c r="E324" i="1"/>
  <c r="F324" i="1" s="1"/>
  <c r="G324" i="1" s="1"/>
  <c r="E27" i="1"/>
  <c r="F27" i="1" s="1"/>
  <c r="G27" i="1" s="1"/>
  <c r="E67" i="1"/>
  <c r="F67" i="1" s="1"/>
  <c r="G67" i="1" s="1"/>
  <c r="E380" i="1"/>
  <c r="F380" i="1" s="1"/>
  <c r="G380" i="1" s="1"/>
  <c r="E476" i="1"/>
  <c r="F476" i="1" s="1"/>
  <c r="G476" i="1" s="1"/>
  <c r="E500" i="1"/>
  <c r="F500" i="1" s="1"/>
  <c r="G500" i="1" s="1"/>
  <c r="E117" i="1"/>
  <c r="F117" i="1" s="1"/>
  <c r="G117" i="1" s="1"/>
  <c r="E125" i="1"/>
  <c r="F125" i="1" s="1"/>
  <c r="G125" i="1" s="1"/>
  <c r="E189" i="1"/>
  <c r="F189" i="1" s="1"/>
  <c r="G189" i="1" s="1"/>
  <c r="E245" i="1"/>
  <c r="F245" i="1" s="1"/>
  <c r="G245" i="1" s="1"/>
  <c r="E269" i="1"/>
  <c r="F269" i="1" s="1"/>
  <c r="G269" i="1" s="1"/>
  <c r="E325" i="1"/>
  <c r="F325" i="1" s="1"/>
  <c r="G325" i="1" s="1"/>
  <c r="E357" i="1"/>
  <c r="F357" i="1" s="1"/>
  <c r="G357" i="1" s="1"/>
  <c r="E405" i="1"/>
  <c r="F405" i="1" s="1"/>
  <c r="G405" i="1" s="1"/>
  <c r="E457" i="1"/>
  <c r="F457" i="1" s="1"/>
  <c r="G457" i="1" s="1"/>
  <c r="E485" i="1"/>
  <c r="F485" i="1" s="1"/>
  <c r="G485" i="1" s="1"/>
  <c r="E497" i="1"/>
  <c r="F497" i="1" s="1"/>
  <c r="G497" i="1" s="1"/>
  <c r="E505" i="1"/>
  <c r="F505" i="1" s="1"/>
  <c r="G505" i="1" s="1"/>
  <c r="E79" i="1"/>
  <c r="F79" i="1" s="1"/>
  <c r="G79" i="1" s="1"/>
  <c r="E215" i="1"/>
  <c r="F215" i="1" s="1"/>
  <c r="G215" i="1" s="1"/>
  <c r="E263" i="1"/>
  <c r="F263" i="1" s="1"/>
  <c r="G263" i="1" s="1"/>
  <c r="E271" i="1"/>
  <c r="F271" i="1" s="1"/>
  <c r="G271" i="1" s="1"/>
  <c r="E303" i="1"/>
  <c r="F303" i="1" s="1"/>
  <c r="G303" i="1" s="1"/>
  <c r="E358" i="1"/>
  <c r="F358" i="1" s="1"/>
  <c r="G358" i="1" s="1"/>
  <c r="E494" i="1"/>
  <c r="F494" i="1" s="1"/>
  <c r="G494" i="1" s="1"/>
  <c r="E57" i="1"/>
  <c r="F57" i="1" s="1"/>
  <c r="G57" i="1" s="1"/>
  <c r="E73" i="1"/>
  <c r="F73" i="1" s="1"/>
  <c r="G73" i="1" s="1"/>
  <c r="E329" i="1"/>
  <c r="F329" i="1" s="1"/>
  <c r="G329" i="1" s="1"/>
  <c r="E355" i="1"/>
  <c r="F355" i="1" s="1"/>
  <c r="G355" i="1" s="1"/>
  <c r="E499" i="1"/>
  <c r="F499" i="1" s="1"/>
  <c r="G499" i="1" s="1"/>
  <c r="E46" i="1"/>
  <c r="F46" i="1" s="1"/>
  <c r="G46" i="1" s="1"/>
  <c r="E118" i="1"/>
  <c r="F118" i="1" s="1"/>
  <c r="G118" i="1" s="1"/>
  <c r="E126" i="1"/>
  <c r="F126" i="1" s="1"/>
  <c r="G126" i="1" s="1"/>
  <c r="E238" i="1"/>
  <c r="F238" i="1" s="1"/>
  <c r="G238" i="1" s="1"/>
  <c r="E266" i="1"/>
  <c r="F266" i="1" s="1"/>
  <c r="G266" i="1" s="1"/>
  <c r="E274" i="1"/>
  <c r="F274" i="1" s="1"/>
  <c r="G274" i="1" s="1"/>
  <c r="E330" i="1"/>
  <c r="F330" i="1" s="1"/>
  <c r="G330" i="1" s="1"/>
  <c r="E7" i="1"/>
  <c r="F7" i="1" s="1"/>
  <c r="G7" i="1" s="1"/>
  <c r="E52" i="1"/>
  <c r="F52" i="1" s="1"/>
  <c r="G52" i="1" s="1"/>
  <c r="E152" i="1"/>
  <c r="F152" i="1" s="1"/>
  <c r="G152" i="1" s="1"/>
  <c r="E180" i="1"/>
  <c r="F180" i="1" s="1"/>
  <c r="G180" i="1" s="1"/>
  <c r="E212" i="1"/>
  <c r="F212" i="1" s="1"/>
  <c r="G212" i="1" s="1"/>
  <c r="E252" i="1"/>
  <c r="F252" i="1" s="1"/>
  <c r="G252" i="1" s="1"/>
  <c r="E83" i="1"/>
  <c r="F83" i="1" s="1"/>
  <c r="G83" i="1" s="1"/>
  <c r="E416" i="1"/>
  <c r="F416" i="1" s="1"/>
  <c r="G416" i="1" s="1"/>
  <c r="E456" i="1"/>
  <c r="F456" i="1" s="1"/>
  <c r="G456" i="1" s="1"/>
  <c r="E488" i="1"/>
  <c r="F488" i="1" s="1"/>
  <c r="G488" i="1" s="1"/>
  <c r="E253" i="1"/>
  <c r="F253" i="1" s="1"/>
  <c r="G253" i="1" s="1"/>
  <c r="E301" i="1"/>
  <c r="F301" i="1" s="1"/>
  <c r="G301" i="1" s="1"/>
  <c r="E445" i="1"/>
  <c r="F445" i="1" s="1"/>
  <c r="G445" i="1" s="1"/>
  <c r="E449" i="1"/>
  <c r="F449" i="1" s="1"/>
  <c r="G449" i="1" s="1"/>
  <c r="E151" i="1"/>
  <c r="F151" i="1" s="1"/>
  <c r="G151" i="1" s="1"/>
  <c r="E247" i="1"/>
  <c r="F247" i="1" s="1"/>
  <c r="G247" i="1" s="1"/>
  <c r="E370" i="1"/>
  <c r="F370" i="1" s="1"/>
  <c r="G370" i="1" s="1"/>
  <c r="E382" i="1"/>
  <c r="F382" i="1" s="1"/>
  <c r="G382" i="1" s="1"/>
  <c r="E446" i="1"/>
  <c r="F446" i="1" s="1"/>
  <c r="G446" i="1" s="1"/>
  <c r="E33" i="1"/>
  <c r="F33" i="1" s="1"/>
  <c r="G33" i="1" s="1"/>
  <c r="E105" i="1"/>
  <c r="F105" i="1" s="1"/>
  <c r="G105" i="1" s="1"/>
  <c r="E121" i="1"/>
  <c r="F121" i="1" s="1"/>
  <c r="G121" i="1" s="1"/>
  <c r="E145" i="1"/>
  <c r="F145" i="1" s="1"/>
  <c r="G145" i="1" s="1"/>
  <c r="E297" i="1"/>
  <c r="F297" i="1" s="1"/>
  <c r="G297" i="1" s="1"/>
  <c r="E313" i="1"/>
  <c r="F313" i="1" s="1"/>
  <c r="G313" i="1" s="1"/>
  <c r="E347" i="1"/>
  <c r="F347" i="1" s="1"/>
  <c r="G347" i="1" s="1"/>
  <c r="E403" i="1"/>
  <c r="F403" i="1" s="1"/>
  <c r="G403" i="1" s="1"/>
  <c r="E50" i="1"/>
  <c r="F50" i="1" s="1"/>
  <c r="G50" i="1" s="1"/>
  <c r="E186" i="1"/>
  <c r="F186" i="1" s="1"/>
  <c r="G186" i="1" s="1"/>
  <c r="E210" i="1"/>
  <c r="F210" i="1" s="1"/>
  <c r="G210" i="1" s="1"/>
  <c r="E246" i="1"/>
  <c r="F246" i="1" s="1"/>
  <c r="G246" i="1" s="1"/>
  <c r="E3" i="1"/>
  <c r="F3" i="1" s="1"/>
  <c r="G3" i="1" s="1"/>
  <c r="E24" i="1"/>
  <c r="F24" i="1" s="1"/>
  <c r="G24" i="1" s="1"/>
  <c r="E40" i="1"/>
  <c r="F40" i="1" s="1"/>
  <c r="G40" i="1" s="1"/>
  <c r="E48" i="1"/>
  <c r="F48" i="1" s="1"/>
  <c r="G48" i="1" s="1"/>
  <c r="E268" i="1"/>
  <c r="F268" i="1" s="1"/>
  <c r="G268" i="1" s="1"/>
  <c r="E5" i="1"/>
  <c r="F5" i="1" s="1"/>
  <c r="G5" i="1" s="1"/>
  <c r="E99" i="1"/>
  <c r="F99" i="1" s="1"/>
  <c r="G99" i="1" s="1"/>
  <c r="E291" i="1"/>
  <c r="F291" i="1" s="1"/>
  <c r="G291" i="1" s="1"/>
  <c r="E307" i="1"/>
  <c r="F307" i="1" s="1"/>
  <c r="G307" i="1" s="1"/>
  <c r="E339" i="1"/>
  <c r="F339" i="1" s="1"/>
  <c r="G339" i="1" s="1"/>
  <c r="E348" i="1"/>
  <c r="F348" i="1" s="1"/>
  <c r="G348" i="1" s="1"/>
  <c r="E388" i="1"/>
  <c r="F388" i="1" s="1"/>
  <c r="G388" i="1" s="1"/>
  <c r="E408" i="1"/>
  <c r="F408" i="1" s="1"/>
  <c r="G408" i="1" s="1"/>
  <c r="E9" i="1"/>
  <c r="F9" i="1" s="1"/>
  <c r="G9" i="1" s="1"/>
  <c r="E133" i="1"/>
  <c r="F133" i="1" s="1"/>
  <c r="G133" i="1" s="1"/>
  <c r="E261" i="1"/>
  <c r="F261" i="1" s="1"/>
  <c r="G261" i="1" s="1"/>
  <c r="E349" i="1"/>
  <c r="F349" i="1" s="1"/>
  <c r="G349" i="1" s="1"/>
  <c r="E353" i="1"/>
  <c r="F353" i="1" s="1"/>
  <c r="G353" i="1" s="1"/>
  <c r="E373" i="1"/>
  <c r="F373" i="1" s="1"/>
  <c r="G373" i="1" s="1"/>
  <c r="E95" i="1"/>
  <c r="F95" i="1" s="1"/>
  <c r="G95" i="1" s="1"/>
  <c r="E414" i="1"/>
  <c r="F414" i="1" s="1"/>
  <c r="G414" i="1" s="1"/>
  <c r="E434" i="1"/>
  <c r="F434" i="1" s="1"/>
  <c r="G434" i="1" s="1"/>
  <c r="E450" i="1"/>
  <c r="F450" i="1" s="1"/>
  <c r="G450" i="1" s="1"/>
  <c r="E506" i="1"/>
  <c r="F506" i="1" s="1"/>
  <c r="G506" i="1" s="1"/>
  <c r="E185" i="1"/>
  <c r="F185" i="1" s="1"/>
  <c r="G185" i="1" s="1"/>
  <c r="E233" i="1"/>
  <c r="F233" i="1" s="1"/>
  <c r="G233" i="1" s="1"/>
  <c r="E265" i="1"/>
  <c r="F265" i="1" s="1"/>
  <c r="G265" i="1" s="1"/>
  <c r="E363" i="1"/>
  <c r="F363" i="1" s="1"/>
  <c r="G363" i="1" s="1"/>
  <c r="E423" i="1"/>
  <c r="F423" i="1" s="1"/>
  <c r="G423" i="1" s="1"/>
  <c r="E427" i="1"/>
  <c r="F427" i="1" s="1"/>
  <c r="G427" i="1" s="1"/>
  <c r="E467" i="1"/>
  <c r="F467" i="1" s="1"/>
  <c r="G467" i="1" s="1"/>
  <c r="E491" i="1"/>
  <c r="F491" i="1" s="1"/>
  <c r="G491" i="1" s="1"/>
  <c r="E626" i="1"/>
  <c r="F626" i="1" s="1"/>
  <c r="G626" i="1" s="1"/>
  <c r="E622" i="1"/>
  <c r="F622" i="1" s="1"/>
  <c r="G622" i="1" s="1"/>
  <c r="E618" i="1"/>
  <c r="F618" i="1" s="1"/>
  <c r="G618" i="1" s="1"/>
  <c r="E614" i="1"/>
  <c r="F614" i="1" s="1"/>
  <c r="G614" i="1" s="1"/>
  <c r="E610" i="1"/>
  <c r="F610" i="1" s="1"/>
  <c r="G610" i="1" s="1"/>
  <c r="E606" i="1"/>
  <c r="F606" i="1" s="1"/>
  <c r="G606" i="1" s="1"/>
  <c r="E602" i="1"/>
  <c r="F602" i="1" s="1"/>
  <c r="G602" i="1" s="1"/>
  <c r="E598" i="1"/>
  <c r="F598" i="1" s="1"/>
  <c r="G598" i="1" s="1"/>
  <c r="E594" i="1"/>
  <c r="F594" i="1" s="1"/>
  <c r="G594" i="1" s="1"/>
  <c r="E590" i="1"/>
  <c r="F590" i="1" s="1"/>
  <c r="G590" i="1" s="1"/>
  <c r="E586" i="1"/>
  <c r="F586" i="1" s="1"/>
  <c r="G586" i="1" s="1"/>
  <c r="E582" i="1"/>
  <c r="F582" i="1" s="1"/>
  <c r="G582" i="1" s="1"/>
  <c r="E578" i="1"/>
  <c r="F578" i="1" s="1"/>
  <c r="G578" i="1" s="1"/>
  <c r="E574" i="1"/>
  <c r="F574" i="1" s="1"/>
  <c r="G574" i="1" s="1"/>
  <c r="E570" i="1"/>
  <c r="F570" i="1" s="1"/>
  <c r="G570" i="1" s="1"/>
  <c r="E566" i="1"/>
  <c r="F566" i="1" s="1"/>
  <c r="G566" i="1" s="1"/>
  <c r="E562" i="1"/>
  <c r="F562" i="1" s="1"/>
  <c r="G562" i="1" s="1"/>
  <c r="E558" i="1"/>
  <c r="F558" i="1" s="1"/>
  <c r="G558" i="1" s="1"/>
  <c r="E554" i="1"/>
  <c r="F554" i="1" s="1"/>
  <c r="G554" i="1" s="1"/>
  <c r="E550" i="1"/>
  <c r="F550" i="1" s="1"/>
  <c r="G550" i="1" s="1"/>
  <c r="E546" i="1"/>
  <c r="F546" i="1" s="1"/>
  <c r="G546" i="1" s="1"/>
  <c r="E542" i="1"/>
  <c r="F542" i="1" s="1"/>
  <c r="G542" i="1" s="1"/>
  <c r="E538" i="1"/>
  <c r="F538" i="1" s="1"/>
  <c r="G538" i="1" s="1"/>
  <c r="E534" i="1"/>
  <c r="F534" i="1" s="1"/>
  <c r="G534" i="1" s="1"/>
  <c r="E530" i="1"/>
  <c r="F530" i="1" s="1"/>
  <c r="G530" i="1" s="1"/>
  <c r="E526" i="1"/>
  <c r="F526" i="1" s="1"/>
  <c r="G526" i="1" s="1"/>
  <c r="E522" i="1"/>
  <c r="F522" i="1" s="1"/>
  <c r="G522" i="1" s="1"/>
  <c r="E518" i="1"/>
  <c r="F518" i="1" s="1"/>
  <c r="G518" i="1" s="1"/>
  <c r="E508" i="1"/>
  <c r="F508" i="1" s="1"/>
  <c r="G508" i="1" s="1"/>
  <c r="Z558" i="1"/>
  <c r="Z550" i="1"/>
  <c r="Z502" i="1"/>
  <c r="Z498" i="1"/>
  <c r="Z476" i="1"/>
  <c r="Z442" i="1"/>
  <c r="Z428" i="1"/>
  <c r="Z424" i="1"/>
  <c r="Z406" i="1"/>
  <c r="Z606" i="1"/>
  <c r="Z551" i="1"/>
  <c r="Z527" i="1"/>
  <c r="Z503" i="1"/>
  <c r="Z491" i="1"/>
  <c r="Z628" i="1"/>
  <c r="Z626" i="1"/>
  <c r="Z618" i="1"/>
  <c r="Z602" i="1"/>
  <c r="Z600" i="1"/>
  <c r="Z586" i="1"/>
  <c r="Z580" i="1"/>
  <c r="Z578" i="1"/>
  <c r="Z568" i="1"/>
  <c r="Z564" i="1"/>
  <c r="Z552" i="1"/>
  <c r="Z548" i="1"/>
  <c r="Z544" i="1"/>
  <c r="Z536" i="1"/>
  <c r="Z522" i="1"/>
  <c r="Z518" i="1"/>
  <c r="Z516" i="1"/>
  <c r="Z508" i="1"/>
  <c r="Z504" i="1"/>
  <c r="Z500" i="1"/>
  <c r="Z627" i="1"/>
  <c r="Z625" i="1"/>
  <c r="Z583" i="1"/>
  <c r="Z573" i="1"/>
  <c r="AG3" i="1" l="1"/>
  <c r="E3" i="10"/>
  <c r="AF633" i="1"/>
  <c r="F98" i="4"/>
  <c r="G97" i="4"/>
  <c r="F266" i="4"/>
  <c r="G265" i="4"/>
  <c r="F228" i="4"/>
  <c r="G227" i="4"/>
  <c r="F138" i="4"/>
  <c r="G137" i="4"/>
  <c r="F187" i="4"/>
  <c r="G186" i="4"/>
  <c r="F4" i="4"/>
  <c r="G3" i="4"/>
  <c r="F52" i="4"/>
  <c r="G51" i="4"/>
  <c r="AG2" i="1"/>
  <c r="C37" i="5"/>
  <c r="B50" i="5"/>
  <c r="C45" i="5"/>
  <c r="B34" i="5"/>
  <c r="C47" i="5"/>
  <c r="C52" i="5"/>
  <c r="B32" i="5"/>
  <c r="B28" i="5"/>
  <c r="B39" i="5"/>
  <c r="B46" i="5"/>
  <c r="B57" i="5"/>
  <c r="B51" i="5"/>
  <c r="C33" i="5"/>
  <c r="C32" i="5"/>
  <c r="C39" i="5"/>
  <c r="C27" i="5"/>
  <c r="C28" i="5"/>
  <c r="C46" i="5"/>
  <c r="B55" i="5"/>
  <c r="C55" i="5"/>
  <c r="B29" i="5"/>
  <c r="B33" i="5"/>
  <c r="B47" i="5"/>
  <c r="B45" i="5"/>
  <c r="C51" i="5"/>
  <c r="C50" i="5"/>
  <c r="C29" i="5"/>
  <c r="B38" i="5"/>
  <c r="B52" i="5"/>
  <c r="B56" i="5"/>
  <c r="B27" i="5"/>
  <c r="B37" i="5"/>
  <c r="C34" i="5"/>
  <c r="C56" i="5"/>
  <c r="C57" i="5"/>
  <c r="C38" i="5"/>
  <c r="F53" i="4" l="1"/>
  <c r="G52" i="4"/>
  <c r="F188" i="4"/>
  <c r="G187" i="4"/>
  <c r="F229" i="4"/>
  <c r="G228" i="4"/>
  <c r="F99" i="4"/>
  <c r="G98" i="4"/>
  <c r="F5" i="4"/>
  <c r="G4" i="4"/>
  <c r="F139" i="4"/>
  <c r="G138" i="4"/>
  <c r="F267" i="4"/>
  <c r="G266" i="4"/>
  <c r="AG633" i="1"/>
  <c r="E4" i="10"/>
  <c r="F140" i="4" l="1"/>
  <c r="G139" i="4"/>
  <c r="F100" i="4"/>
  <c r="G99" i="4"/>
  <c r="G188" i="4"/>
  <c r="F189" i="4"/>
  <c r="F268" i="4"/>
  <c r="G267" i="4"/>
  <c r="F6" i="4"/>
  <c r="G5" i="4"/>
  <c r="F230" i="4"/>
  <c r="G229" i="4"/>
  <c r="F54" i="4"/>
  <c r="G53" i="4"/>
  <c r="F269" i="4" l="1"/>
  <c r="G268" i="4"/>
  <c r="F231" i="4"/>
  <c r="G230" i="4"/>
  <c r="F101" i="4"/>
  <c r="G100" i="4"/>
  <c r="F190" i="4"/>
  <c r="G189" i="4"/>
  <c r="F55" i="4"/>
  <c r="G54" i="4"/>
  <c r="F7" i="4"/>
  <c r="G6" i="4"/>
  <c r="F141" i="4"/>
  <c r="G140" i="4"/>
  <c r="F191" i="4" l="1"/>
  <c r="G190" i="4"/>
  <c r="F8" i="4"/>
  <c r="G7" i="4"/>
  <c r="F232" i="4"/>
  <c r="G231" i="4"/>
  <c r="F142" i="4"/>
  <c r="G141" i="4"/>
  <c r="F56" i="4"/>
  <c r="G55" i="4"/>
  <c r="F102" i="4"/>
  <c r="G101" i="4"/>
  <c r="F270" i="4"/>
  <c r="G269" i="4"/>
  <c r="F103" i="4" l="1"/>
  <c r="G102" i="4"/>
  <c r="F143" i="4"/>
  <c r="G142" i="4"/>
  <c r="F9" i="4"/>
  <c r="G8" i="4"/>
  <c r="F271" i="4"/>
  <c r="G270" i="4"/>
  <c r="F57" i="4"/>
  <c r="G56" i="4"/>
  <c r="F233" i="4"/>
  <c r="G232" i="4"/>
  <c r="F192" i="4"/>
  <c r="G191" i="4"/>
  <c r="F234" i="4" l="1"/>
  <c r="G233" i="4"/>
  <c r="F272" i="4"/>
  <c r="G271" i="4"/>
  <c r="F144" i="4"/>
  <c r="G143" i="4"/>
  <c r="F193" i="4"/>
  <c r="G192" i="4"/>
  <c r="F58" i="4"/>
  <c r="G57" i="4"/>
  <c r="F10" i="4"/>
  <c r="G9" i="4"/>
  <c r="F104" i="4"/>
  <c r="G103" i="4"/>
  <c r="F11" i="4" l="1"/>
  <c r="G10" i="4"/>
  <c r="F194" i="4"/>
  <c r="G193" i="4"/>
  <c r="F273" i="4"/>
  <c r="G272" i="4"/>
  <c r="F105" i="4"/>
  <c r="G104" i="4"/>
  <c r="F59" i="4"/>
  <c r="G58" i="4"/>
  <c r="F145" i="4"/>
  <c r="G144" i="4"/>
  <c r="F235" i="4"/>
  <c r="G234" i="4"/>
  <c r="F146" i="4" l="1"/>
  <c r="G145" i="4"/>
  <c r="F195" i="4"/>
  <c r="G194" i="4"/>
  <c r="F106" i="4"/>
  <c r="G105" i="4"/>
  <c r="F236" i="4"/>
  <c r="G235" i="4"/>
  <c r="F60" i="4"/>
  <c r="G59" i="4"/>
  <c r="F274" i="4"/>
  <c r="G273" i="4"/>
  <c r="F12" i="4"/>
  <c r="G11" i="4"/>
  <c r="F196" i="4" l="1"/>
  <c r="G195" i="4"/>
  <c r="F275" i="4"/>
  <c r="G274" i="4"/>
  <c r="F237" i="4"/>
  <c r="G236" i="4"/>
  <c r="F13" i="4"/>
  <c r="G12" i="4"/>
  <c r="F61" i="4"/>
  <c r="G60" i="4"/>
  <c r="F107" i="4"/>
  <c r="G106" i="4"/>
  <c r="F147" i="4"/>
  <c r="G146" i="4"/>
  <c r="F276" i="4" l="1"/>
  <c r="G275" i="4"/>
  <c r="F108" i="4"/>
  <c r="G107" i="4"/>
  <c r="F14" i="4"/>
  <c r="G13" i="4"/>
  <c r="F148" i="4"/>
  <c r="G147" i="4"/>
  <c r="F62" i="4"/>
  <c r="G61" i="4"/>
  <c r="F238" i="4"/>
  <c r="G237" i="4"/>
  <c r="F197" i="4"/>
  <c r="G196" i="4"/>
  <c r="F239" i="4" l="1"/>
  <c r="G238" i="4"/>
  <c r="F149" i="4"/>
  <c r="G148" i="4"/>
  <c r="F109" i="4"/>
  <c r="G108" i="4"/>
  <c r="F198" i="4"/>
  <c r="G197" i="4"/>
  <c r="F63" i="4"/>
  <c r="G62" i="4"/>
  <c r="F15" i="4"/>
  <c r="G14" i="4"/>
  <c r="F277" i="4"/>
  <c r="G276" i="4"/>
  <c r="F199" i="4" l="1"/>
  <c r="G198" i="4"/>
  <c r="F16" i="4"/>
  <c r="G15" i="4"/>
  <c r="F150" i="4"/>
  <c r="G149" i="4"/>
  <c r="F278" i="4"/>
  <c r="G277" i="4"/>
  <c r="F64" i="4"/>
  <c r="G63" i="4"/>
  <c r="F110" i="4"/>
  <c r="G109" i="4"/>
  <c r="F240" i="4"/>
  <c r="G239" i="4"/>
  <c r="F17" i="4" l="1"/>
  <c r="G16" i="4"/>
  <c r="F111" i="4"/>
  <c r="G110" i="4"/>
  <c r="F279" i="4"/>
  <c r="G278" i="4"/>
  <c r="F241" i="4"/>
  <c r="G240" i="4"/>
  <c r="F65" i="4"/>
  <c r="G64" i="4"/>
  <c r="F151" i="4"/>
  <c r="G150" i="4"/>
  <c r="F200" i="4"/>
  <c r="G199" i="4"/>
  <c r="F152" i="4" l="1"/>
  <c r="G151" i="4"/>
  <c r="F112" i="4"/>
  <c r="G111" i="4"/>
  <c r="F242" i="4"/>
  <c r="G241" i="4"/>
  <c r="F201" i="4"/>
  <c r="G200" i="4"/>
  <c r="F66" i="4"/>
  <c r="G65" i="4"/>
  <c r="F280" i="4"/>
  <c r="G279" i="4"/>
  <c r="F18" i="4"/>
  <c r="G17" i="4"/>
  <c r="F113" i="4" l="1"/>
  <c r="G112" i="4"/>
  <c r="F281" i="4"/>
  <c r="G280" i="4"/>
  <c r="F202" i="4"/>
  <c r="G201" i="4"/>
  <c r="F19" i="4"/>
  <c r="G18" i="4"/>
  <c r="F67" i="4"/>
  <c r="G66" i="4"/>
  <c r="F243" i="4"/>
  <c r="G242" i="4"/>
  <c r="F153" i="4"/>
  <c r="G152" i="4"/>
  <c r="F282" i="4" l="1"/>
  <c r="G281" i="4"/>
  <c r="F244" i="4"/>
  <c r="G243" i="4"/>
  <c r="F20" i="4"/>
  <c r="G19" i="4"/>
  <c r="F154" i="4"/>
  <c r="G153" i="4"/>
  <c r="F68" i="4"/>
  <c r="G67" i="4"/>
  <c r="F203" i="4"/>
  <c r="G202" i="4"/>
  <c r="F114" i="4"/>
  <c r="G113" i="4"/>
  <c r="F245" i="4" l="1"/>
  <c r="G244" i="4"/>
  <c r="F204" i="4"/>
  <c r="G203" i="4"/>
  <c r="F155" i="4"/>
  <c r="G154" i="4"/>
  <c r="F115" i="4"/>
  <c r="G114" i="4"/>
  <c r="F69" i="4"/>
  <c r="G68" i="4"/>
  <c r="F21" i="4"/>
  <c r="G20" i="4"/>
  <c r="F283" i="4"/>
  <c r="G282" i="4"/>
  <c r="F22" i="4" l="1"/>
  <c r="G21" i="4"/>
  <c r="F116" i="4"/>
  <c r="G115" i="4"/>
  <c r="F205" i="4"/>
  <c r="G204" i="4"/>
  <c r="F284" i="4"/>
  <c r="G283" i="4"/>
  <c r="F70" i="4"/>
  <c r="G69" i="4"/>
  <c r="F156" i="4"/>
  <c r="G155" i="4"/>
  <c r="F246" i="4"/>
  <c r="G245" i="4"/>
  <c r="F117" i="4" l="1"/>
  <c r="G116" i="4"/>
  <c r="F157" i="4"/>
  <c r="G156" i="4"/>
  <c r="F285" i="4"/>
  <c r="G284" i="4"/>
  <c r="F247" i="4"/>
  <c r="G246" i="4"/>
  <c r="F71" i="4"/>
  <c r="G70" i="4"/>
  <c r="F206" i="4"/>
  <c r="G205" i="4"/>
  <c r="F23" i="4"/>
  <c r="G22" i="4"/>
  <c r="F158" i="4" l="1"/>
  <c r="G157" i="4"/>
  <c r="F207" i="4"/>
  <c r="G206" i="4"/>
  <c r="F248" i="4"/>
  <c r="G247" i="4"/>
  <c r="F24" i="4"/>
  <c r="G23" i="4"/>
  <c r="F72" i="4"/>
  <c r="G71" i="4"/>
  <c r="F286" i="4"/>
  <c r="G285" i="4"/>
  <c r="F118" i="4"/>
  <c r="G117" i="4"/>
  <c r="F208" i="4" l="1"/>
  <c r="G207" i="4"/>
  <c r="F287" i="4"/>
  <c r="G286" i="4"/>
  <c r="F25" i="4"/>
  <c r="G24" i="4"/>
  <c r="F119" i="4"/>
  <c r="G118" i="4"/>
  <c r="F73" i="4"/>
  <c r="G72" i="4"/>
  <c r="F249" i="4"/>
  <c r="G248" i="4"/>
  <c r="F159" i="4"/>
  <c r="G158" i="4"/>
  <c r="F288" i="4" l="1"/>
  <c r="G287" i="4"/>
  <c r="F250" i="4"/>
  <c r="G249" i="4"/>
  <c r="F120" i="4"/>
  <c r="G119" i="4"/>
  <c r="F160" i="4"/>
  <c r="G159" i="4"/>
  <c r="F74" i="4"/>
  <c r="G73" i="4"/>
  <c r="F26" i="4"/>
  <c r="G25" i="4"/>
  <c r="F209" i="4"/>
  <c r="G208" i="4"/>
  <c r="F251" i="4" l="1"/>
  <c r="G250" i="4"/>
  <c r="F27" i="4"/>
  <c r="G26" i="4"/>
  <c r="F161" i="4"/>
  <c r="G160" i="4"/>
  <c r="F210" i="4"/>
  <c r="G209" i="4"/>
  <c r="F75" i="4"/>
  <c r="G74" i="4"/>
  <c r="F121" i="4"/>
  <c r="G120" i="4"/>
  <c r="F289" i="4"/>
  <c r="G288" i="4"/>
  <c r="F28" i="4" l="1"/>
  <c r="G27" i="4"/>
  <c r="F211" i="4"/>
  <c r="G210" i="4"/>
  <c r="F122" i="4"/>
  <c r="G121" i="4"/>
  <c r="F290" i="4"/>
  <c r="G289" i="4"/>
  <c r="F76" i="4"/>
  <c r="G75" i="4"/>
  <c r="F162" i="4"/>
  <c r="G161" i="4"/>
  <c r="F252" i="4"/>
  <c r="G251" i="4"/>
  <c r="F212" i="4" l="1"/>
  <c r="G211" i="4"/>
  <c r="F163" i="4"/>
  <c r="G162" i="4"/>
  <c r="F291" i="4"/>
  <c r="G290" i="4"/>
  <c r="F253" i="4"/>
  <c r="G252" i="4"/>
  <c r="F77" i="4"/>
  <c r="G76" i="4"/>
  <c r="F123" i="4"/>
  <c r="G122" i="4"/>
  <c r="F29" i="4"/>
  <c r="G28" i="4"/>
  <c r="F164" i="4" l="1"/>
  <c r="G163" i="4"/>
  <c r="F124" i="4"/>
  <c r="G123" i="4"/>
  <c r="F254" i="4"/>
  <c r="G253" i="4"/>
  <c r="F30" i="4"/>
  <c r="G29" i="4"/>
  <c r="F78" i="4"/>
  <c r="G77" i="4"/>
  <c r="F292" i="4"/>
  <c r="G291" i="4"/>
  <c r="F213" i="4"/>
  <c r="G212" i="4"/>
  <c r="F31" i="4" l="1"/>
  <c r="G30" i="4"/>
  <c r="F125" i="4"/>
  <c r="G124" i="4"/>
  <c r="F293" i="4"/>
  <c r="G292" i="4"/>
  <c r="F214" i="4"/>
  <c r="G213" i="4"/>
  <c r="F79" i="4"/>
  <c r="G78" i="4"/>
  <c r="F255" i="4"/>
  <c r="G254" i="4"/>
  <c r="F165" i="4"/>
  <c r="G164" i="4"/>
  <c r="F126" i="4" l="1"/>
  <c r="G125" i="4"/>
  <c r="F256" i="4"/>
  <c r="G255" i="4"/>
  <c r="F215" i="4"/>
  <c r="G214" i="4"/>
  <c r="F166" i="4"/>
  <c r="G165" i="4"/>
  <c r="F80" i="4"/>
  <c r="G79" i="4"/>
  <c r="F294" i="4"/>
  <c r="G293" i="4"/>
  <c r="F32" i="4"/>
  <c r="G31" i="4"/>
  <c r="F257" i="4" l="1"/>
  <c r="G256" i="4"/>
  <c r="F295" i="4"/>
  <c r="G294" i="4"/>
  <c r="F167" i="4"/>
  <c r="G166" i="4"/>
  <c r="F33" i="4"/>
  <c r="G32" i="4"/>
  <c r="F81" i="4"/>
  <c r="G80" i="4"/>
  <c r="F216" i="4"/>
  <c r="G215" i="4"/>
  <c r="F127" i="4"/>
  <c r="G126" i="4"/>
  <c r="F296" i="4" l="1"/>
  <c r="G295" i="4"/>
  <c r="F217" i="4"/>
  <c r="G216" i="4"/>
  <c r="F34" i="4"/>
  <c r="G33" i="4"/>
  <c r="F128" i="4"/>
  <c r="G127" i="4"/>
  <c r="F82" i="4"/>
  <c r="G81" i="4"/>
  <c r="F168" i="4"/>
  <c r="G167" i="4"/>
  <c r="F258" i="4"/>
  <c r="G257" i="4"/>
  <c r="F218" i="4" l="1"/>
  <c r="G217" i="4"/>
  <c r="F169" i="4"/>
  <c r="G168" i="4"/>
  <c r="F129" i="4"/>
  <c r="G128" i="4"/>
  <c r="F259" i="4"/>
  <c r="G258" i="4"/>
  <c r="F83" i="4"/>
  <c r="G82" i="4"/>
  <c r="F35" i="4"/>
  <c r="G34" i="4"/>
  <c r="F297" i="4"/>
  <c r="G296" i="4"/>
  <c r="F170" i="4" l="1"/>
  <c r="G169" i="4"/>
  <c r="F36" i="4"/>
  <c r="G35" i="4"/>
  <c r="F260" i="4"/>
  <c r="G259" i="4"/>
  <c r="F298" i="4"/>
  <c r="G297" i="4"/>
  <c r="F84" i="4"/>
  <c r="G83" i="4"/>
  <c r="F130" i="4"/>
  <c r="G129" i="4"/>
  <c r="F219" i="4"/>
  <c r="G218" i="4"/>
  <c r="F37" i="4" l="1"/>
  <c r="G36" i="4"/>
  <c r="F131" i="4"/>
  <c r="G130" i="4"/>
  <c r="F299" i="4"/>
  <c r="G298" i="4"/>
  <c r="F220" i="4"/>
  <c r="G219" i="4"/>
  <c r="F85" i="4"/>
  <c r="G84" i="4"/>
  <c r="F261" i="4"/>
  <c r="G260" i="4"/>
  <c r="F171" i="4"/>
  <c r="G170" i="4"/>
  <c r="F132" i="4" l="1"/>
  <c r="G131" i="4"/>
  <c r="F221" i="4"/>
  <c r="G220" i="4"/>
  <c r="F262" i="4"/>
  <c r="G261" i="4"/>
  <c r="F172" i="4"/>
  <c r="G171" i="4"/>
  <c r="F86" i="4"/>
  <c r="G85" i="4"/>
  <c r="F300" i="4"/>
  <c r="G299" i="4"/>
  <c r="F38" i="4"/>
  <c r="G37" i="4"/>
  <c r="F173" i="4" l="1"/>
  <c r="G172" i="4"/>
  <c r="F301" i="4"/>
  <c r="G300" i="4"/>
  <c r="F222" i="4"/>
  <c r="G221" i="4"/>
  <c r="F39" i="4"/>
  <c r="G38" i="4"/>
  <c r="F87" i="4"/>
  <c r="G86" i="4"/>
  <c r="F263" i="4"/>
  <c r="G263" i="4" s="1"/>
  <c r="G262" i="4"/>
  <c r="F133" i="4"/>
  <c r="G132" i="4"/>
  <c r="F302" i="4" l="1"/>
  <c r="G301" i="4"/>
  <c r="F40" i="4"/>
  <c r="G39" i="4"/>
  <c r="F134" i="4"/>
  <c r="G133" i="4"/>
  <c r="F88" i="4"/>
  <c r="G87" i="4"/>
  <c r="F223" i="4"/>
  <c r="G222" i="4"/>
  <c r="F174" i="4"/>
  <c r="G173" i="4"/>
  <c r="F175" i="4" l="1"/>
  <c r="G174" i="4"/>
  <c r="F89" i="4"/>
  <c r="G88" i="4"/>
  <c r="F41" i="4"/>
  <c r="G40" i="4"/>
  <c r="F224" i="4"/>
  <c r="G223" i="4"/>
  <c r="F135" i="4"/>
  <c r="G135" i="4" s="1"/>
  <c r="G134" i="4"/>
  <c r="F303" i="4"/>
  <c r="G302" i="4"/>
  <c r="F90" i="4" l="1"/>
  <c r="G89" i="4"/>
  <c r="F304" i="4"/>
  <c r="G303" i="4"/>
  <c r="F225" i="4"/>
  <c r="G225" i="4" s="1"/>
  <c r="G224" i="4"/>
  <c r="F42" i="4"/>
  <c r="G41" i="4"/>
  <c r="F176" i="4"/>
  <c r="G175" i="4"/>
  <c r="F305" i="4" l="1"/>
  <c r="G304" i="4"/>
  <c r="F43" i="4"/>
  <c r="G42" i="4"/>
  <c r="F177" i="4"/>
  <c r="G176" i="4"/>
  <c r="F91" i="4"/>
  <c r="G90" i="4"/>
  <c r="F92" i="4" l="1"/>
  <c r="G91" i="4"/>
  <c r="F44" i="4"/>
  <c r="G43" i="4"/>
  <c r="F178" i="4"/>
  <c r="G177" i="4"/>
  <c r="F306" i="4"/>
  <c r="G305" i="4"/>
  <c r="F45" i="4" l="1"/>
  <c r="G44" i="4"/>
  <c r="F307" i="4"/>
  <c r="G306" i="4"/>
  <c r="F179" i="4"/>
  <c r="G178" i="4"/>
  <c r="F93" i="4"/>
  <c r="G92" i="4"/>
  <c r="F94" i="4" l="1"/>
  <c r="G93" i="4"/>
  <c r="F308" i="4"/>
  <c r="G307" i="4"/>
  <c r="F180" i="4"/>
  <c r="G179" i="4"/>
  <c r="F46" i="4"/>
  <c r="G45" i="4"/>
  <c r="F309" i="4" l="1"/>
  <c r="G308" i="4"/>
  <c r="F47" i="4"/>
  <c r="G46" i="4"/>
  <c r="F181" i="4"/>
  <c r="G180" i="4"/>
  <c r="F95" i="4"/>
  <c r="G95" i="4" s="1"/>
  <c r="G94" i="4"/>
  <c r="F48" i="4" l="1"/>
  <c r="G47" i="4"/>
  <c r="F182" i="4"/>
  <c r="G181" i="4"/>
  <c r="F310" i="4"/>
  <c r="G309" i="4"/>
  <c r="F183" i="4" l="1"/>
  <c r="G182" i="4"/>
  <c r="F311" i="4"/>
  <c r="G310" i="4"/>
  <c r="F49" i="4"/>
  <c r="G49" i="4" s="1"/>
  <c r="G48" i="4"/>
  <c r="F312" i="4" l="1"/>
  <c r="G311" i="4"/>
  <c r="F184" i="4"/>
  <c r="G184" i="4" s="1"/>
  <c r="G183" i="4"/>
  <c r="F313" i="4" l="1"/>
  <c r="G312" i="4"/>
  <c r="F314" i="4" l="1"/>
  <c r="G313" i="4"/>
  <c r="F315" i="4" l="1"/>
  <c r="G314" i="4"/>
  <c r="F316" i="4" l="1"/>
  <c r="G316" i="4" s="1"/>
  <c r="G31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<sst xmlns="http://schemas.openxmlformats.org/spreadsheetml/2006/main" count="7164" uniqueCount="1524">
  <si>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</si>
  <si>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</si>
  <si>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</si>
  <si>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</si>
  <si>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</si>
  <si>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</si>
  <si>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</si>
  <si>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</si>
  <si>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</si>
  <si>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</si>
  <si>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</si>
  <si>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</si>
  <si>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</si>
  <si>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</si>
  <si>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</si>
  <si>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</si>
  <si>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</si>
  <si>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</si>
  <si>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</si>
  <si>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</si>
  <si>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</si>
  <si>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</si>
  <si>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</si>
  <si>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</si>
  <si>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</si>
  <si>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</si>
  <si>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</si>
  <si>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</si>
  <si>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</si>
  <si>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</si>
  <si>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</si>
  <si>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</si>
  <si>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</si>
  <si>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</si>
  <si>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</si>
  <si>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</si>
  <si>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</si>
  <si>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</si>
  <si>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</si>
  <si>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</si>
  <si>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</si>
  <si>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</si>
  <si>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</si>
  <si>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</si>
  <si>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</si>
  <si>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</si>
  <si>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</si>
  <si>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</si>
  <si>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</si>
  <si>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</si>
  <si>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</si>
  <si>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</si>
  <si>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</si>
  <si>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</si>
  <si>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</si>
  <si>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</si>
  <si>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</si>
  <si>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</si>
  <si>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</si>
  <si>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</si>
  <si>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</si>
  <si>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</si>
  <si>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</si>
  <si>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</si>
  <si>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</si>
  <si>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</si>
  <si>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</si>
  <si>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</si>
  <si>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</si>
  <si>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</si>
  <si>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</si>
  <si>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</si>
  <si>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</si>
  <si>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</si>
  <si>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</si>
  <si>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</si>
  <si>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</si>
  <si>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</si>
  <si>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</si>
  <si>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</si>
  <si>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</si>
  <si>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</si>
  <si>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</si>
  <si>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</si>
  <si>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</si>
  <si>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</si>
  <si>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</si>
  <si>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</si>
  <si>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</si>
  <si>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</si>
  <si>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</si>
  <si>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</si>
  <si>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</si>
  <si>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</si>
  <si>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</si>
  <si>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</si>
  <si>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</si>
  <si>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</si>
  <si>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</si>
  <si>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</si>
  <si>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</si>
  <si>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</si>
  <si>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</si>
  <si>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</si>
  <si>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</si>
  <si>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</si>
  <si>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</si>
  <si>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</si>
  <si>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</si>
  <si>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</si>
  <si>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</si>
  <si>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</si>
  <si>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</si>
  <si>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</si>
  <si>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</si>
  <si>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</si>
  <si>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</si>
  <si>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</si>
  <si>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</si>
  <si>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</si>
  <si>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</si>
  <si>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</si>
  <si>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</si>
  <si>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</si>
  <si>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</si>
  <si>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</si>
  <si>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</si>
  <si>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</si>
  <si>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</si>
  <si>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</si>
  <si>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</si>
  <si>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</si>
  <si>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</si>
  <si>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</si>
  <si>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</si>
  <si>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</si>
  <si>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</si>
  <si>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</si>
  <si>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</si>
  <si>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</si>
  <si>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</si>
  <si>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</si>
  <si>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</si>
  <si>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</si>
  <si>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</si>
  <si>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</si>
  <si>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</si>
  <si>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</si>
  <si>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</si>
  <si>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</si>
  <si>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</si>
  <si>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</si>
  <si>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</si>
  <si>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</si>
  <si>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</si>
  <si>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</si>
  <si>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</si>
  <si>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</si>
  <si>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</si>
  <si>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</si>
  <si>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</si>
  <si>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</si>
  <si>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</si>
  <si>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</si>
  <si>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</si>
  <si>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</si>
  <si>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</si>
  <si>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</si>
  <si>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</si>
  <si>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</si>
  <si>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</si>
  <si>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</si>
  <si>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</si>
  <si>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</si>
  <si>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</si>
  <si>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</si>
  <si>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</si>
  <si>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</si>
  <si>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</si>
  <si>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</si>
  <si>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</si>
  <si>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</si>
  <si>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</si>
  <si>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</si>
  <si>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</si>
  <si>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</si>
  <si>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</si>
  <si>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</si>
  <si>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</si>
  <si>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</si>
  <si>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</si>
  <si>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</si>
  <si>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</si>
  <si>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</si>
  <si>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</si>
  <si>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</si>
  <si>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</si>
  <si>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</si>
  <si>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</si>
  <si>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</si>
  <si>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</si>
  <si>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</si>
  <si>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</si>
  <si>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</si>
  <si>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</si>
  <si>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</si>
  <si>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</si>
  <si>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</si>
  <si>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</si>
  <si>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</si>
  <si>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</si>
  <si>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</si>
  <si>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</si>
  <si>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</si>
  <si>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</si>
  <si>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</si>
  <si>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</si>
  <si>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</si>
  <si>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</si>
  <si>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</si>
  <si>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</si>
  <si>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</si>
  <si>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</si>
  <si>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</si>
  <si>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</si>
  <si>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</si>
  <si>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</si>
  <si>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</si>
  <si>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</si>
  <si>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</si>
  <si>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</si>
  <si>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</si>
  <si>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</si>
  <si>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</si>
  <si>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</si>
  <si>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</si>
  <si>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</si>
  <si>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</si>
  <si>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</si>
  <si>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</si>
  <si>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</si>
  <si>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</si>
  <si>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</si>
  <si>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</si>
  <si>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</si>
  <si>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</si>
  <si>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</si>
  <si>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</si>
  <si>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</si>
  <si>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</si>
  <si>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</si>
  <si>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</si>
  <si>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</si>
  <si>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</si>
  <si>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</si>
  <si>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</si>
  <si>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</si>
  <si>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</si>
  <si>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</si>
  <si>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</si>
  <si>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</si>
  <si>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</si>
  <si>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</si>
  <si>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</si>
  <si>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</si>
  <si>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</si>
  <si>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</si>
  <si>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</si>
  <si>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</si>
  <si>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</si>
  <si>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</si>
  <si>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</si>
  <si>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</si>
  <si>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</si>
  <si>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</si>
  <si>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</si>
  <si>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</si>
  <si>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</si>
  <si>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</si>
  <si>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</si>
  <si>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</si>
  <si>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</si>
  <si>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</si>
  <si>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</si>
  <si>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</si>
  <si>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</si>
  <si>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</si>
  <si>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</si>
  <si>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</si>
  <si>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</si>
  <si>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</si>
  <si>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</si>
  <si>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</si>
  <si>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</si>
  <si>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</si>
  <si>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</si>
  <si>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</si>
  <si>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</si>
  <si>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</si>
  <si>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</si>
  <si>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</si>
  <si>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</si>
  <si>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</si>
  <si>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</si>
  <si>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</si>
  <si>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</si>
  <si>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</si>
  <si>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</si>
  <si>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</si>
  <si>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</si>
  <si>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</si>
  <si>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</si>
  <si>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</si>
  <si>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</si>
  <si>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</si>
  <si>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</si>
  <si>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</si>
  <si>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</si>
  <si>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</si>
  <si>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</si>
  <si>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</si>
  <si>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</si>
  <si>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</si>
  <si>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</si>
  <si>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</si>
  <si>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</si>
  <si>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</si>
  <si>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</si>
  <si>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</si>
  <si>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</si>
  <si>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</si>
  <si>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</si>
  <si>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</si>
  <si>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</si>
  <si>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</si>
  <si>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</si>
  <si>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</si>
  <si>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</si>
  <si>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</si>
  <si>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</si>
  <si>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</si>
  <si>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</si>
  <si>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</si>
  <si>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</si>
  <si>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</si>
  <si>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</si>
  <si>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</si>
  <si>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</si>
  <si>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</si>
  <si>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</si>
  <si>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</si>
  <si>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</si>
  <si>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</si>
  <si>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</si>
  <si>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</si>
  <si>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</si>
  <si>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</si>
  <si>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</si>
  <si>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</si>
  <si>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</si>
  <si>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</si>
  <si>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</si>
  <si>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</si>
  <si>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</si>
  <si>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</si>
  <si>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</si>
  <si>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</si>
  <si>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</si>
  <si>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</si>
  <si>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</si>
  <si>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</si>
  <si>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</si>
  <si>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</si>
  <si>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</si>
  <si>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</si>
  <si>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</si>
  <si>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</si>
  <si>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</si>
  <si>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</si>
  <si>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</si>
  <si>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</si>
  <si>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</si>
  <si>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</si>
  <si>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</si>
  <si>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</si>
  <si>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</si>
  <si>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</si>
  <si>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</si>
  <si>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</si>
  <si>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</si>
  <si>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</si>
  <si>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</si>
  <si>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</si>
  <si>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</si>
  <si>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</si>
  <si>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</si>
  <si>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</si>
  <si>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</si>
  <si>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</si>
  <si>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</si>
  <si>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</si>
  <si>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</si>
  <si>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</si>
  <si>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</si>
  <si>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</si>
  <si>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</si>
  <si>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</si>
  <si>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</si>
  <si>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</si>
  <si>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</si>
  <si>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</si>
  <si>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</si>
  <si>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</si>
  <si>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</si>
  <si>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</si>
  <si>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</si>
  <si>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</si>
  <si>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</si>
  <si>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</si>
  <si>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</si>
  <si>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</si>
  <si>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</si>
  <si>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</si>
  <si>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</si>
  <si>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</si>
  <si>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</si>
  <si>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</si>
  <si>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</si>
  <si>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</si>
  <si>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</si>
  <si>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</si>
  <si>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</si>
  <si>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</si>
  <si>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</si>
  <si>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</si>
  <si>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</si>
  <si>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</si>
  <si>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</si>
  <si>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</si>
  <si>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</si>
  <si>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</si>
  <si>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</si>
  <si>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</si>
  <si>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</si>
  <si>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</si>
  <si>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</si>
  <si>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</si>
  <si>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</si>
  <si>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</si>
  <si>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</si>
  <si>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</si>
  <si>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</si>
  <si>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</si>
  <si>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</si>
  <si>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</si>
  <si>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</si>
  <si>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</si>
  <si>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</si>
  <si>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</si>
  <si>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</si>
  <si>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</si>
  <si>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</si>
  <si>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</si>
  <si>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</si>
  <si>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</si>
  <si>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</si>
  <si>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</si>
  <si>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</si>
  <si>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</si>
  <si>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</si>
  <si>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</si>
  <si>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</si>
  <si>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</si>
  <si>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</si>
  <si>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</si>
  <si>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</si>
  <si>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</si>
  <si>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</si>
  <si>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</si>
  <si>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</si>
  <si>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</si>
  <si>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</si>
  <si>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</si>
  <si>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</si>
  <si>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</si>
  <si>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</si>
  <si>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</si>
  <si>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</si>
  <si>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</si>
  <si>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</si>
  <si>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</si>
  <si>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</si>
  <si>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</si>
  <si>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</si>
  <si>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</si>
  <si>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</si>
  <si>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</si>
  <si>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</si>
  <si>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</si>
  <si>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</si>
  <si>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</si>
  <si>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</si>
  <si>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</si>
  <si>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</si>
  <si>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</si>
  <si>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</si>
  <si>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</si>
  <si>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</si>
  <si>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</si>
  <si>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</si>
  <si>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</si>
  <si>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</si>
  <si>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</si>
  <si>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</si>
  <si>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</si>
  <si>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</si>
  <si>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</si>
  <si>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</si>
  <si>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</si>
  <si>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</si>
  <si>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</si>
  <si>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</si>
  <si>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</si>
  <si>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</si>
  <si>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</si>
  <si>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</si>
  <si>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</si>
  <si>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</si>
  <si>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</si>
  <si>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</si>
  <si>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</si>
  <si>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</si>
  <si>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</si>
  <si>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</si>
  <si>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</si>
  <si>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</si>
  <si>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</si>
  <si>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</si>
  <si>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</si>
  <si>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</si>
  <si>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</si>
  <si>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</si>
  <si>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</si>
  <si>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</si>
  <si>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</si>
  <si>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</si>
  <si>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</si>
  <si>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</si>
  <si>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</si>
  <si>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</si>
  <si>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</si>
  <si>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</si>
  <si>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</si>
  <si>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</si>
  <si>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</si>
  <si>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</si>
  <si>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</si>
  <si>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</si>
  <si>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</si>
  <si>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</si>
  <si>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</si>
  <si>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</si>
  <si>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</si>
  <si>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</si>
  <si>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</si>
  <si>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</si>
  <si>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</si>
  <si>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</si>
  <si>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</si>
  <si>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</si>
  <si>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</si>
  <si>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</si>
  <si>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</si>
  <si>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</si>
  <si>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</si>
  <si>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</si>
  <si>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</si>
  <si>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</si>
  <si>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</si>
  <si>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</si>
  <si>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</si>
  <si>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</si>
  <si>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</si>
  <si>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</si>
  <si>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</si>
  <si>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</si>
  <si>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</si>
  <si>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</si>
  <si>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</si>
  <si>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</si>
  <si>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</si>
  <si>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</si>
  <si>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</si>
  <si>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</si>
  <si>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</si>
  <si>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</si>
  <si>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</si>
  <si>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</si>
  <si>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</si>
  <si>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</si>
  <si>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</si>
  <si>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</si>
  <si>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</si>
  <si>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</si>
  <si>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</si>
  <si>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</si>
  <si>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</si>
  <si>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</si>
  <si>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</si>
  <si>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</si>
  <si>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</si>
  <si>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</si>
  <si>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</si>
  <si>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</si>
  <si>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</si>
  <si>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</si>
  <si>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</si>
  <si>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</si>
  <si>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</si>
  <si>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</si>
  <si>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</si>
  <si>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</si>
  <si>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</si>
  <si>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</si>
  <si>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</si>
  <si>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</si>
  <si>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</si>
  <si>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</si>
  <si>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</si>
  <si>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</si>
  <si>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</si>
  <si>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</si>
  <si>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</si>
  <si>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</si>
  <si>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</si>
  <si>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</si>
  <si>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</si>
  <si>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</si>
  <si>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</si>
  <si>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</si>
  <si>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</si>
  <si>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</si>
  <si>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</si>
  <si>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</si>
  <si>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</si>
  <si>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</si>
  <si>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</si>
  <si>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</si>
  <si>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</si>
  <si>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</si>
  <si>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</si>
  <si>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</si>
  <si>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</si>
  <si>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</si>
  <si>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</si>
  <si>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</si>
  <si>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</si>
  <si>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</si>
  <si>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</si>
  <si>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</si>
  <si>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</si>
  <si>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</si>
  <si>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</si>
  <si>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</si>
  <si>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</si>
  <si>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</si>
  <si>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</si>
  <si>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</si>
  <si>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</si>
  <si>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</si>
  <si>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</si>
  <si>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</si>
  <si>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</si>
  <si>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</si>
  <si>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</si>
  <si>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</si>
  <si>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</si>
  <si>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</si>
  <si>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</si>
  <si>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</si>
  <si>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</si>
  <si>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</si>
  <si>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</si>
  <si>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</si>
  <si>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</si>
  <si>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</si>
  <si>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</si>
  <si>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</si>
  <si>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</si>
  <si>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</si>
  <si>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</si>
  <si>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</si>
  <si>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</si>
  <si>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</si>
  <si>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</si>
  <si>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</si>
  <si>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</si>
  <si>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</si>
  <si>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</si>
  <si>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</si>
  <si>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</si>
  <si>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</si>
  <si>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</si>
  <si>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</si>
  <si>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</si>
  <si>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</si>
  <si>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</si>
  <si>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</si>
  <si>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</si>
  <si>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</si>
  <si>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</si>
  <si>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</si>
  <si>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</si>
  <si>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</si>
  <si>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</si>
  <si>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</si>
  <si>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</si>
  <si>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</si>
  <si>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</si>
  <si>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</si>
  <si>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</si>
  <si>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</si>
  <si>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</si>
  <si>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</si>
  <si>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</si>
  <si>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</si>
  <si>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</si>
  <si>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</si>
  <si>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</si>
  <si>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</si>
  <si>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</si>
  <si>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</si>
  <si>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</si>
  <si>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</si>
  <si>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</si>
  <si>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</si>
  <si>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</si>
  <si>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</si>
  <si>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</si>
  <si>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</si>
  <si>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</si>
  <si>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</si>
  <si>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</si>
  <si>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</si>
  <si>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</si>
  <si>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</si>
  <si>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</si>
  <si>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</si>
  <si>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</si>
  <si>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</si>
  <si>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</si>
  <si>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</si>
  <si>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</si>
  <si>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</si>
  <si>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</si>
  <si>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</si>
  <si>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</si>
  <si>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</si>
  <si>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</si>
  <si>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</si>
  <si>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</si>
  <si>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</si>
  <si>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</si>
  <si>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</si>
  <si>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</si>
  <si>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</si>
  <si>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</si>
  <si>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</si>
  <si>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</si>
  <si>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</si>
  <si>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</si>
  <si>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</si>
  <si>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</si>
  <si>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</si>
  <si>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</si>
  <si>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</si>
  <si>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</si>
  <si>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</si>
  <si>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</si>
  <si>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</si>
  <si>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</si>
  <si>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</si>
  <si>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</si>
  <si>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</si>
  <si>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</si>
  <si>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</si>
  <si>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</si>
  <si>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</si>
  <si>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</si>
  <si>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</si>
  <si>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</si>
  <si>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</si>
  <si>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</si>
  <si>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</si>
  <si>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</si>
  <si>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</si>
  <si>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</si>
  <si>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</si>
  <si>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</si>
  <si>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</si>
  <si>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</si>
  <si>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</si>
  <si>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</si>
  <si>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</si>
  <si>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</si>
  <si>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</si>
  <si>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</si>
  <si>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</si>
  <si>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</si>
  <si>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</si>
  <si>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</si>
  <si>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</si>
  <si>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</si>
  <si>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</si>
  <si>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</si>
  <si>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</si>
  <si>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</si>
  <si>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</si>
  <si>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</si>
  <si>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</si>
  <si>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</si>
  <si>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</si>
  <si>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</si>
  <si>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</si>
  <si>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</si>
  <si>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</si>
  <si>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</si>
  <si>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</si>
  <si>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</si>
  <si>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</si>
  <si>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</si>
  <si>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</si>
  <si>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</si>
  <si>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</si>
  <si>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</si>
  <si>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</si>
  <si>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</si>
  <si>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</si>
  <si>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</si>
  <si>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</si>
  <si>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</si>
  <si>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</si>
  <si>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</si>
  <si>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</si>
  <si>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</si>
  <si>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</si>
  <si>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</si>
  <si>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</si>
  <si>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</si>
  <si>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</si>
  <si>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</si>
  <si>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</si>
  <si>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</si>
  <si>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</si>
  <si>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</si>
  <si>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</si>
  <si>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</si>
  <si>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</si>
  <si>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</si>
  <si>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</si>
  <si>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</si>
  <si>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</si>
  <si>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</si>
  <si>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</si>
  <si>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</si>
  <si>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</si>
  <si>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</si>
  <si>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</si>
  <si>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</si>
  <si>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</si>
  <si>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</si>
  <si>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</si>
  <si>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</si>
  <si>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</si>
  <si>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</si>
  <si>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</si>
  <si>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</si>
  <si>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</si>
  <si>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</si>
  <si>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</si>
  <si>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</si>
  <si>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</si>
  <si>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</si>
  <si>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</si>
  <si>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</si>
  <si>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</si>
  <si>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</si>
  <si>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</si>
  <si>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</si>
  <si>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</si>
  <si>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</si>
  <si>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</si>
  <si>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</si>
  <si>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</si>
  <si>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</si>
  <si>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</si>
  <si>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</si>
  <si>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</si>
  <si>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</si>
  <si>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</si>
  <si>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</si>
  <si>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</si>
  <si>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</si>
  <si>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</si>
  <si>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</si>
  <si>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</si>
  <si>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</si>
  <si>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</si>
  <si>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</si>
  <si>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</si>
  <si>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</si>
  <si>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</si>
  <si>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</si>
  <si>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</si>
  <si>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</si>
  <si>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</si>
  <si>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</si>
  <si>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</si>
  <si>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</si>
  <si>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</si>
  <si>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</si>
  <si>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</si>
  <si>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</si>
  <si>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</si>
  <si>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</si>
  <si>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</si>
  <si>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</si>
  <si>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</si>
  <si>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</si>
  <si>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</si>
  <si>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</si>
  <si>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</si>
  <si>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</si>
  <si>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</si>
  <si>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</si>
  <si>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</si>
  <si>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</si>
  <si>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</si>
  <si>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</si>
  <si>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</si>
  <si>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</si>
  <si>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</si>
  <si>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</si>
  <si>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</si>
  <si>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</si>
  <si>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</si>
  <si>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</si>
  <si>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</si>
  <si>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</si>
  <si>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</si>
  <si>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</si>
  <si>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</si>
  <si>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</si>
  <si>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</si>
  <si>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</si>
  <si>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</si>
  <si>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</si>
  <si>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</si>
  <si>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</si>
  <si>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</si>
  <si>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</si>
  <si>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</si>
  <si>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</si>
  <si>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</si>
  <si>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</si>
  <si>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</si>
  <si>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</si>
  <si>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</si>
  <si>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</si>
  <si>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</si>
  <si>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</si>
  <si>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</si>
  <si>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</si>
  <si>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</si>
  <si>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</si>
  <si>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</si>
  <si>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</si>
  <si>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</si>
  <si>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</si>
  <si>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</si>
  <si>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</si>
  <si>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</si>
  <si>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</si>
  <si>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</si>
  <si>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</si>
  <si>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</si>
  <si>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</si>
  <si>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</si>
  <si>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</si>
  <si>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</si>
  <si>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</si>
  <si>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</si>
  <si>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</si>
  <si>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</si>
  <si>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</si>
  <si>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</si>
  <si>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</si>
  <si>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</si>
  <si>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</si>
  <si>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</si>
  <si>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</si>
  <si>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</si>
  <si>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</si>
  <si>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</si>
  <si>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</si>
  <si>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</si>
  <si>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</si>
  <si>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</si>
  <si>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</si>
  <si>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</si>
  <si>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</si>
  <si>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</si>
  <si>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</si>
  <si>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</si>
  <si>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</si>
  <si>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</si>
  <si>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</si>
  <si>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</si>
  <si>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</si>
  <si>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</si>
  <si>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</si>
  <si>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</si>
  <si>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</si>
  <si>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</si>
  <si>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</si>
  <si>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</si>
  <si>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</si>
  <si>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</si>
  <si>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</si>
  <si>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</si>
  <si>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</si>
  <si>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</si>
  <si>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</si>
  <si>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</si>
  <si>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</si>
  <si>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</si>
  <si>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</si>
  <si>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</si>
  <si>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</si>
  <si>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</si>
  <si>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</si>
  <si>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</si>
  <si>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</si>
  <si>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</si>
  <si>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</si>
  <si>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</si>
  <si>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</si>
  <si>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</si>
  <si>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</si>
  <si>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</si>
  <si>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</si>
  <si>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</si>
  <si>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</si>
  <si>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</si>
  <si>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</si>
  <si>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</si>
  <si>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</si>
  <si>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</si>
  <si>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</si>
  <si>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</si>
  <si>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</si>
  <si>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</si>
  <si>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</si>
  <si>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</si>
  <si>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</si>
  <si>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</si>
  <si>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</si>
  <si>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</si>
  <si>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</si>
  <si>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</si>
  <si>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</si>
  <si>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</si>
  <si>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</si>
  <si>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</si>
  <si>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</si>
  <si>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</si>
  <si>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</si>
  <si>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</si>
  <si>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</si>
  <si>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</si>
  <si>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</si>
  <si>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</si>
  <si>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</si>
  <si>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</si>
  <si>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</si>
  <si>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</si>
  <si>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</si>
  <si>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</si>
  <si>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</si>
  <si>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</si>
  <si>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</si>
  <si>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</si>
  <si>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</si>
  <si>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</si>
  <si>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</si>
  <si>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</si>
  <si>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</si>
  <si>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</si>
  <si>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</si>
  <si>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</si>
  <si>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</si>
  <si>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</si>
  <si>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</si>
  <si>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</si>
  <si>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</si>
  <si>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</si>
  <si>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</si>
  <si>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</si>
  <si>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</si>
  <si>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</si>
  <si>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</si>
  <si>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</si>
  <si>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</si>
  <si>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</si>
  <si>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</si>
  <si>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</si>
  <si>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</si>
  <si>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</si>
  <si>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</si>
  <si>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</si>
  <si>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</si>
  <si>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</si>
  <si>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</si>
  <si>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</si>
  <si>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</si>
  <si>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</si>
  <si>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</si>
  <si>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</si>
  <si>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</si>
  <si>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</si>
  <si>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</si>
  <si>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</si>
  <si>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</si>
  <si>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</si>
  <si>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</si>
  <si>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</si>
  <si>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</si>
  <si>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</si>
  <si>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</si>
  <si>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</si>
  <si>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</si>
  <si>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</si>
  <si>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</si>
  <si>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</si>
  <si>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</si>
  <si>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</si>
  <si>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</si>
  <si>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</si>
  <si>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</si>
  <si>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</si>
  <si>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</si>
  <si>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</si>
  <si>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</si>
  <si>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</si>
  <si>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</si>
  <si>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</si>
  <si>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</si>
  <si>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</si>
  <si>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</si>
  <si>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</si>
  <si>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</si>
  <si>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</si>
  <si>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</si>
  <si>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</si>
  <si>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</si>
  <si>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</si>
  <si>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</si>
  <si>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</si>
  <si>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</si>
  <si>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</si>
  <si>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</si>
  <si>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</si>
  <si>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</si>
  <si>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</si>
  <si>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</si>
  <si>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</si>
  <si>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</si>
  <si>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</si>
  <si>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</si>
  <si>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</si>
  <si>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</si>
  <si>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</si>
  <si>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</si>
  <si>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</si>
  <si>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</si>
  <si>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</si>
  <si>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</si>
  <si>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</si>
  <si>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</si>
  <si>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</si>
  <si>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</si>
  <si>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</si>
  <si>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</si>
  <si>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</si>
  <si>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</si>
  <si>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</si>
  <si>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</si>
  <si>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</si>
  <si>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</si>
  <si>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</si>
  <si>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</si>
  <si>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</si>
  <si>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</si>
  <si>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</si>
  <si>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</si>
  <si>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</si>
  <si>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</si>
  <si>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</si>
  <si>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</si>
  <si>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</si>
  <si>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</si>
  <si>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</si>
  <si>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</si>
  <si>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</si>
  <si>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</si>
  <si>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</si>
  <si>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</si>
  <si>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</si>
  <si>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</si>
  <si>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</si>
  <si>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</si>
  <si>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</si>
  <si>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</si>
  <si>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</si>
  <si>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</si>
  <si>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</si>
  <si>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</si>
  <si>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</si>
  <si>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</si>
  <si>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</si>
  <si>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</si>
  <si>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</si>
  <si>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</si>
  <si>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</si>
  <si>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</si>
  <si>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</si>
  <si>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</si>
  <si>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</si>
  <si>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</si>
  <si>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</si>
  <si>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</si>
  <si>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</si>
  <si>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</si>
  <si>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</si>
  <si>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</si>
  <si>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</si>
  <si>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</si>
  <si>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</si>
  <si>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</si>
  <si>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</si>
  <si>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</si>
  <si>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</si>
  <si>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</si>
  <si>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</si>
  <si>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</si>
  <si>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</si>
  <si>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</si>
  <si>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</si>
  <si>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</si>
  <si>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</si>
  <si>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</si>
  <si>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</si>
  <si>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</si>
  <si>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</si>
  <si>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</si>
  <si>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</si>
  <si>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</si>
  <si>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</si>
  <si>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</si>
  <si>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</si>
  <si>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</si>
  <si>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</si>
  <si>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</si>
  <si>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</si>
  <si>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</si>
  <si>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</si>
  <si>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</si>
  <si>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</si>
  <si>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</si>
  <si>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</si>
  <si>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</si>
  <si>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</si>
  <si>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</si>
  <si>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</si>
  <si>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</si>
  <si>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</si>
  <si>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</si>
  <si>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</si>
  <si>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</si>
  <si>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</si>
  <si>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</si>
  <si>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</si>
  <si>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</si>
  <si>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</si>
  <si>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</si>
  <si>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</si>
  <si>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</si>
  <si>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</si>
  <si>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</si>
  <si>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</si>
  <si>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</si>
  <si>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</si>
  <si>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</si>
  <si>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</si>
  <si>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</si>
  <si>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</si>
  <si>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</si>
  <si>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</si>
  <si>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</si>
  <si>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</si>
  <si>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</si>
  <si>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</si>
  <si>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</si>
  <si>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</si>
  <si>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</si>
  <si>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</si>
  <si>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</si>
  <si>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</si>
  <si>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</si>
  <si>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</si>
  <si>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</si>
  <si>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</si>
  <si>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</si>
  <si>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</si>
  <si>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</si>
  <si>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</si>
  <si>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</si>
  <si>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</si>
  <si>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</si>
  <si>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</si>
  <si>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</si>
  <si>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</si>
  <si>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</si>
  <si>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</si>
  <si>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</si>
  <si>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</si>
  <si>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</si>
  <si>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</si>
  <si>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</si>
  <si>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</si>
  <si>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</si>
  <si>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</si>
  <si>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</si>
  <si>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</si>
  <si>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</si>
  <si>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</si>
  <si>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</si>
  <si>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</si>
  <si>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</si>
  <si>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</si>
  <si>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</si>
  <si>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</si>
  <si>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</si>
  <si>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</si>
  <si>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</si>
  <si>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</si>
  <si>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</si>
  <si>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</si>
  <si>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</si>
  <si>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</si>
  <si>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</si>
  <si>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</si>
  <si>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</si>
  <si>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</si>
  <si>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</si>
  <si>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</si>
  <si>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</si>
  <si>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</si>
  <si>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</si>
  <si>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</si>
  <si>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</si>
  <si>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</si>
  <si>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</si>
  <si>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</si>
  <si>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</si>
  <si>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</si>
  <si>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</si>
  <si>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</si>
  <si>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</si>
  <si>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</si>
  <si>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</si>
  <si>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</si>
  <si>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</si>
  <si>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</si>
  <si>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</si>
  <si>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</si>
  <si>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</si>
  <si>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</si>
  <si>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</si>
  <si>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</si>
  <si>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</si>
  <si>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</si>
  <si>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</si>
  <si>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</si>
  <si>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</si>
  <si>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</si>
  <si>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</si>
  <si>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</si>
  <si>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</si>
  <si>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</si>
  <si>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</si>
  <si>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</si>
  <si>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</si>
  <si>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</si>
  <si>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</si>
  <si>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</si>
  <si>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</si>
  <si>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</si>
  <si>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</si>
  <si>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</si>
  <si>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</si>
  <si>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</si>
  <si>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</si>
  <si>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</si>
  <si>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</si>
  <si>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</si>
  <si>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</si>
  <si>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</si>
  <si>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</si>
  <si>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</si>
  <si>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</si>
  <si>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Null</t>
  </si>
  <si>
    <t>CorrectedRequiredDate</t>
  </si>
  <si>
    <t>Month</t>
  </si>
  <si>
    <t>Quarter</t>
  </si>
  <si>
    <t>LeadTimeDays</t>
  </si>
  <si>
    <t>PriceBand</t>
  </si>
  <si>
    <t xml:space="preserve">   IF(F2 &lt;= $H$2, "Medium", "High"))</t>
  </si>
  <si>
    <t>66thPercentile</t>
  </si>
  <si>
    <t>33rdPercentile</t>
  </si>
  <si>
    <t>OrderMonthKey</t>
  </si>
  <si>
    <t>CountryFirstMonthKey</t>
  </si>
  <si>
    <t>CohortMonthKey</t>
  </si>
  <si>
    <t>Row Labels</t>
  </si>
  <si>
    <t>Grand Total</t>
  </si>
  <si>
    <t>OffsetMonth</t>
  </si>
  <si>
    <t>GrossRevenue</t>
  </si>
  <si>
    <t>CostOfGoods</t>
  </si>
  <si>
    <t>GrossProfit</t>
  </si>
  <si>
    <t>MarginPct</t>
  </si>
  <si>
    <t>(blank)</t>
  </si>
  <si>
    <t>Sum of GrossProfit</t>
  </si>
  <si>
    <t>Count of OrderID</t>
  </si>
  <si>
    <t>Sum of GrossRevenue</t>
  </si>
  <si>
    <t>Column Labels</t>
  </si>
  <si>
    <t>Total Sum of GrossRevenue</t>
  </si>
  <si>
    <t>Total Sum of GrossRevenue2</t>
  </si>
  <si>
    <t>Sum of GrossRevenue2</t>
  </si>
  <si>
    <t>CategoryTotalRevenue</t>
  </si>
  <si>
    <t>CategoryRevenue%</t>
  </si>
  <si>
    <t>Cumulative%</t>
  </si>
  <si>
    <t>ABCClass</t>
  </si>
  <si>
    <t>A</t>
  </si>
  <si>
    <t>B</t>
  </si>
  <si>
    <t>C</t>
  </si>
  <si>
    <t>Count of SKU</t>
  </si>
  <si>
    <t>Revenue/Order</t>
  </si>
  <si>
    <t>Orders/Month</t>
  </si>
  <si>
    <t>Profit/Order</t>
  </si>
  <si>
    <t>Rank</t>
  </si>
  <si>
    <t>TOP3</t>
  </si>
  <si>
    <t>BOTTOM3</t>
  </si>
  <si>
    <t>Q1-2023</t>
  </si>
  <si>
    <t>Q1-2024</t>
  </si>
  <si>
    <t>Q1-2025</t>
  </si>
  <si>
    <t>Q2-2023</t>
  </si>
  <si>
    <t>Q2-2024</t>
  </si>
  <si>
    <t>Q2-2025</t>
  </si>
  <si>
    <t>Q3-2023</t>
  </si>
  <si>
    <t>Q3-2024</t>
  </si>
  <si>
    <t>Q3-2025</t>
  </si>
  <si>
    <t>Q4-2023</t>
  </si>
  <si>
    <t>Q4-2024</t>
  </si>
  <si>
    <t>AFRICA</t>
  </si>
  <si>
    <t>AMERICA</t>
  </si>
  <si>
    <t>ASIA</t>
  </si>
  <si>
    <t>EUROPE</t>
  </si>
  <si>
    <t>Online % of Total</t>
  </si>
  <si>
    <t>Retail % of Total</t>
  </si>
  <si>
    <t>Online YoY Growth</t>
  </si>
  <si>
    <t>Retail YoY Growth</t>
  </si>
  <si>
    <t>Cannibalization</t>
  </si>
  <si>
    <t>(Multiple Items)</t>
  </si>
  <si>
    <t>Group1</t>
  </si>
  <si>
    <t>Meets7DayTarget</t>
  </si>
  <si>
    <t>No</t>
  </si>
  <si>
    <t>Yes</t>
  </si>
  <si>
    <t>Discount&gt;20</t>
  </si>
  <si>
    <t>Sum of Discount&gt;20</t>
  </si>
  <si>
    <t>OrderCount</t>
  </si>
  <si>
    <t>Sum of Non-compliance Rate</t>
  </si>
  <si>
    <t>Total</t>
  </si>
  <si>
    <t>Total Revenue=</t>
  </si>
  <si>
    <t>GrossProfit=</t>
  </si>
  <si>
    <t>Margin%=</t>
  </si>
  <si>
    <t>On-Time%=</t>
  </si>
  <si>
    <t>Avg Order Value =</t>
  </si>
  <si>
    <t>2023</t>
  </si>
  <si>
    <t>2024</t>
  </si>
  <si>
    <t>2025</t>
  </si>
  <si>
    <t>Sum of OrderCount</t>
  </si>
  <si>
    <t>Qtr1</t>
  </si>
  <si>
    <t>Qtr2</t>
  </si>
  <si>
    <t>Qtr3</t>
  </si>
  <si>
    <t>Qtr4</t>
  </si>
  <si>
    <t>Jan</t>
  </si>
  <si>
    <t>Feb</t>
  </si>
  <si>
    <t>Mar</t>
  </si>
  <si>
    <t>Apr</t>
  </si>
  <si>
    <t>May</t>
  </si>
  <si>
    <t>Jun</t>
  </si>
  <si>
    <t>Jul</t>
  </si>
  <si>
    <t>Aug</t>
  </si>
  <si>
    <t>Sept</t>
  </si>
  <si>
    <t>Oct</t>
  </si>
  <si>
    <t>Nov</t>
  </si>
  <si>
    <t>Dec</t>
  </si>
  <si>
    <t>SUMMARY</t>
  </si>
  <si>
    <t>Europe is the leading region in direct distribution</t>
  </si>
  <si>
    <t>Class A items contribute 5.3 million out of the total 6.5m of the revenue</t>
  </si>
  <si>
    <t>Singh,Rossi and Otieno are the top 3 salespeople bringing in most of the revenue</t>
  </si>
  <si>
    <t>The biggest % sales are through direct channels, followed by online</t>
  </si>
  <si>
    <t>Asia is the biggest client, contributing to 26% of the total revenue, followed closely by Europe with 24%</t>
  </si>
  <si>
    <t>The service level is really low, with delivery days below 7 days, htting 29%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</si>
</sst>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Ksh-441]\ #,##0.00"/>
    <numFmt numFmtId="166" formatCode="_-[$Ksh-441]\ * #,##0.00_-;\-[$Ksh-441]\ * #,##0.00_-;_-[$Ksh-441]\ * &quot;-&quot;??_-;_-@_-"/>
    <numFmt numFmtId="167" formatCode="0.0000"/>
  </numFmts>
  <fonts count="4"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00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
      <left/>
      <right/>
      <top style="thin">
        <color theme="4" tint="0.39997558519241921"/>
      </top>
      <bottom/>
      <diagonal/>
    </border>
    <border>
      <left style="thin">
        <color theme="0"/>
      </left>
      <right style="thin">
        <color theme="0"/>
      </right>
      <top style="thick">
        <color theme="0"/>
      </top>
      <bottom/>
      <diagonal/>
    </border>
    <border>
      <left style="thin">
        <color theme="0"/>
      </left>
      <right/>
      <top style="thick">
        <color theme="0"/>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0" fillId="0" borderId="0" xfId="0" applyNumberFormat="1"/>
    <xf numFmtId="164"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1" fontId="0" fillId="0" borderId="0" xfId="0" applyNumberFormat="1"/>
    <xf numFmtId="165" fontId="1" fillId="0" borderId="2" xfId="0" applyNumberFormat="1" applyFont="1" applyBorder="1" applyAlignment="1">
      <alignment horizontal="center" vertical="top"/>
    </xf>
    <xf numFmtId="165" fontId="0" fillId="0" borderId="0" xfId="0" applyNumberFormat="1"/>
    <xf numFmtId="2" fontId="0" fillId="0" borderId="0" xfId="0" applyNumberFormat="1"/>
    <xf numFmtId="2"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 fontId="0" fillId="0" borderId="0" xfId="0" applyNumberFormat="1" applyAlignment="1">
      <alignment horizontal="left"/>
    </xf>
    <xf numFmtId="0" fontId="1" fillId="2" borderId="0" xfId="0" applyFont="1" applyFill="1"/>
    <xf numFmtId="0" fontId="1" fillId="2" borderId="3" xfId="0" applyFont="1" applyFill="1" applyBorder="1"/>
    <xf numFmtId="166" fontId="0" fillId="0" borderId="0" xfId="0" applyNumberFormat="1"/>
    <xf numFmtId="167" fontId="0" fillId="0" borderId="0" xfId="0" applyNumberFormat="1"/>
    <xf numFmtId="0" fontId="1" fillId="0" borderId="0" xfId="0" applyFont="1"/>
    <xf numFmtId="2" fontId="1" fillId="0" borderId="0" xfId="0" applyNumberFormat="1" applyFont="1"/>
    <xf numFmtId="165" fontId="1" fillId="0" borderId="0" xfId="0" applyNumberFormat="1" applyFont="1"/>
    <xf numFmtId="0" fontId="1" fillId="2" borderId="4" xfId="0" applyFont="1" applyFill="1" applyBorder="1" applyAlignment="1">
      <alignment horizontal="left"/>
    </xf>
    <xf numFmtId="0" fontId="1" fillId="2" borderId="4" xfId="0" applyFont="1" applyFill="1" applyBorder="1"/>
    <xf numFmtId="0" fontId="1" fillId="0" borderId="0" xfId="0" applyFont="1" applyAlignment="1">
      <alignment wrapText="1"/>
    </xf>
    <xf numFmtId="49" fontId="0" fillId="0" borderId="0" xfId="0" applyNumberFormat="1"/>
    <xf numFmtId="10" fontId="0" fillId="4" borderId="0" xfId="0" applyNumberFormat="1" applyFill="1"/>
    <xf numFmtId="165" fontId="3" fillId="3" borderId="5" xfId="0" applyNumberFormat="1" applyFont="1" applyFill="1" applyBorder="1"/>
    <xf numFmtId="2" fontId="3" fillId="3" borderId="6" xfId="0" applyNumberFormat="1" applyFont="1" applyFill="1" applyBorder="1"/>
    <xf numFmtId="10" fontId="1" fillId="2" borderId="4" xfId="0" applyNumberFormat="1" applyFont="1" applyFill="1" applyBorder="1"/>
    <xf numFmtId="0" fontId="0" fillId="0" borderId="0" xfId="0" applyAlignment="1">
      <alignment horizontal="left" indent="2"/>
    </xf>
    <xf numFmtId="0" fontId="0" fillId="0" borderId="0" xfId="0" applyNumberFormat="1"/>
  </cellXfs>
  <cellStyles count="1">
    <cellStyle name="Normal" xfId="0" builtinId="0"/>
  </cellStyles>
  <dxfs count="4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0" formatCode="General"/>
    </dxf>
    <dxf>
      <numFmt numFmtId="0" formatCode="General"/>
    </dxf>
    <dxf>
      <numFmt numFmtId="167" formatCode="0.0000"/>
    </dxf>
    <dxf>
      <numFmt numFmtId="166" formatCode="_-[$Ksh-441]\ * #,##0.00_-;\-[$Ksh-441]\ * #,##0.00_-;_-[$Ksh-441]\ * &quot;-&quot;??_-;_-@_-"/>
    </dxf>
    <dxf>
      <numFmt numFmtId="165" formatCode="[$Ksh-441]\ #,##0.00"/>
    </dxf>
    <dxf>
      <numFmt numFmtId="2" formatCode="0.00"/>
    </dxf>
    <dxf>
      <numFmt numFmtId="165" formatCode="[$Ksh-441]\ #,##0.00"/>
    </dxf>
    <dxf>
      <numFmt numFmtId="165" formatCode="[$Ksh-441]\ #,##0.00"/>
    </dxf>
    <dxf>
      <numFmt numFmtId="165" formatCode="[$Ksh-441]\ #,##0.00"/>
    </dxf>
    <dxf>
      <numFmt numFmtId="165" formatCode="[$Ksh-441]\ #,##0.00"/>
    </dxf>
    <dxf>
      <numFmt numFmtId="165" formatCode="[$Ksh-441]\ #,##0.00"/>
    </dxf>
    <dxf>
      <numFmt numFmtId="165" formatCode="[$Ksh-441]\ #,##0.00"/>
    </dxf>
    <dxf>
      <numFmt numFmtId="1" formatCode="0"/>
    </dxf>
    <dxf>
      <numFmt numFmtId="0" formatCode="General"/>
    </dxf>
    <dxf>
      <numFmt numFmtId="165" formatCode="[$Ksh-441]\ #,##0.00"/>
    </dxf>
    <dxf>
      <numFmt numFmtId="165" formatCode="[$Ksh-441]\ #,##0.00"/>
    </dxf>
    <dxf>
      <numFmt numFmtId="165" formatCode="[$Ksh-441]\ #,##0.00"/>
    </dxf>
    <dxf>
      <numFmt numFmtId="165" formatCode="[$Ksh-441]\ #,##0.00"/>
    </dxf>
    <dxf>
      <numFmt numFmtId="165" formatCode="[$Ksh-441]\ #,##0.00"/>
    </dxf>
    <dxf>
      <numFmt numFmtId="164" formatCode="dd/mm/yyyy;@"/>
    </dxf>
    <dxf>
      <numFmt numFmtId="2" formatCode="0.00"/>
    </dxf>
    <dxf>
      <numFmt numFmtId="164" formatCode="dd/mm/yyyy;@"/>
    </dxf>
    <dxf>
      <numFmt numFmtId="0" formatCode="General"/>
    </dxf>
    <dxf>
      <numFmt numFmtId="164" formatCode="dd/mm/yyyy;@"/>
    </dxf>
    <dxf>
      <numFmt numFmtId="164" formatCode="dd/mm/yyyy;@"/>
    </dxf>
    <dxf>
      <numFmt numFmtId="1" formatCode="0"/>
    </dxf>
    <dxf>
      <numFmt numFmtId="0" formatCode="General"/>
    </dxf>
    <dxf>
      <numFmt numFmtId="0" formatCode="General"/>
    </dxf>
    <dxf>
      <numFmt numFmtId="0" formatCode="General"/>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Sheet1!$A$4:$A$51</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Sheet1!$B$4:$B$51</c:f>
              <c:numCache>
                <c:formatCode>[$Ksh-441]\ #,##0.00</c:formatCode>
                <c:ptCount val="33"/>
                <c:pt idx="0">
                  <c:v>178867.68999999997</c:v>
                </c:pt>
                <c:pt idx="1">
                  <c:v>491522.06999999995</c:v>
                </c:pt>
                <c:pt idx="2">
                  <c:v>251801.25</c:v>
                </c:pt>
                <c:pt idx="3">
                  <c:v>414568.8000000001</c:v>
                </c:pt>
                <c:pt idx="4">
                  <c:v>521043.70999999996</c:v>
                </c:pt>
                <c:pt idx="5">
                  <c:v>261189.78999999998</c:v>
                </c:pt>
                <c:pt idx="6">
                  <c:v>645894.28999999992</c:v>
                </c:pt>
                <c:pt idx="7">
                  <c:v>381933.10000000003</c:v>
                </c:pt>
                <c:pt idx="8">
                  <c:v>167595.30000000002</c:v>
                </c:pt>
                <c:pt idx="9">
                  <c:v>300202.85000000003</c:v>
                </c:pt>
                <c:pt idx="10">
                  <c:v>142626.42000000001</c:v>
                </c:pt>
                <c:pt idx="11">
                  <c:v>425108.32999999996</c:v>
                </c:pt>
                <c:pt idx="12">
                  <c:v>336495.83999999997</c:v>
                </c:pt>
                <c:pt idx="13">
                  <c:v>369931.30999999994</c:v>
                </c:pt>
                <c:pt idx="14">
                  <c:v>430980.24</c:v>
                </c:pt>
                <c:pt idx="15">
                  <c:v>275209.28999999998</c:v>
                </c:pt>
                <c:pt idx="16">
                  <c:v>457363.52000000014</c:v>
                </c:pt>
                <c:pt idx="17">
                  <c:v>693553.34</c:v>
                </c:pt>
                <c:pt idx="18">
                  <c:v>312041.40999999997</c:v>
                </c:pt>
                <c:pt idx="19">
                  <c:v>439264.70999999996</c:v>
                </c:pt>
                <c:pt idx="20">
                  <c:v>397487.67999999993</c:v>
                </c:pt>
                <c:pt idx="21">
                  <c:v>485185.54</c:v>
                </c:pt>
                <c:pt idx="22">
                  <c:v>497560.75999999989</c:v>
                </c:pt>
                <c:pt idx="23">
                  <c:v>404462.32999999996</c:v>
                </c:pt>
                <c:pt idx="24">
                  <c:v>243374.46</c:v>
                </c:pt>
                <c:pt idx="25">
                  <c:v>239368.77</c:v>
                </c:pt>
                <c:pt idx="26">
                  <c:v>234865.52000000005</c:v>
                </c:pt>
                <c:pt idx="27">
                  <c:v>404210.34999999986</c:v>
                </c:pt>
                <c:pt idx="28">
                  <c:v>424717.36</c:v>
                </c:pt>
                <c:pt idx="29">
                  <c:v>441514.51</c:v>
                </c:pt>
                <c:pt idx="30">
                  <c:v>558889.15</c:v>
                </c:pt>
                <c:pt idx="31">
                  <c:v>423235.12999999995</c:v>
                </c:pt>
                <c:pt idx="32">
                  <c:v>204519.99000000002</c:v>
                </c:pt>
              </c:numCache>
            </c:numRef>
          </c:val>
          <c:smooth val="0"/>
          <c:extLst>
            <c:ext xmlns:c16="http://schemas.microsoft.com/office/drawing/2014/chart" uri="{C3380CC4-5D6E-409C-BE32-E72D297353CC}">
              <c16:uniqueId val="{00000000-4183-4828-8E70-2A59BAEF1146}"/>
            </c:ext>
          </c:extLst>
        </c:ser>
        <c:dLbls>
          <c:showLegendKey val="0"/>
          <c:showVal val="0"/>
          <c:showCatName val="0"/>
          <c:showSerName val="0"/>
          <c:showPercent val="0"/>
          <c:showBubbleSize val="0"/>
        </c:dLbls>
        <c:smooth val="0"/>
        <c:axId val="609357872"/>
        <c:axId val="609358592"/>
      </c:lineChart>
      <c:catAx>
        <c:axId val="60935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358592"/>
        <c:crosses val="autoZero"/>
        <c:auto val="1"/>
        <c:lblAlgn val="ctr"/>
        <c:lblOffset val="100"/>
        <c:noMultiLvlLbl val="0"/>
      </c:catAx>
      <c:valAx>
        <c:axId val="609358592"/>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35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(2).xlsx]DasboardPrep!PivotTable1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DasboardPrep!$B$12</c:f>
              <c:strCache>
                <c:ptCount val="1"/>
                <c:pt idx="0">
                  <c:v>Total</c:v>
                </c:pt>
              </c:strCache>
            </c:strRef>
          </c:tx>
          <c:spPr>
            <a:ln w="28575" cap="rnd">
              <a:solidFill>
                <a:schemeClr val="accent1"/>
              </a:solidFill>
              <a:round/>
            </a:ln>
            <a:effectLst/>
          </c:spPr>
          <c:marker>
            <c:symbol val="none"/>
          </c:marker>
          <c:cat>
            <c:multiLvlStrRef>
              <c:f>DasboardPrep!$A$13:$A$27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DasboardPrep!$B$13:$B$27</c:f>
              <c:numCache>
                <c:formatCode>[$Ksh-441]\ #,##0.00</c:formatCode>
                <c:ptCount val="11"/>
                <c:pt idx="0">
                  <c:v>922191.00999999989</c:v>
                </c:pt>
                <c:pt idx="1">
                  <c:v>1196802.2999999996</c:v>
                </c:pt>
                <c:pt idx="2">
                  <c:v>1195422.6899999995</c:v>
                </c:pt>
                <c:pt idx="3">
                  <c:v>867937.6</c:v>
                </c:pt>
                <c:pt idx="4">
                  <c:v>1137407.3900000004</c:v>
                </c:pt>
                <c:pt idx="5">
                  <c:v>1426126.1500000001</c:v>
                </c:pt>
                <c:pt idx="6">
                  <c:v>1148793.8</c:v>
                </c:pt>
                <c:pt idx="7">
                  <c:v>1387208.6300000004</c:v>
                </c:pt>
                <c:pt idx="8">
                  <c:v>717608.75000000012</c:v>
                </c:pt>
                <c:pt idx="9">
                  <c:v>1270442.22</c:v>
                </c:pt>
                <c:pt idx="10">
                  <c:v>1186644.2699999998</c:v>
                </c:pt>
              </c:numCache>
            </c:numRef>
          </c:val>
          <c:smooth val="0"/>
          <c:extLst>
            <c:ext xmlns:c16="http://schemas.microsoft.com/office/drawing/2014/chart" uri="{C3380CC4-5D6E-409C-BE32-E72D297353CC}">
              <c16:uniqueId val="{00000000-4018-4E7F-9616-D6C5FBBBDAFF}"/>
            </c:ext>
          </c:extLst>
        </c:ser>
        <c:dLbls>
          <c:showLegendKey val="0"/>
          <c:showVal val="0"/>
          <c:showCatName val="0"/>
          <c:showSerName val="0"/>
          <c:showPercent val="0"/>
          <c:showBubbleSize val="0"/>
        </c:dLbls>
        <c:smooth val="0"/>
        <c:axId val="608614456"/>
        <c:axId val="608615176"/>
      </c:lineChart>
      <c:catAx>
        <c:axId val="60861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8615176"/>
        <c:crosses val="autoZero"/>
        <c:auto val="1"/>
        <c:lblAlgn val="ctr"/>
        <c:lblOffset val="100"/>
        <c:noMultiLvlLbl val="0"/>
      </c:catAx>
      <c:valAx>
        <c:axId val="608615176"/>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861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(2).xlsx]DasboardPrep!PivotTable2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DasboardPrep!$B$30:$B$31</c:f>
              <c:strCache>
                <c:ptCount val="1"/>
                <c:pt idx="0">
                  <c:v>Direct</c:v>
                </c:pt>
              </c:strCache>
            </c:strRef>
          </c:tx>
          <c:spPr>
            <a:solidFill>
              <a:schemeClr val="accent1"/>
            </a:solidFill>
            <a:ln>
              <a:noFill/>
            </a:ln>
            <a:effectLst/>
          </c:spPr>
          <c:invertIfNegative val="0"/>
          <c:cat>
            <c:strRef>
              <c:f>DasboardPrep!$A$32:$A$36</c:f>
              <c:strCache>
                <c:ptCount val="4"/>
                <c:pt idx="0">
                  <c:v>Africa</c:v>
                </c:pt>
                <c:pt idx="1">
                  <c:v>Americas</c:v>
                </c:pt>
                <c:pt idx="2">
                  <c:v>Asia</c:v>
                </c:pt>
                <c:pt idx="3">
                  <c:v>Europe</c:v>
                </c:pt>
              </c:strCache>
            </c:strRef>
          </c:cat>
          <c:val>
            <c:numRef>
              <c:f>DasboardPrep!$B$32:$B$36</c:f>
              <c:numCache>
                <c:formatCode>[$Ksh-441]\ #,##0.00</c:formatCode>
                <c:ptCount val="4"/>
                <c:pt idx="0">
                  <c:v>238704.51999999996</c:v>
                </c:pt>
                <c:pt idx="1">
                  <c:v>356195.83999999997</c:v>
                </c:pt>
                <c:pt idx="2">
                  <c:v>317811.53999999998</c:v>
                </c:pt>
                <c:pt idx="3">
                  <c:v>426111.95000000019</c:v>
                </c:pt>
              </c:numCache>
            </c:numRef>
          </c:val>
          <c:extLst>
            <c:ext xmlns:c16="http://schemas.microsoft.com/office/drawing/2014/chart" uri="{C3380CC4-5D6E-409C-BE32-E72D297353CC}">
              <c16:uniqueId val="{00000000-1F2D-42C1-9955-B5902E33E68E}"/>
            </c:ext>
          </c:extLst>
        </c:ser>
        <c:ser>
          <c:idx val="1"/>
          <c:order val="1"/>
          <c:tx>
            <c:strRef>
              <c:f>DasboardPrep!$C$30:$C$31</c:f>
              <c:strCache>
                <c:ptCount val="1"/>
                <c:pt idx="0">
                  <c:v>Distributor</c:v>
                </c:pt>
              </c:strCache>
            </c:strRef>
          </c:tx>
          <c:spPr>
            <a:solidFill>
              <a:schemeClr val="accent2"/>
            </a:solidFill>
            <a:ln>
              <a:noFill/>
            </a:ln>
            <a:effectLst/>
          </c:spPr>
          <c:invertIfNegative val="0"/>
          <c:cat>
            <c:strRef>
              <c:f>DasboardPrep!$A$32:$A$36</c:f>
              <c:strCache>
                <c:ptCount val="4"/>
                <c:pt idx="0">
                  <c:v>Africa</c:v>
                </c:pt>
                <c:pt idx="1">
                  <c:v>Americas</c:v>
                </c:pt>
                <c:pt idx="2">
                  <c:v>Asia</c:v>
                </c:pt>
                <c:pt idx="3">
                  <c:v>Europe</c:v>
                </c:pt>
              </c:strCache>
            </c:strRef>
          </c:cat>
          <c:val>
            <c:numRef>
              <c:f>DasboardPrep!$C$32:$C$36</c:f>
              <c:numCache>
                <c:formatCode>[$Ksh-441]\ #,##0.00</c:formatCode>
                <c:ptCount val="4"/>
                <c:pt idx="0">
                  <c:v>292819.84000000003</c:v>
                </c:pt>
                <c:pt idx="1">
                  <c:v>261767.19</c:v>
                </c:pt>
                <c:pt idx="2">
                  <c:v>235110.02</c:v>
                </c:pt>
                <c:pt idx="3">
                  <c:v>139377.09999999998</c:v>
                </c:pt>
              </c:numCache>
            </c:numRef>
          </c:val>
          <c:extLst>
            <c:ext xmlns:c16="http://schemas.microsoft.com/office/drawing/2014/chart" uri="{C3380CC4-5D6E-409C-BE32-E72D297353CC}">
              <c16:uniqueId val="{00000001-1F2D-42C1-9955-B5902E33E68E}"/>
            </c:ext>
          </c:extLst>
        </c:ser>
        <c:ser>
          <c:idx val="2"/>
          <c:order val="2"/>
          <c:tx>
            <c:strRef>
              <c:f>DasboardPrep!$D$30:$D$31</c:f>
              <c:strCache>
                <c:ptCount val="1"/>
                <c:pt idx="0">
                  <c:v>Marketplace</c:v>
                </c:pt>
              </c:strCache>
            </c:strRef>
          </c:tx>
          <c:spPr>
            <a:solidFill>
              <a:schemeClr val="accent3"/>
            </a:solidFill>
            <a:ln>
              <a:noFill/>
            </a:ln>
            <a:effectLst/>
          </c:spPr>
          <c:invertIfNegative val="0"/>
          <c:cat>
            <c:strRef>
              <c:f>DasboardPrep!$A$32:$A$36</c:f>
              <c:strCache>
                <c:ptCount val="4"/>
                <c:pt idx="0">
                  <c:v>Africa</c:v>
                </c:pt>
                <c:pt idx="1">
                  <c:v>Americas</c:v>
                </c:pt>
                <c:pt idx="2">
                  <c:v>Asia</c:v>
                </c:pt>
                <c:pt idx="3">
                  <c:v>Europe</c:v>
                </c:pt>
              </c:strCache>
            </c:strRef>
          </c:cat>
          <c:val>
            <c:numRef>
              <c:f>DasboardPrep!$D$32:$D$36</c:f>
              <c:numCache>
                <c:formatCode>[$Ksh-441]\ #,##0.00</c:formatCode>
                <c:ptCount val="4"/>
                <c:pt idx="0">
                  <c:v>248985.54999999996</c:v>
                </c:pt>
                <c:pt idx="1">
                  <c:v>147757.19999999998</c:v>
                </c:pt>
                <c:pt idx="2">
                  <c:v>247627.55</c:v>
                </c:pt>
                <c:pt idx="3">
                  <c:v>194418.66999999998</c:v>
                </c:pt>
              </c:numCache>
            </c:numRef>
          </c:val>
          <c:extLst>
            <c:ext xmlns:c16="http://schemas.microsoft.com/office/drawing/2014/chart" uri="{C3380CC4-5D6E-409C-BE32-E72D297353CC}">
              <c16:uniqueId val="{00000002-1F2D-42C1-9955-B5902E33E68E}"/>
            </c:ext>
          </c:extLst>
        </c:ser>
        <c:ser>
          <c:idx val="3"/>
          <c:order val="3"/>
          <c:tx>
            <c:strRef>
              <c:f>DasboardPrep!$E$30:$E$31</c:f>
              <c:strCache>
                <c:ptCount val="1"/>
                <c:pt idx="0">
                  <c:v>Online</c:v>
                </c:pt>
              </c:strCache>
            </c:strRef>
          </c:tx>
          <c:spPr>
            <a:solidFill>
              <a:schemeClr val="accent4"/>
            </a:solidFill>
            <a:ln>
              <a:noFill/>
            </a:ln>
            <a:effectLst/>
          </c:spPr>
          <c:invertIfNegative val="0"/>
          <c:cat>
            <c:strRef>
              <c:f>DasboardPrep!$A$32:$A$36</c:f>
              <c:strCache>
                <c:ptCount val="4"/>
                <c:pt idx="0">
                  <c:v>Africa</c:v>
                </c:pt>
                <c:pt idx="1">
                  <c:v>Americas</c:v>
                </c:pt>
                <c:pt idx="2">
                  <c:v>Asia</c:v>
                </c:pt>
                <c:pt idx="3">
                  <c:v>Europe</c:v>
                </c:pt>
              </c:strCache>
            </c:strRef>
          </c:cat>
          <c:val>
            <c:numRef>
              <c:f>DasboardPrep!$E$32:$E$36</c:f>
              <c:numCache>
                <c:formatCode>[$Ksh-441]\ #,##0.00</c:formatCode>
                <c:ptCount val="4"/>
                <c:pt idx="0">
                  <c:v>228858.88999999996</c:v>
                </c:pt>
                <c:pt idx="1">
                  <c:v>358998.64999999997</c:v>
                </c:pt>
                <c:pt idx="2">
                  <c:v>223483.87999999995</c:v>
                </c:pt>
                <c:pt idx="3">
                  <c:v>289618.69</c:v>
                </c:pt>
              </c:numCache>
            </c:numRef>
          </c:val>
          <c:extLst>
            <c:ext xmlns:c16="http://schemas.microsoft.com/office/drawing/2014/chart" uri="{C3380CC4-5D6E-409C-BE32-E72D297353CC}">
              <c16:uniqueId val="{00000003-1F2D-42C1-9955-B5902E33E68E}"/>
            </c:ext>
          </c:extLst>
        </c:ser>
        <c:ser>
          <c:idx val="4"/>
          <c:order val="4"/>
          <c:tx>
            <c:strRef>
              <c:f>DasboardPrep!$F$30:$F$31</c:f>
              <c:strCache>
                <c:ptCount val="1"/>
                <c:pt idx="0">
                  <c:v>Retail</c:v>
                </c:pt>
              </c:strCache>
            </c:strRef>
          </c:tx>
          <c:spPr>
            <a:solidFill>
              <a:schemeClr val="accent5"/>
            </a:solidFill>
            <a:ln>
              <a:noFill/>
            </a:ln>
            <a:effectLst/>
          </c:spPr>
          <c:invertIfNegative val="0"/>
          <c:cat>
            <c:strRef>
              <c:f>DasboardPrep!$A$32:$A$36</c:f>
              <c:strCache>
                <c:ptCount val="4"/>
                <c:pt idx="0">
                  <c:v>Africa</c:v>
                </c:pt>
                <c:pt idx="1">
                  <c:v>Americas</c:v>
                </c:pt>
                <c:pt idx="2">
                  <c:v>Asia</c:v>
                </c:pt>
                <c:pt idx="3">
                  <c:v>Europe</c:v>
                </c:pt>
              </c:strCache>
            </c:strRef>
          </c:cat>
          <c:val>
            <c:numRef>
              <c:f>DasboardPrep!$F$32:$F$36</c:f>
              <c:numCache>
                <c:formatCode>[$Ksh-441]\ #,##0.00</c:formatCode>
                <c:ptCount val="4"/>
                <c:pt idx="0">
                  <c:v>204698.4599999999</c:v>
                </c:pt>
                <c:pt idx="1">
                  <c:v>120774.10999999999</c:v>
                </c:pt>
                <c:pt idx="2">
                  <c:v>241597.17</c:v>
                </c:pt>
                <c:pt idx="3">
                  <c:v>185672.78</c:v>
                </c:pt>
              </c:numCache>
            </c:numRef>
          </c:val>
          <c:extLst>
            <c:ext xmlns:c16="http://schemas.microsoft.com/office/drawing/2014/chart" uri="{C3380CC4-5D6E-409C-BE32-E72D297353CC}">
              <c16:uniqueId val="{00000004-1F2D-42C1-9955-B5902E33E68E}"/>
            </c:ext>
          </c:extLst>
        </c:ser>
        <c:dLbls>
          <c:showLegendKey val="0"/>
          <c:showVal val="0"/>
          <c:showCatName val="0"/>
          <c:showSerName val="0"/>
          <c:showPercent val="0"/>
          <c:showBubbleSize val="0"/>
        </c:dLbls>
        <c:gapWidth val="150"/>
        <c:overlap val="100"/>
        <c:axId val="608414328"/>
        <c:axId val="608413608"/>
      </c:barChart>
      <c:catAx>
        <c:axId val="608414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8413608"/>
        <c:crosses val="autoZero"/>
        <c:auto val="1"/>
        <c:lblAlgn val="ctr"/>
        <c:lblOffset val="100"/>
        <c:noMultiLvlLbl val="0"/>
      </c:catAx>
      <c:valAx>
        <c:axId val="608413608"/>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8414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(2).xlsx]DasboardPrep!PivotTable3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DasboardPrep!$B$45</c:f>
              <c:strCache>
                <c:ptCount val="1"/>
                <c:pt idx="0">
                  <c:v>Total</c:v>
                </c:pt>
              </c:strCache>
            </c:strRef>
          </c:tx>
          <c:spPr>
            <a:solidFill>
              <a:schemeClr val="accent1"/>
            </a:solidFill>
            <a:ln>
              <a:noFill/>
            </a:ln>
            <a:effectLst/>
          </c:spPr>
          <c:invertIfNegative val="0"/>
          <c:cat>
            <c:strRef>
              <c:f>DasboardPrep!$A$46:$A$56</c:f>
              <c:strCache>
                <c:ptCount val="10"/>
                <c:pt idx="0">
                  <c:v>CMP-8851</c:v>
                </c:pt>
                <c:pt idx="1">
                  <c:v>MON-6962</c:v>
                </c:pt>
                <c:pt idx="2">
                  <c:v>LAP-8910</c:v>
                </c:pt>
                <c:pt idx="3">
                  <c:v>NET-2365</c:v>
                </c:pt>
                <c:pt idx="4">
                  <c:v>CMP-3938</c:v>
                </c:pt>
                <c:pt idx="5">
                  <c:v>MON-2266</c:v>
                </c:pt>
                <c:pt idx="6">
                  <c:v>MON-5188</c:v>
                </c:pt>
                <c:pt idx="7">
                  <c:v>MON-6699</c:v>
                </c:pt>
                <c:pt idx="8">
                  <c:v>NET-5523</c:v>
                </c:pt>
                <c:pt idx="9">
                  <c:v>ACC-6626</c:v>
                </c:pt>
              </c:strCache>
            </c:strRef>
          </c:cat>
          <c:val>
            <c:numRef>
              <c:f>DasboardPrep!$B$46:$B$56</c:f>
              <c:numCache>
                <c:formatCode>[$Ksh-441]\ #,##0.00</c:formatCode>
                <c:ptCount val="10"/>
                <c:pt idx="0">
                  <c:v>168209.94</c:v>
                </c:pt>
                <c:pt idx="1">
                  <c:v>124450</c:v>
                </c:pt>
                <c:pt idx="2">
                  <c:v>121142.28</c:v>
                </c:pt>
                <c:pt idx="3">
                  <c:v>109244</c:v>
                </c:pt>
                <c:pt idx="4">
                  <c:v>106636.4</c:v>
                </c:pt>
                <c:pt idx="5">
                  <c:v>99098.559999999998</c:v>
                </c:pt>
                <c:pt idx="6">
                  <c:v>97538.01</c:v>
                </c:pt>
                <c:pt idx="7">
                  <c:v>90430.56</c:v>
                </c:pt>
                <c:pt idx="8">
                  <c:v>89885.599999999991</c:v>
                </c:pt>
                <c:pt idx="9">
                  <c:v>88163.33</c:v>
                </c:pt>
              </c:numCache>
            </c:numRef>
          </c:val>
          <c:extLst>
            <c:ext xmlns:c16="http://schemas.microsoft.com/office/drawing/2014/chart" uri="{C3380CC4-5D6E-409C-BE32-E72D297353CC}">
              <c16:uniqueId val="{00000000-C750-490C-90C7-1BC1C292540B}"/>
            </c:ext>
          </c:extLst>
        </c:ser>
        <c:dLbls>
          <c:showLegendKey val="0"/>
          <c:showVal val="0"/>
          <c:showCatName val="0"/>
          <c:showSerName val="0"/>
          <c:showPercent val="0"/>
          <c:showBubbleSize val="0"/>
        </c:dLbls>
        <c:gapWidth val="219"/>
        <c:overlap val="-27"/>
        <c:axId val="612098104"/>
        <c:axId val="612101344"/>
      </c:barChart>
      <c:catAx>
        <c:axId val="61209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2101344"/>
        <c:crosses val="autoZero"/>
        <c:auto val="1"/>
        <c:lblAlgn val="ctr"/>
        <c:lblOffset val="100"/>
        <c:noMultiLvlLbl val="0"/>
      </c:catAx>
      <c:valAx>
        <c:axId val="612101344"/>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2098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DasboardPrep!$J$64</c:f>
              <c:strCache>
                <c:ptCount val="1"/>
                <c:pt idx="0">
                  <c:v>Sum of Discount&gt;20</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DasboardPrep!$I$65:$I$79</c:f>
              <c:numCache>
                <c:formatCode>General</c:formatCode>
                <c:ptCount val="15"/>
                <c:pt idx="0">
                  <c:v>23</c:v>
                </c:pt>
                <c:pt idx="1">
                  <c:v>20</c:v>
                </c:pt>
                <c:pt idx="2">
                  <c:v>21</c:v>
                </c:pt>
                <c:pt idx="3">
                  <c:v>18</c:v>
                </c:pt>
                <c:pt idx="4">
                  <c:v>17</c:v>
                </c:pt>
                <c:pt idx="5">
                  <c:v>24</c:v>
                </c:pt>
                <c:pt idx="6">
                  <c:v>16</c:v>
                </c:pt>
                <c:pt idx="7">
                  <c:v>15</c:v>
                </c:pt>
                <c:pt idx="8">
                  <c:v>20</c:v>
                </c:pt>
                <c:pt idx="9">
                  <c:v>30</c:v>
                </c:pt>
                <c:pt idx="10">
                  <c:v>25</c:v>
                </c:pt>
                <c:pt idx="11">
                  <c:v>25</c:v>
                </c:pt>
                <c:pt idx="12">
                  <c:v>22</c:v>
                </c:pt>
                <c:pt idx="13">
                  <c:v>15</c:v>
                </c:pt>
                <c:pt idx="14">
                  <c:v>19</c:v>
                </c:pt>
              </c:numCache>
            </c:numRef>
          </c:xVal>
          <c:yVal>
            <c:numRef>
              <c:f>DasboardPrep!$J$65:$J$79</c:f>
              <c:numCache>
                <c:formatCode>General</c:formatCode>
                <c:ptCount val="15"/>
                <c:pt idx="0">
                  <c:v>9</c:v>
                </c:pt>
                <c:pt idx="1">
                  <c:v>4</c:v>
                </c:pt>
                <c:pt idx="2">
                  <c:v>8</c:v>
                </c:pt>
                <c:pt idx="3">
                  <c:v>8</c:v>
                </c:pt>
                <c:pt idx="4">
                  <c:v>3</c:v>
                </c:pt>
                <c:pt idx="5">
                  <c:v>4</c:v>
                </c:pt>
                <c:pt idx="6">
                  <c:v>3</c:v>
                </c:pt>
                <c:pt idx="7">
                  <c:v>4</c:v>
                </c:pt>
                <c:pt idx="8">
                  <c:v>9</c:v>
                </c:pt>
                <c:pt idx="9">
                  <c:v>6</c:v>
                </c:pt>
                <c:pt idx="10">
                  <c:v>4</c:v>
                </c:pt>
                <c:pt idx="11">
                  <c:v>8</c:v>
                </c:pt>
                <c:pt idx="12">
                  <c:v>8</c:v>
                </c:pt>
                <c:pt idx="13">
                  <c:v>5</c:v>
                </c:pt>
                <c:pt idx="14">
                  <c:v>4</c:v>
                </c:pt>
              </c:numCache>
            </c:numRef>
          </c:yVal>
          <c:smooth val="0"/>
          <c:extLst>
            <c:ext xmlns:c16="http://schemas.microsoft.com/office/drawing/2014/chart" uri="{C3380CC4-5D6E-409C-BE32-E72D297353CC}">
              <c16:uniqueId val="{00000000-30C4-4B2F-834B-8190C9D52AE5}"/>
            </c:ext>
          </c:extLst>
        </c:ser>
        <c:dLbls>
          <c:showLegendKey val="0"/>
          <c:showVal val="0"/>
          <c:showCatName val="0"/>
          <c:showSerName val="0"/>
          <c:showPercent val="0"/>
          <c:showBubbleSize val="0"/>
        </c:dLbls>
        <c:axId val="545396856"/>
        <c:axId val="545392176"/>
      </c:scatterChart>
      <c:valAx>
        <c:axId val="545396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392176"/>
        <c:crosses val="autoZero"/>
        <c:crossBetween val="midCat"/>
      </c:valAx>
      <c:valAx>
        <c:axId val="5453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396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Sheet1!$A$4:$A$51</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Sheet1!$B$4:$B$51</c:f>
              <c:numCache>
                <c:formatCode>[$Ksh-441]\ #,##0.00</c:formatCode>
                <c:ptCount val="33"/>
                <c:pt idx="0">
                  <c:v>178867.68999999997</c:v>
                </c:pt>
                <c:pt idx="1">
                  <c:v>491522.06999999995</c:v>
                </c:pt>
                <c:pt idx="2">
                  <c:v>251801.25</c:v>
                </c:pt>
                <c:pt idx="3">
                  <c:v>414568.8000000001</c:v>
                </c:pt>
                <c:pt idx="4">
                  <c:v>521043.70999999996</c:v>
                </c:pt>
                <c:pt idx="5">
                  <c:v>261189.78999999998</c:v>
                </c:pt>
                <c:pt idx="6">
                  <c:v>645894.28999999992</c:v>
                </c:pt>
                <c:pt idx="7">
                  <c:v>381933.10000000003</c:v>
                </c:pt>
                <c:pt idx="8">
                  <c:v>167595.30000000002</c:v>
                </c:pt>
                <c:pt idx="9">
                  <c:v>300202.85000000003</c:v>
                </c:pt>
                <c:pt idx="10">
                  <c:v>142626.42000000001</c:v>
                </c:pt>
                <c:pt idx="11">
                  <c:v>425108.32999999996</c:v>
                </c:pt>
                <c:pt idx="12">
                  <c:v>336495.83999999997</c:v>
                </c:pt>
                <c:pt idx="13">
                  <c:v>369931.30999999994</c:v>
                </c:pt>
                <c:pt idx="14">
                  <c:v>430980.24</c:v>
                </c:pt>
                <c:pt idx="15">
                  <c:v>275209.28999999998</c:v>
                </c:pt>
                <c:pt idx="16">
                  <c:v>457363.52000000014</c:v>
                </c:pt>
                <c:pt idx="17">
                  <c:v>693553.34</c:v>
                </c:pt>
                <c:pt idx="18">
                  <c:v>312041.40999999997</c:v>
                </c:pt>
                <c:pt idx="19">
                  <c:v>439264.70999999996</c:v>
                </c:pt>
                <c:pt idx="20">
                  <c:v>397487.67999999993</c:v>
                </c:pt>
                <c:pt idx="21">
                  <c:v>485185.54</c:v>
                </c:pt>
                <c:pt idx="22">
                  <c:v>497560.75999999989</c:v>
                </c:pt>
                <c:pt idx="23">
                  <c:v>404462.32999999996</c:v>
                </c:pt>
                <c:pt idx="24">
                  <c:v>243374.46</c:v>
                </c:pt>
                <c:pt idx="25">
                  <c:v>239368.77</c:v>
                </c:pt>
                <c:pt idx="26">
                  <c:v>234865.52000000005</c:v>
                </c:pt>
                <c:pt idx="27">
                  <c:v>404210.34999999986</c:v>
                </c:pt>
                <c:pt idx="28">
                  <c:v>424717.36</c:v>
                </c:pt>
                <c:pt idx="29">
                  <c:v>441514.51</c:v>
                </c:pt>
                <c:pt idx="30">
                  <c:v>558889.15</c:v>
                </c:pt>
                <c:pt idx="31">
                  <c:v>423235.12999999995</c:v>
                </c:pt>
                <c:pt idx="32">
                  <c:v>204519.99000000002</c:v>
                </c:pt>
              </c:numCache>
            </c:numRef>
          </c:val>
          <c:smooth val="0"/>
          <c:extLst>
            <c:ext xmlns:c16="http://schemas.microsoft.com/office/drawing/2014/chart" uri="{C3380CC4-5D6E-409C-BE32-E72D297353CC}">
              <c16:uniqueId val="{00000000-0C7F-4C35-AC7E-F84464586E24}"/>
            </c:ext>
          </c:extLst>
        </c:ser>
        <c:dLbls>
          <c:showLegendKey val="0"/>
          <c:showVal val="0"/>
          <c:showCatName val="0"/>
          <c:showSerName val="0"/>
          <c:showPercent val="0"/>
          <c:showBubbleSize val="0"/>
        </c:dLbls>
        <c:smooth val="0"/>
        <c:axId val="609357872"/>
        <c:axId val="609358592"/>
      </c:lineChart>
      <c:catAx>
        <c:axId val="60935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358592"/>
        <c:crosses val="autoZero"/>
        <c:auto val="1"/>
        <c:lblAlgn val="ctr"/>
        <c:lblOffset val="100"/>
        <c:noMultiLvlLbl val="0"/>
      </c:catAx>
      <c:valAx>
        <c:axId val="609358592"/>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35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(2).xlsx]DasboardPrep!PivotTable2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DasboardPrep!$B$30:$B$31</c:f>
              <c:strCache>
                <c:ptCount val="1"/>
                <c:pt idx="0">
                  <c:v>Direct</c:v>
                </c:pt>
              </c:strCache>
            </c:strRef>
          </c:tx>
          <c:spPr>
            <a:solidFill>
              <a:schemeClr val="accent1"/>
            </a:solidFill>
            <a:ln>
              <a:noFill/>
            </a:ln>
            <a:effectLst/>
          </c:spPr>
          <c:invertIfNegative val="0"/>
          <c:cat>
            <c:strRef>
              <c:f>DasboardPrep!$A$32:$A$36</c:f>
              <c:strCache>
                <c:ptCount val="4"/>
                <c:pt idx="0">
                  <c:v>Africa</c:v>
                </c:pt>
                <c:pt idx="1">
                  <c:v>Americas</c:v>
                </c:pt>
                <c:pt idx="2">
                  <c:v>Asia</c:v>
                </c:pt>
                <c:pt idx="3">
                  <c:v>Europe</c:v>
                </c:pt>
              </c:strCache>
            </c:strRef>
          </c:cat>
          <c:val>
            <c:numRef>
              <c:f>DasboardPrep!$B$32:$B$36</c:f>
              <c:numCache>
                <c:formatCode>[$Ksh-441]\ #,##0.00</c:formatCode>
                <c:ptCount val="4"/>
                <c:pt idx="0">
                  <c:v>238704.51999999996</c:v>
                </c:pt>
                <c:pt idx="1">
                  <c:v>356195.83999999997</c:v>
                </c:pt>
                <c:pt idx="2">
                  <c:v>317811.53999999998</c:v>
                </c:pt>
                <c:pt idx="3">
                  <c:v>426111.95000000019</c:v>
                </c:pt>
              </c:numCache>
            </c:numRef>
          </c:val>
          <c:extLst>
            <c:ext xmlns:c16="http://schemas.microsoft.com/office/drawing/2014/chart" uri="{C3380CC4-5D6E-409C-BE32-E72D297353CC}">
              <c16:uniqueId val="{00000000-4A83-4C5B-958F-F1919E26F79C}"/>
            </c:ext>
          </c:extLst>
        </c:ser>
        <c:ser>
          <c:idx val="1"/>
          <c:order val="1"/>
          <c:tx>
            <c:strRef>
              <c:f>DasboardPrep!$C$30:$C$31</c:f>
              <c:strCache>
                <c:ptCount val="1"/>
                <c:pt idx="0">
                  <c:v>Distributor</c:v>
                </c:pt>
              </c:strCache>
            </c:strRef>
          </c:tx>
          <c:spPr>
            <a:solidFill>
              <a:schemeClr val="accent2"/>
            </a:solidFill>
            <a:ln>
              <a:noFill/>
            </a:ln>
            <a:effectLst/>
          </c:spPr>
          <c:invertIfNegative val="0"/>
          <c:cat>
            <c:strRef>
              <c:f>DasboardPrep!$A$32:$A$36</c:f>
              <c:strCache>
                <c:ptCount val="4"/>
                <c:pt idx="0">
                  <c:v>Africa</c:v>
                </c:pt>
                <c:pt idx="1">
                  <c:v>Americas</c:v>
                </c:pt>
                <c:pt idx="2">
                  <c:v>Asia</c:v>
                </c:pt>
                <c:pt idx="3">
                  <c:v>Europe</c:v>
                </c:pt>
              </c:strCache>
            </c:strRef>
          </c:cat>
          <c:val>
            <c:numRef>
              <c:f>DasboardPrep!$C$32:$C$36</c:f>
              <c:numCache>
                <c:formatCode>[$Ksh-441]\ #,##0.00</c:formatCode>
                <c:ptCount val="4"/>
                <c:pt idx="0">
                  <c:v>292819.84000000003</c:v>
                </c:pt>
                <c:pt idx="1">
                  <c:v>261767.19</c:v>
                </c:pt>
                <c:pt idx="2">
                  <c:v>235110.02</c:v>
                </c:pt>
                <c:pt idx="3">
                  <c:v>139377.09999999998</c:v>
                </c:pt>
              </c:numCache>
            </c:numRef>
          </c:val>
          <c:extLst>
            <c:ext xmlns:c16="http://schemas.microsoft.com/office/drawing/2014/chart" uri="{C3380CC4-5D6E-409C-BE32-E72D297353CC}">
              <c16:uniqueId val="{00000001-4A83-4C5B-958F-F1919E26F79C}"/>
            </c:ext>
          </c:extLst>
        </c:ser>
        <c:ser>
          <c:idx val="2"/>
          <c:order val="2"/>
          <c:tx>
            <c:strRef>
              <c:f>DasboardPrep!$D$30:$D$31</c:f>
              <c:strCache>
                <c:ptCount val="1"/>
                <c:pt idx="0">
                  <c:v>Marketplace</c:v>
                </c:pt>
              </c:strCache>
            </c:strRef>
          </c:tx>
          <c:spPr>
            <a:solidFill>
              <a:schemeClr val="accent3"/>
            </a:solidFill>
            <a:ln>
              <a:noFill/>
            </a:ln>
            <a:effectLst/>
          </c:spPr>
          <c:invertIfNegative val="0"/>
          <c:cat>
            <c:strRef>
              <c:f>DasboardPrep!$A$32:$A$36</c:f>
              <c:strCache>
                <c:ptCount val="4"/>
                <c:pt idx="0">
                  <c:v>Africa</c:v>
                </c:pt>
                <c:pt idx="1">
                  <c:v>Americas</c:v>
                </c:pt>
                <c:pt idx="2">
                  <c:v>Asia</c:v>
                </c:pt>
                <c:pt idx="3">
                  <c:v>Europe</c:v>
                </c:pt>
              </c:strCache>
            </c:strRef>
          </c:cat>
          <c:val>
            <c:numRef>
              <c:f>DasboardPrep!$D$32:$D$36</c:f>
              <c:numCache>
                <c:formatCode>[$Ksh-441]\ #,##0.00</c:formatCode>
                <c:ptCount val="4"/>
                <c:pt idx="0">
                  <c:v>248985.54999999996</c:v>
                </c:pt>
                <c:pt idx="1">
                  <c:v>147757.19999999998</c:v>
                </c:pt>
                <c:pt idx="2">
                  <c:v>247627.55</c:v>
                </c:pt>
                <c:pt idx="3">
                  <c:v>194418.66999999998</c:v>
                </c:pt>
              </c:numCache>
            </c:numRef>
          </c:val>
          <c:extLst>
            <c:ext xmlns:c16="http://schemas.microsoft.com/office/drawing/2014/chart" uri="{C3380CC4-5D6E-409C-BE32-E72D297353CC}">
              <c16:uniqueId val="{00000002-4A83-4C5B-958F-F1919E26F79C}"/>
            </c:ext>
          </c:extLst>
        </c:ser>
        <c:ser>
          <c:idx val="3"/>
          <c:order val="3"/>
          <c:tx>
            <c:strRef>
              <c:f>DasboardPrep!$E$30:$E$31</c:f>
              <c:strCache>
                <c:ptCount val="1"/>
                <c:pt idx="0">
                  <c:v>Online</c:v>
                </c:pt>
              </c:strCache>
            </c:strRef>
          </c:tx>
          <c:spPr>
            <a:solidFill>
              <a:schemeClr val="accent4"/>
            </a:solidFill>
            <a:ln>
              <a:noFill/>
            </a:ln>
            <a:effectLst/>
          </c:spPr>
          <c:invertIfNegative val="0"/>
          <c:cat>
            <c:strRef>
              <c:f>DasboardPrep!$A$32:$A$36</c:f>
              <c:strCache>
                <c:ptCount val="4"/>
                <c:pt idx="0">
                  <c:v>Africa</c:v>
                </c:pt>
                <c:pt idx="1">
                  <c:v>Americas</c:v>
                </c:pt>
                <c:pt idx="2">
                  <c:v>Asia</c:v>
                </c:pt>
                <c:pt idx="3">
                  <c:v>Europe</c:v>
                </c:pt>
              </c:strCache>
            </c:strRef>
          </c:cat>
          <c:val>
            <c:numRef>
              <c:f>DasboardPrep!$E$32:$E$36</c:f>
              <c:numCache>
                <c:formatCode>[$Ksh-441]\ #,##0.00</c:formatCode>
                <c:ptCount val="4"/>
                <c:pt idx="0">
                  <c:v>228858.88999999996</c:v>
                </c:pt>
                <c:pt idx="1">
                  <c:v>358998.64999999997</c:v>
                </c:pt>
                <c:pt idx="2">
                  <c:v>223483.87999999995</c:v>
                </c:pt>
                <c:pt idx="3">
                  <c:v>289618.69</c:v>
                </c:pt>
              </c:numCache>
            </c:numRef>
          </c:val>
          <c:extLst>
            <c:ext xmlns:c16="http://schemas.microsoft.com/office/drawing/2014/chart" uri="{C3380CC4-5D6E-409C-BE32-E72D297353CC}">
              <c16:uniqueId val="{00000003-4A83-4C5B-958F-F1919E26F79C}"/>
            </c:ext>
          </c:extLst>
        </c:ser>
        <c:ser>
          <c:idx val="4"/>
          <c:order val="4"/>
          <c:tx>
            <c:strRef>
              <c:f>DasboardPrep!$F$30:$F$31</c:f>
              <c:strCache>
                <c:ptCount val="1"/>
                <c:pt idx="0">
                  <c:v>Retail</c:v>
                </c:pt>
              </c:strCache>
            </c:strRef>
          </c:tx>
          <c:spPr>
            <a:solidFill>
              <a:schemeClr val="accent5"/>
            </a:solidFill>
            <a:ln>
              <a:noFill/>
            </a:ln>
            <a:effectLst/>
          </c:spPr>
          <c:invertIfNegative val="0"/>
          <c:cat>
            <c:strRef>
              <c:f>DasboardPrep!$A$32:$A$36</c:f>
              <c:strCache>
                <c:ptCount val="4"/>
                <c:pt idx="0">
                  <c:v>Africa</c:v>
                </c:pt>
                <c:pt idx="1">
                  <c:v>Americas</c:v>
                </c:pt>
                <c:pt idx="2">
                  <c:v>Asia</c:v>
                </c:pt>
                <c:pt idx="3">
                  <c:v>Europe</c:v>
                </c:pt>
              </c:strCache>
            </c:strRef>
          </c:cat>
          <c:val>
            <c:numRef>
              <c:f>DasboardPrep!$F$32:$F$36</c:f>
              <c:numCache>
                <c:formatCode>[$Ksh-441]\ #,##0.00</c:formatCode>
                <c:ptCount val="4"/>
                <c:pt idx="0">
                  <c:v>204698.4599999999</c:v>
                </c:pt>
                <c:pt idx="1">
                  <c:v>120774.10999999999</c:v>
                </c:pt>
                <c:pt idx="2">
                  <c:v>241597.17</c:v>
                </c:pt>
                <c:pt idx="3">
                  <c:v>185672.78</c:v>
                </c:pt>
              </c:numCache>
            </c:numRef>
          </c:val>
          <c:extLst>
            <c:ext xmlns:c16="http://schemas.microsoft.com/office/drawing/2014/chart" uri="{C3380CC4-5D6E-409C-BE32-E72D297353CC}">
              <c16:uniqueId val="{00000004-4A83-4C5B-958F-F1919E26F79C}"/>
            </c:ext>
          </c:extLst>
        </c:ser>
        <c:dLbls>
          <c:showLegendKey val="0"/>
          <c:showVal val="0"/>
          <c:showCatName val="0"/>
          <c:showSerName val="0"/>
          <c:showPercent val="0"/>
          <c:showBubbleSize val="0"/>
        </c:dLbls>
        <c:gapWidth val="150"/>
        <c:overlap val="100"/>
        <c:axId val="608414328"/>
        <c:axId val="608413608"/>
      </c:barChart>
      <c:catAx>
        <c:axId val="608414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8413608"/>
        <c:crosses val="autoZero"/>
        <c:auto val="1"/>
        <c:lblAlgn val="ctr"/>
        <c:lblOffset val="100"/>
        <c:noMultiLvlLbl val="0"/>
      </c:catAx>
      <c:valAx>
        <c:axId val="608413608"/>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8414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(2).xlsx]DasboardPrep!PivotTable3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DasboardPrep!$B$45</c:f>
              <c:strCache>
                <c:ptCount val="1"/>
                <c:pt idx="0">
                  <c:v>Total</c:v>
                </c:pt>
              </c:strCache>
            </c:strRef>
          </c:tx>
          <c:spPr>
            <a:solidFill>
              <a:schemeClr val="accent1"/>
            </a:solidFill>
            <a:ln>
              <a:noFill/>
            </a:ln>
            <a:effectLst/>
          </c:spPr>
          <c:invertIfNegative val="0"/>
          <c:cat>
            <c:strRef>
              <c:f>DasboardPrep!$A$46:$A$56</c:f>
              <c:strCache>
                <c:ptCount val="10"/>
                <c:pt idx="0">
                  <c:v>CMP-8851</c:v>
                </c:pt>
                <c:pt idx="1">
                  <c:v>MON-6962</c:v>
                </c:pt>
                <c:pt idx="2">
                  <c:v>LAP-8910</c:v>
                </c:pt>
                <c:pt idx="3">
                  <c:v>NET-2365</c:v>
                </c:pt>
                <c:pt idx="4">
                  <c:v>CMP-3938</c:v>
                </c:pt>
                <c:pt idx="5">
                  <c:v>MON-2266</c:v>
                </c:pt>
                <c:pt idx="6">
                  <c:v>MON-5188</c:v>
                </c:pt>
                <c:pt idx="7">
                  <c:v>MON-6699</c:v>
                </c:pt>
                <c:pt idx="8">
                  <c:v>NET-5523</c:v>
                </c:pt>
                <c:pt idx="9">
                  <c:v>ACC-6626</c:v>
                </c:pt>
              </c:strCache>
            </c:strRef>
          </c:cat>
          <c:val>
            <c:numRef>
              <c:f>DasboardPrep!$B$46:$B$56</c:f>
              <c:numCache>
                <c:formatCode>[$Ksh-441]\ #,##0.00</c:formatCode>
                <c:ptCount val="10"/>
                <c:pt idx="0">
                  <c:v>168209.94</c:v>
                </c:pt>
                <c:pt idx="1">
                  <c:v>124450</c:v>
                </c:pt>
                <c:pt idx="2">
                  <c:v>121142.28</c:v>
                </c:pt>
                <c:pt idx="3">
                  <c:v>109244</c:v>
                </c:pt>
                <c:pt idx="4">
                  <c:v>106636.4</c:v>
                </c:pt>
                <c:pt idx="5">
                  <c:v>99098.559999999998</c:v>
                </c:pt>
                <c:pt idx="6">
                  <c:v>97538.01</c:v>
                </c:pt>
                <c:pt idx="7">
                  <c:v>90430.56</c:v>
                </c:pt>
                <c:pt idx="8">
                  <c:v>89885.599999999991</c:v>
                </c:pt>
                <c:pt idx="9">
                  <c:v>88163.33</c:v>
                </c:pt>
              </c:numCache>
            </c:numRef>
          </c:val>
          <c:extLst>
            <c:ext xmlns:c16="http://schemas.microsoft.com/office/drawing/2014/chart" uri="{C3380CC4-5D6E-409C-BE32-E72D297353CC}">
              <c16:uniqueId val="{00000000-F70C-45CA-A0E6-F8832A7ABC22}"/>
            </c:ext>
          </c:extLst>
        </c:ser>
        <c:dLbls>
          <c:showLegendKey val="0"/>
          <c:showVal val="0"/>
          <c:showCatName val="0"/>
          <c:showSerName val="0"/>
          <c:showPercent val="0"/>
          <c:showBubbleSize val="0"/>
        </c:dLbls>
        <c:gapWidth val="219"/>
        <c:overlap val="-27"/>
        <c:axId val="612098104"/>
        <c:axId val="612101344"/>
      </c:barChart>
      <c:catAx>
        <c:axId val="61209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2101344"/>
        <c:crosses val="autoZero"/>
        <c:auto val="1"/>
        <c:lblAlgn val="ctr"/>
        <c:lblOffset val="100"/>
        <c:noMultiLvlLbl val="0"/>
      </c:catAx>
      <c:valAx>
        <c:axId val="612101344"/>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2098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DasboardPrep!$J$64</c:f>
              <c:strCache>
                <c:ptCount val="1"/>
                <c:pt idx="0">
                  <c:v>Sum of Discount&gt;20</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DasboardPrep!$I$65:$I$79</c:f>
              <c:numCache>
                <c:formatCode>General</c:formatCode>
                <c:ptCount val="15"/>
                <c:pt idx="0">
                  <c:v>23</c:v>
                </c:pt>
                <c:pt idx="1">
                  <c:v>20</c:v>
                </c:pt>
                <c:pt idx="2">
                  <c:v>21</c:v>
                </c:pt>
                <c:pt idx="3">
                  <c:v>18</c:v>
                </c:pt>
                <c:pt idx="4">
                  <c:v>17</c:v>
                </c:pt>
                <c:pt idx="5">
                  <c:v>24</c:v>
                </c:pt>
                <c:pt idx="6">
                  <c:v>16</c:v>
                </c:pt>
                <c:pt idx="7">
                  <c:v>15</c:v>
                </c:pt>
                <c:pt idx="8">
                  <c:v>20</c:v>
                </c:pt>
                <c:pt idx="9">
                  <c:v>30</c:v>
                </c:pt>
                <c:pt idx="10">
                  <c:v>25</c:v>
                </c:pt>
                <c:pt idx="11">
                  <c:v>25</c:v>
                </c:pt>
                <c:pt idx="12">
                  <c:v>22</c:v>
                </c:pt>
                <c:pt idx="13">
                  <c:v>15</c:v>
                </c:pt>
                <c:pt idx="14">
                  <c:v>19</c:v>
                </c:pt>
              </c:numCache>
            </c:numRef>
          </c:xVal>
          <c:yVal>
            <c:numRef>
              <c:f>DasboardPrep!$J$65:$J$79</c:f>
              <c:numCache>
                <c:formatCode>General</c:formatCode>
                <c:ptCount val="15"/>
                <c:pt idx="0">
                  <c:v>9</c:v>
                </c:pt>
                <c:pt idx="1">
                  <c:v>4</c:v>
                </c:pt>
                <c:pt idx="2">
                  <c:v>8</c:v>
                </c:pt>
                <c:pt idx="3">
                  <c:v>8</c:v>
                </c:pt>
                <c:pt idx="4">
                  <c:v>3</c:v>
                </c:pt>
                <c:pt idx="5">
                  <c:v>4</c:v>
                </c:pt>
                <c:pt idx="6">
                  <c:v>3</c:v>
                </c:pt>
                <c:pt idx="7">
                  <c:v>4</c:v>
                </c:pt>
                <c:pt idx="8">
                  <c:v>9</c:v>
                </c:pt>
                <c:pt idx="9">
                  <c:v>6</c:v>
                </c:pt>
                <c:pt idx="10">
                  <c:v>4</c:v>
                </c:pt>
                <c:pt idx="11">
                  <c:v>8</c:v>
                </c:pt>
                <c:pt idx="12">
                  <c:v>8</c:v>
                </c:pt>
                <c:pt idx="13">
                  <c:v>5</c:v>
                </c:pt>
                <c:pt idx="14">
                  <c:v>4</c:v>
                </c:pt>
              </c:numCache>
            </c:numRef>
          </c:yVal>
          <c:smooth val="0"/>
          <c:extLst>
            <c:ext xmlns:c16="http://schemas.microsoft.com/office/drawing/2014/chart" uri="{C3380CC4-5D6E-409C-BE32-E72D297353CC}">
              <c16:uniqueId val="{00000001-DBA7-40D7-8650-54C42BDB5C4E}"/>
            </c:ext>
          </c:extLst>
        </c:ser>
        <c:dLbls>
          <c:showLegendKey val="0"/>
          <c:showVal val="0"/>
          <c:showCatName val="0"/>
          <c:showSerName val="0"/>
          <c:showPercent val="0"/>
          <c:showBubbleSize val="0"/>
        </c:dLbls>
        <c:axId val="545396856"/>
        <c:axId val="545392176"/>
      </c:scatterChart>
      <c:valAx>
        <c:axId val="545396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392176"/>
        <c:crosses val="autoZero"/>
        <c:crossBetween val="midCat"/>
      </c:valAx>
      <c:valAx>
        <c:axId val="5453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396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(2).xlsx]ABC Summary!PivotTable4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'ABC Summary'!$B$39:$B$40</c:f>
              <c:strCache>
                <c:ptCount val="1"/>
                <c:pt idx="0">
                  <c:v>A</c:v>
                </c:pt>
              </c:strCache>
            </c:strRef>
          </c:tx>
          <c:spPr>
            <a:solidFill>
              <a:schemeClr val="accent1"/>
            </a:solidFill>
            <a:ln>
              <a:noFill/>
            </a:ln>
            <a:effectLst/>
          </c:spPr>
          <c:invertIfNegative val="0"/>
          <c:cat>
            <c:strRef>
              <c:f>'ABC Summary'!$A$41:$A$48</c:f>
              <c:strCache>
                <c:ptCount val="7"/>
                <c:pt idx="0">
                  <c:v>Accessories</c:v>
                </c:pt>
                <c:pt idx="1">
                  <c:v>Components</c:v>
                </c:pt>
                <c:pt idx="2">
                  <c:v>Laptops</c:v>
                </c:pt>
                <c:pt idx="3">
                  <c:v>Monitors</c:v>
                </c:pt>
                <c:pt idx="4">
                  <c:v>Networking</c:v>
                </c:pt>
                <c:pt idx="5">
                  <c:v>Phones</c:v>
                </c:pt>
                <c:pt idx="6">
                  <c:v>Printers</c:v>
                </c:pt>
              </c:strCache>
            </c:strRef>
          </c:cat>
          <c:val>
            <c:numRef>
              <c:f>'ABC Summary'!$B$41:$B$48</c:f>
              <c:numCache>
                <c:formatCode>General</c:formatCode>
                <c:ptCount val="7"/>
                <c:pt idx="0">
                  <c:v>22</c:v>
                </c:pt>
                <c:pt idx="1">
                  <c:v>20</c:v>
                </c:pt>
                <c:pt idx="2">
                  <c:v>19</c:v>
                </c:pt>
                <c:pt idx="3">
                  <c:v>20</c:v>
                </c:pt>
                <c:pt idx="4">
                  <c:v>20</c:v>
                </c:pt>
                <c:pt idx="5">
                  <c:v>18</c:v>
                </c:pt>
                <c:pt idx="6">
                  <c:v>23</c:v>
                </c:pt>
              </c:numCache>
            </c:numRef>
          </c:val>
          <c:extLst>
            <c:ext xmlns:c16="http://schemas.microsoft.com/office/drawing/2014/chart" uri="{C3380CC4-5D6E-409C-BE32-E72D297353CC}">
              <c16:uniqueId val="{00000000-4C43-4F3E-87F2-E7C89251A663}"/>
            </c:ext>
          </c:extLst>
        </c:ser>
        <c:ser>
          <c:idx val="1"/>
          <c:order val="1"/>
          <c:tx>
            <c:strRef>
              <c:f>'ABC Summary'!$C$39:$C$40</c:f>
              <c:strCache>
                <c:ptCount val="1"/>
                <c:pt idx="0">
                  <c:v>B</c:v>
                </c:pt>
              </c:strCache>
            </c:strRef>
          </c:tx>
          <c:spPr>
            <a:solidFill>
              <a:schemeClr val="accent2"/>
            </a:solidFill>
            <a:ln>
              <a:noFill/>
            </a:ln>
            <a:effectLst/>
          </c:spPr>
          <c:invertIfNegative val="0"/>
          <c:cat>
            <c:strRef>
              <c:f>'ABC Summary'!$A$41:$A$48</c:f>
              <c:strCache>
                <c:ptCount val="7"/>
                <c:pt idx="0">
                  <c:v>Accessories</c:v>
                </c:pt>
                <c:pt idx="1">
                  <c:v>Components</c:v>
                </c:pt>
                <c:pt idx="2">
                  <c:v>Laptops</c:v>
                </c:pt>
                <c:pt idx="3">
                  <c:v>Monitors</c:v>
                </c:pt>
                <c:pt idx="4">
                  <c:v>Networking</c:v>
                </c:pt>
                <c:pt idx="5">
                  <c:v>Phones</c:v>
                </c:pt>
                <c:pt idx="6">
                  <c:v>Printers</c:v>
                </c:pt>
              </c:strCache>
            </c:strRef>
          </c:cat>
          <c:val>
            <c:numRef>
              <c:f>'ABC Summary'!$C$41:$C$48</c:f>
              <c:numCache>
                <c:formatCode>General</c:formatCode>
                <c:ptCount val="7"/>
                <c:pt idx="0">
                  <c:v>13</c:v>
                </c:pt>
                <c:pt idx="1">
                  <c:v>13</c:v>
                </c:pt>
                <c:pt idx="2">
                  <c:v>11</c:v>
                </c:pt>
                <c:pt idx="3">
                  <c:v>15</c:v>
                </c:pt>
                <c:pt idx="4">
                  <c:v>11</c:v>
                </c:pt>
                <c:pt idx="5">
                  <c:v>10</c:v>
                </c:pt>
                <c:pt idx="6">
                  <c:v>15</c:v>
                </c:pt>
              </c:numCache>
            </c:numRef>
          </c:val>
          <c:extLst>
            <c:ext xmlns:c16="http://schemas.microsoft.com/office/drawing/2014/chart" uri="{C3380CC4-5D6E-409C-BE32-E72D297353CC}">
              <c16:uniqueId val="{00000001-4C43-4F3E-87F2-E7C89251A663}"/>
            </c:ext>
          </c:extLst>
        </c:ser>
        <c:ser>
          <c:idx val="2"/>
          <c:order val="2"/>
          <c:tx>
            <c:strRef>
              <c:f>'ABC Summary'!$D$39:$D$40</c:f>
              <c:strCache>
                <c:ptCount val="1"/>
                <c:pt idx="0">
                  <c:v>C</c:v>
                </c:pt>
              </c:strCache>
            </c:strRef>
          </c:tx>
          <c:spPr>
            <a:solidFill>
              <a:schemeClr val="accent3"/>
            </a:solidFill>
            <a:ln>
              <a:noFill/>
            </a:ln>
            <a:effectLst/>
          </c:spPr>
          <c:invertIfNegative val="0"/>
          <c:cat>
            <c:strRef>
              <c:f>'ABC Summary'!$A$41:$A$48</c:f>
              <c:strCache>
                <c:ptCount val="7"/>
                <c:pt idx="0">
                  <c:v>Accessories</c:v>
                </c:pt>
                <c:pt idx="1">
                  <c:v>Components</c:v>
                </c:pt>
                <c:pt idx="2">
                  <c:v>Laptops</c:v>
                </c:pt>
                <c:pt idx="3">
                  <c:v>Monitors</c:v>
                </c:pt>
                <c:pt idx="4">
                  <c:v>Networking</c:v>
                </c:pt>
                <c:pt idx="5">
                  <c:v>Phones</c:v>
                </c:pt>
                <c:pt idx="6">
                  <c:v>Printers</c:v>
                </c:pt>
              </c:strCache>
            </c:strRef>
          </c:cat>
          <c:val>
            <c:numRef>
              <c:f>'ABC Summary'!$D$41:$D$48</c:f>
              <c:numCache>
                <c:formatCode>General</c:formatCode>
                <c:ptCount val="7"/>
                <c:pt idx="0">
                  <c:v>13</c:v>
                </c:pt>
                <c:pt idx="1">
                  <c:v>13</c:v>
                </c:pt>
                <c:pt idx="2">
                  <c:v>10</c:v>
                </c:pt>
                <c:pt idx="3">
                  <c:v>14</c:v>
                </c:pt>
                <c:pt idx="4">
                  <c:v>10</c:v>
                </c:pt>
                <c:pt idx="5">
                  <c:v>10</c:v>
                </c:pt>
                <c:pt idx="6">
                  <c:v>15</c:v>
                </c:pt>
              </c:numCache>
            </c:numRef>
          </c:val>
          <c:extLst>
            <c:ext xmlns:c16="http://schemas.microsoft.com/office/drawing/2014/chart" uri="{C3380CC4-5D6E-409C-BE32-E72D297353CC}">
              <c16:uniqueId val="{00000002-4C43-4F3E-87F2-E7C89251A663}"/>
            </c:ext>
          </c:extLst>
        </c:ser>
        <c:dLbls>
          <c:showLegendKey val="0"/>
          <c:showVal val="0"/>
          <c:showCatName val="0"/>
          <c:showSerName val="0"/>
          <c:showPercent val="0"/>
          <c:showBubbleSize val="0"/>
        </c:dLbls>
        <c:gapWidth val="150"/>
        <c:overlap val="100"/>
        <c:axId val="122953920"/>
        <c:axId val="650743632"/>
      </c:barChart>
      <c:catAx>
        <c:axId val="12295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743632"/>
        <c:crosses val="autoZero"/>
        <c:auto val="1"/>
        <c:lblAlgn val="ctr"/>
        <c:lblOffset val="100"/>
        <c:noMultiLvlLbl val="0"/>
      </c:catAx>
      <c:valAx>
        <c:axId val="65074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(2).xlsx]ABC Summary!PivotTable3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'ABC Summary'!$B$3</c:f>
              <c:strCache>
                <c:ptCount val="1"/>
                <c:pt idx="0">
                  <c:v>Total</c:v>
                </c:pt>
              </c:strCache>
            </c:strRef>
          </c:tx>
          <c:spPr>
            <a:solidFill>
              <a:schemeClr val="accent1"/>
            </a:solidFill>
            <a:ln>
              <a:noFill/>
            </a:ln>
            <a:effectLst/>
          </c:spPr>
          <c:invertIfNegative val="0"/>
          <c:cat>
            <c:multiLvlStrRef>
              <c:f>'ABC Summary'!$A$4:$A$32</c:f>
              <c:multiLvlStrCache>
                <c:ptCount val="21"/>
                <c:lvl>
                  <c:pt idx="0">
                    <c:v>A</c:v>
                  </c:pt>
                  <c:pt idx="1">
                    <c:v>B</c:v>
                  </c:pt>
                  <c:pt idx="2">
                    <c:v>C</c:v>
                  </c:pt>
                  <c:pt idx="3">
                    <c:v>A</c:v>
                  </c:pt>
                  <c:pt idx="4">
                    <c:v>B</c:v>
                  </c:pt>
                  <c:pt idx="5">
                    <c:v>C</c:v>
                  </c:pt>
                  <c:pt idx="6">
                    <c:v>A</c:v>
                  </c:pt>
                  <c:pt idx="7">
                    <c:v>B</c:v>
                  </c:pt>
                  <c:pt idx="8">
                    <c:v>C</c:v>
                  </c:pt>
                  <c:pt idx="9">
                    <c:v>A</c:v>
                  </c:pt>
                  <c:pt idx="10">
                    <c:v>B</c:v>
                  </c:pt>
                  <c:pt idx="11">
                    <c:v>C</c:v>
                  </c:pt>
                  <c:pt idx="12">
                    <c:v>A</c:v>
                  </c:pt>
                  <c:pt idx="13">
                    <c:v>B</c:v>
                  </c:pt>
                  <c:pt idx="14">
                    <c:v>C</c:v>
                  </c:pt>
                  <c:pt idx="15">
                    <c:v>A</c:v>
                  </c:pt>
                  <c:pt idx="16">
                    <c:v>B</c:v>
                  </c:pt>
                  <c:pt idx="17">
                    <c:v>C</c:v>
                  </c:pt>
                  <c:pt idx="18">
                    <c:v>A</c:v>
                  </c:pt>
                  <c:pt idx="19">
                    <c:v>B</c:v>
                  </c:pt>
                  <c:pt idx="20">
                    <c:v>C</c:v>
                  </c:pt>
                </c:lvl>
                <c:lvl>
                  <c:pt idx="0">
                    <c:v>Monitors</c:v>
                  </c:pt>
                  <c:pt idx="3">
                    <c:v>Laptops</c:v>
                  </c:pt>
                  <c:pt idx="6">
                    <c:v>Networking</c:v>
                  </c:pt>
                  <c:pt idx="9">
                    <c:v>Components</c:v>
                  </c:pt>
                  <c:pt idx="12">
                    <c:v>Printers</c:v>
                  </c:pt>
                  <c:pt idx="15">
                    <c:v>Accessories</c:v>
                  </c:pt>
                  <c:pt idx="18">
                    <c:v>Phones</c:v>
                  </c:pt>
                </c:lvl>
              </c:multiLvlStrCache>
            </c:multiLvlStrRef>
          </c:cat>
          <c:val>
            <c:numRef>
              <c:f>'ABC Summary'!$B$4:$B$32</c:f>
              <c:numCache>
                <c:formatCode>[$Ksh-441]\ #,##0.00</c:formatCode>
                <c:ptCount val="21"/>
                <c:pt idx="0">
                  <c:v>862584.17</c:v>
                </c:pt>
                <c:pt idx="1">
                  <c:v>164405.02999999997</c:v>
                </c:pt>
                <c:pt idx="2">
                  <c:v>57984.58</c:v>
                </c:pt>
                <c:pt idx="3">
                  <c:v>833371.29000000027</c:v>
                </c:pt>
                <c:pt idx="4">
                  <c:v>159307.06</c:v>
                </c:pt>
                <c:pt idx="5">
                  <c:v>62303.9</c:v>
                </c:pt>
                <c:pt idx="6">
                  <c:v>813550.82000000007</c:v>
                </c:pt>
                <c:pt idx="7">
                  <c:v>147921.69</c:v>
                </c:pt>
                <c:pt idx="8">
                  <c:v>55870.509999999995</c:v>
                </c:pt>
                <c:pt idx="9">
                  <c:v>794120.17</c:v>
                </c:pt>
                <c:pt idx="10">
                  <c:v>167419.99</c:v>
                </c:pt>
                <c:pt idx="11">
                  <c:v>50871.98</c:v>
                </c:pt>
                <c:pt idx="12">
                  <c:v>707492.99999999988</c:v>
                </c:pt>
                <c:pt idx="13">
                  <c:v>141709.38</c:v>
                </c:pt>
                <c:pt idx="14">
                  <c:v>47244.920000000006</c:v>
                </c:pt>
                <c:pt idx="15">
                  <c:v>707198.64999999991</c:v>
                </c:pt>
                <c:pt idx="16">
                  <c:v>131700.66999999998</c:v>
                </c:pt>
                <c:pt idx="17">
                  <c:v>52018.8</c:v>
                </c:pt>
                <c:pt idx="18">
                  <c:v>585245.78999999992</c:v>
                </c:pt>
                <c:pt idx="19">
                  <c:v>119940.87</c:v>
                </c:pt>
                <c:pt idx="20">
                  <c:v>41017.99</c:v>
                </c:pt>
              </c:numCache>
            </c:numRef>
          </c:val>
          <c:extLst>
            <c:ext xmlns:c16="http://schemas.microsoft.com/office/drawing/2014/chart" uri="{C3380CC4-5D6E-409C-BE32-E72D297353CC}">
              <c16:uniqueId val="{00000000-88BB-43FA-9913-87D8D20D0802}"/>
            </c:ext>
          </c:extLst>
        </c:ser>
        <c:dLbls>
          <c:showLegendKey val="0"/>
          <c:showVal val="0"/>
          <c:showCatName val="0"/>
          <c:showSerName val="0"/>
          <c:showPercent val="0"/>
          <c:showBubbleSize val="0"/>
        </c:dLbls>
        <c:gapWidth val="150"/>
        <c:overlap val="100"/>
        <c:axId val="635537592"/>
        <c:axId val="635539032"/>
      </c:barChart>
      <c:catAx>
        <c:axId val="635537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39032"/>
        <c:crosses val="autoZero"/>
        <c:auto val="1"/>
        <c:lblAlgn val="ctr"/>
        <c:lblOffset val="100"/>
        <c:noMultiLvlLbl val="0"/>
      </c:catAx>
      <c:valAx>
        <c:axId val="635539032"/>
        <c:scaling>
          <c:orientation val="minMax"/>
        </c:scaling>
        <c:delete val="0"/>
        <c:axPos val="l"/>
        <c:majorGridlines>
          <c:spPr>
            <a:ln w="9525" cap="flat" cmpd="sng" algn="ctr">
              <a:solidFill>
                <a:schemeClr val="tx1">
                  <a:lumMod val="15000"/>
                  <a:lumOff val="85000"/>
                </a:schemeClr>
              </a:solidFill>
              <a:round/>
            </a:ln>
            <a:effectLst/>
          </c:spPr>
        </c:majorGridlines>
        <c:numFmt formatCode="[$Ksh-44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37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(2).xlsx]ABC Summary!PivotTable5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'ABC Summary'!$B$60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09-4963-8919-FB074CC173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09-4963-8919-FB074CC173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09-4963-8919-FB074CC173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'ABC Summary'!$A$61:$A$64</c:f>
              <c:strCache>
                <c:ptCount val="3"/>
                <c:pt idx="0">
                  <c:v>A</c:v>
                </c:pt>
                <c:pt idx="1">
                  <c:v>B</c:v>
                </c:pt>
                <c:pt idx="2">
                  <c:v>C</c:v>
                </c:pt>
              </c:strCache>
            </c:strRef>
          </c:cat>
          <c:val>
            <c:numRef>
              <c:f>'ABC Summary'!$B$61:$B$64</c:f>
              <c:numCache>
                <c:formatCode>General</c:formatCode>
                <c:ptCount val="3"/>
                <c:pt idx="0">
                  <c:v>142</c:v>
                </c:pt>
                <c:pt idx="1">
                  <c:v>88</c:v>
                </c:pt>
                <c:pt idx="2">
                  <c:v>85</c:v>
                </c:pt>
              </c:numCache>
            </c:numRef>
          </c:val>
          <c:extLst>
            <c:ext xmlns:c16="http://schemas.microsoft.com/office/drawing/2014/chart" uri="{C3380CC4-5D6E-409C-BE32-E72D297353CC}">
              <c16:uniqueId val="{00000000-7CFF-4E37-BFA5-E66F61987156}"/>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(2).xlsx]ABC Summary!PivotTable6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'ABC Summary'!$B$70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27-4E4E-A974-89828B4CAA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27-4E4E-A974-89828B4CAA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27-4E4E-A974-89828B4CAA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'ABC Summary'!$A$71:$A$74</c:f>
              <c:strCache>
                <c:ptCount val="3"/>
                <c:pt idx="0">
                  <c:v>A</c:v>
                </c:pt>
                <c:pt idx="1">
                  <c:v>B</c:v>
                </c:pt>
                <c:pt idx="2">
                  <c:v>C</c:v>
                </c:pt>
              </c:strCache>
            </c:strRef>
          </c:cat>
          <c:val>
            <c:numRef>
              <c:f>'ABC Summary'!$B$71:$B$74</c:f>
              <c:numCache>
                <c:formatCode>[$Ksh-441]\ #,##0.00</c:formatCode>
                <c:ptCount val="3"/>
                <c:pt idx="0">
                  <c:v>5303563.8900000025</c:v>
                </c:pt>
                <c:pt idx="1">
                  <c:v>1032404.6900000001</c:v>
                </c:pt>
                <c:pt idx="2">
                  <c:v>367312.68000000005</c:v>
                </c:pt>
              </c:numCache>
            </c:numRef>
          </c:val>
          <c:extLst>
            <c:ext xmlns:c16="http://schemas.microsoft.com/office/drawing/2014/chart" uri="{C3380CC4-5D6E-409C-BE32-E72D297353CC}">
              <c16:uniqueId val="{00000000-6BA5-4D86-85FA-FC8F3C54089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(2).xlsx]Salesperson Productivity!PivotTable6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Productivity'!$B$4</c:f>
              <c:strCache>
                <c:ptCount val="1"/>
                <c:pt idx="0">
                  <c:v>Sum of GrossRevenue</c:v>
                </c:pt>
              </c:strCache>
            </c:strRef>
          </c:tx>
          <c:spPr>
            <a:solidFill>
              <a:schemeClr val="accent1"/>
            </a:solidFill>
            <a:ln>
              <a:noFill/>
            </a:ln>
            <a:effectLst/>
          </c:spPr>
          <c:invertIfNegative val="0"/>
          <c:cat>
            <c:strRef>
              <c:f>'Salesperson Productivity'!$A$5:$A$20</c:f>
              <c:strCache>
                <c:ptCount val="15"/>
                <c:pt idx="0">
                  <c:v>F. Müller</c:v>
                </c:pt>
                <c:pt idx="1">
                  <c:v>J. Njeri</c:v>
                </c:pt>
                <c:pt idx="2">
                  <c:v>M. Rossi</c:v>
                </c:pt>
                <c:pt idx="3">
                  <c:v>B. Chen</c:v>
                </c:pt>
                <c:pt idx="4">
                  <c:v>L. Okafor</c:v>
                </c:pt>
                <c:pt idx="5">
                  <c:v>A. Patel</c:v>
                </c:pt>
                <c:pt idx="6">
                  <c:v>H. Kim</c:v>
                </c:pt>
                <c:pt idx="7">
                  <c:v>K. Singh</c:v>
                </c:pt>
                <c:pt idx="8">
                  <c:v>I. Johnson</c:v>
                </c:pt>
                <c:pt idx="9">
                  <c:v>D. Smith</c:v>
                </c:pt>
                <c:pt idx="10">
                  <c:v>O. Wang</c:v>
                </c:pt>
                <c:pt idx="11">
                  <c:v>C. Otieno</c:v>
                </c:pt>
                <c:pt idx="12">
                  <c:v>E. Garcia</c:v>
                </c:pt>
                <c:pt idx="13">
                  <c:v>N. Brown</c:v>
                </c:pt>
                <c:pt idx="14">
                  <c:v>G. Dubois</c:v>
                </c:pt>
              </c:strCache>
            </c:strRef>
          </c:cat>
          <c:val>
            <c:numRef>
              <c:f>'Salesperson Productivity'!$B$5:$B$20</c:f>
              <c:numCache>
                <c:formatCode>General</c:formatCode>
                <c:ptCount val="15"/>
                <c:pt idx="0">
                  <c:v>900169.83999999985</c:v>
                </c:pt>
                <c:pt idx="1">
                  <c:v>928770.27999999991</c:v>
                </c:pt>
                <c:pt idx="2">
                  <c:v>1107970.3999999999</c:v>
                </c:pt>
                <c:pt idx="3">
                  <c:v>962924.38999999978</c:v>
                </c:pt>
                <c:pt idx="4">
                  <c:v>955289.38</c:v>
                </c:pt>
                <c:pt idx="5">
                  <c:v>1001397.02</c:v>
                </c:pt>
                <c:pt idx="6">
                  <c:v>824251.17</c:v>
                </c:pt>
                <c:pt idx="7">
                  <c:v>1018930.3800000002</c:v>
                </c:pt>
                <c:pt idx="8">
                  <c:v>626077.70000000007</c:v>
                </c:pt>
                <c:pt idx="9">
                  <c:v>645084.43999999983</c:v>
                </c:pt>
                <c:pt idx="10">
                  <c:v>758241.6100000001</c:v>
                </c:pt>
                <c:pt idx="11">
                  <c:v>818316.14</c:v>
                </c:pt>
                <c:pt idx="12">
                  <c:v>605057.20000000007</c:v>
                </c:pt>
                <c:pt idx="13">
                  <c:v>435773.7699999999</c:v>
                </c:pt>
                <c:pt idx="14">
                  <c:v>571314.68000000005</c:v>
                </c:pt>
              </c:numCache>
            </c:numRef>
          </c:val>
          <c:extLst>
            <c:ext xmlns:c16="http://schemas.microsoft.com/office/drawing/2014/chart" uri="{C3380CC4-5D6E-409C-BE32-E72D297353CC}">
              <c16:uniqueId val="{00000000-B5BE-4EDB-BF0E-2A57B71DE70B}"/>
            </c:ext>
          </c:extLst>
        </c:ser>
        <c:ser>
          <c:idx val="2"/>
          <c:order val="2"/>
          <c:tx>
            <c:strRef>
              <c:f>'Salesperson Productivity'!$D$4</c:f>
              <c:strCache>
                <c:ptCount val="1"/>
                <c:pt idx="0">
                  <c:v>Sum of GrossProfit</c:v>
                </c:pt>
              </c:strCache>
            </c:strRef>
          </c:tx>
          <c:spPr>
            <a:solidFill>
              <a:schemeClr val="accent3"/>
            </a:solidFill>
            <a:ln>
              <a:noFill/>
            </a:ln>
            <a:effectLst/>
          </c:spPr>
          <c:invertIfNegative val="0"/>
          <c:cat>
            <c:strRef>
              <c:f>'Salesperson Productivity'!$A$5:$A$20</c:f>
              <c:strCache>
                <c:ptCount val="15"/>
                <c:pt idx="0">
                  <c:v>F. Müller</c:v>
                </c:pt>
                <c:pt idx="1">
                  <c:v>J. Njeri</c:v>
                </c:pt>
                <c:pt idx="2">
                  <c:v>M. Rossi</c:v>
                </c:pt>
                <c:pt idx="3">
                  <c:v>B. Chen</c:v>
                </c:pt>
                <c:pt idx="4">
                  <c:v>L. Okafor</c:v>
                </c:pt>
                <c:pt idx="5">
                  <c:v>A. Patel</c:v>
                </c:pt>
                <c:pt idx="6">
                  <c:v>H. Kim</c:v>
                </c:pt>
                <c:pt idx="7">
                  <c:v>K. Singh</c:v>
                </c:pt>
                <c:pt idx="8">
                  <c:v>I. Johnson</c:v>
                </c:pt>
                <c:pt idx="9">
                  <c:v>D. Smith</c:v>
                </c:pt>
                <c:pt idx="10">
                  <c:v>O. Wang</c:v>
                </c:pt>
                <c:pt idx="11">
                  <c:v>C. Otieno</c:v>
                </c:pt>
                <c:pt idx="12">
                  <c:v>E. Garcia</c:v>
                </c:pt>
                <c:pt idx="13">
                  <c:v>N. Brown</c:v>
                </c:pt>
                <c:pt idx="14">
                  <c:v>G. Dubois</c:v>
                </c:pt>
              </c:strCache>
            </c:strRef>
          </c:cat>
          <c:val>
            <c:numRef>
              <c:f>'Salesperson Productivity'!$D$5:$D$20</c:f>
              <c:numCache>
                <c:formatCode>General</c:formatCode>
                <c:ptCount val="15"/>
                <c:pt idx="0">
                  <c:v>339265.68</c:v>
                </c:pt>
                <c:pt idx="1">
                  <c:v>399498.72999999986</c:v>
                </c:pt>
                <c:pt idx="2">
                  <c:v>444328.47</c:v>
                </c:pt>
                <c:pt idx="3">
                  <c:v>416711.1999999999</c:v>
                </c:pt>
                <c:pt idx="4">
                  <c:v>371967.41000000003</c:v>
                </c:pt>
                <c:pt idx="5">
                  <c:v>406181.96999999991</c:v>
                </c:pt>
                <c:pt idx="6">
                  <c:v>263703.67999999993</c:v>
                </c:pt>
                <c:pt idx="7">
                  <c:v>414344.52000000008</c:v>
                </c:pt>
                <c:pt idx="8">
                  <c:v>224933.72</c:v>
                </c:pt>
                <c:pt idx="9">
                  <c:v>219341.17999999996</c:v>
                </c:pt>
                <c:pt idx="10">
                  <c:v>295736.15000000002</c:v>
                </c:pt>
                <c:pt idx="11">
                  <c:v>358899.3</c:v>
                </c:pt>
                <c:pt idx="12">
                  <c:v>266192.09999999998</c:v>
                </c:pt>
                <c:pt idx="13">
                  <c:v>158095.09000000003</c:v>
                </c:pt>
                <c:pt idx="14">
                  <c:v>233102.83999999994</c:v>
                </c:pt>
              </c:numCache>
            </c:numRef>
          </c:val>
          <c:extLst>
            <c:ext xmlns:c16="http://schemas.microsoft.com/office/drawing/2014/chart" uri="{C3380CC4-5D6E-409C-BE32-E72D297353CC}">
              <c16:uniqueId val="{00000002-B5BE-4EDB-BF0E-2A57B71DE70B}"/>
            </c:ext>
          </c:extLst>
        </c:ser>
        <c:dLbls>
          <c:showLegendKey val="0"/>
          <c:showVal val="0"/>
          <c:showCatName val="0"/>
          <c:showSerName val="0"/>
          <c:showPercent val="0"/>
          <c:showBubbleSize val="0"/>
        </c:dLbls>
        <c:gapWidth val="219"/>
        <c:overlap val="-27"/>
        <c:axId val="652265672"/>
        <c:axId val="1056708448"/>
      </c:barChart>
      <c:barChart>
        <c:barDir val="col"/>
        <c:grouping val="clustered"/>
        <c:varyColors val="0"/>
        <c:ser>
          <c:idx val="1"/>
          <c:order val="1"/>
          <c:tx>
            <c:strRef>
              <c:f>'Salesperson Productivity'!$C$4</c:f>
              <c:strCache>
                <c:ptCount val="1"/>
                <c:pt idx="0">
                  <c:v>Count of OrderID</c:v>
                </c:pt>
              </c:strCache>
            </c:strRef>
          </c:tx>
          <c:spPr>
            <a:solidFill>
              <a:schemeClr val="accent2"/>
            </a:solidFill>
            <a:ln>
              <a:noFill/>
            </a:ln>
            <a:effectLst/>
          </c:spPr>
          <c:invertIfNegative val="0"/>
          <c:cat>
            <c:strRef>
              <c:f>'Salesperson Productivity'!$A$5:$A$20</c:f>
              <c:strCache>
                <c:ptCount val="15"/>
                <c:pt idx="0">
                  <c:v>F. Müller</c:v>
                </c:pt>
                <c:pt idx="1">
                  <c:v>J. Njeri</c:v>
                </c:pt>
                <c:pt idx="2">
                  <c:v>M. Rossi</c:v>
                </c:pt>
                <c:pt idx="3">
                  <c:v>B. Chen</c:v>
                </c:pt>
                <c:pt idx="4">
                  <c:v>L. Okafor</c:v>
                </c:pt>
                <c:pt idx="5">
                  <c:v>A. Patel</c:v>
                </c:pt>
                <c:pt idx="6">
                  <c:v>H. Kim</c:v>
                </c:pt>
                <c:pt idx="7">
                  <c:v>K. Singh</c:v>
                </c:pt>
                <c:pt idx="8">
                  <c:v>I. Johnson</c:v>
                </c:pt>
                <c:pt idx="9">
                  <c:v>D. Smith</c:v>
                </c:pt>
                <c:pt idx="10">
                  <c:v>O. Wang</c:v>
                </c:pt>
                <c:pt idx="11">
                  <c:v>C. Otieno</c:v>
                </c:pt>
                <c:pt idx="12">
                  <c:v>E. Garcia</c:v>
                </c:pt>
                <c:pt idx="13">
                  <c:v>N. Brown</c:v>
                </c:pt>
                <c:pt idx="14">
                  <c:v>G. Dubois</c:v>
                </c:pt>
              </c:strCache>
            </c:strRef>
          </c:cat>
          <c:val>
            <c:numRef>
              <c:f>'Salesperson Productivity'!$C$5:$C$20</c:f>
              <c:numCache>
                <c:formatCode>General</c:formatCode>
                <c:ptCount val="15"/>
                <c:pt idx="0">
                  <c:v>51</c:v>
                </c:pt>
                <c:pt idx="1">
                  <c:v>50</c:v>
                </c:pt>
                <c:pt idx="2">
                  <c:v>48</c:v>
                </c:pt>
                <c:pt idx="3">
                  <c:v>47</c:v>
                </c:pt>
                <c:pt idx="4">
                  <c:v>46</c:v>
                </c:pt>
                <c:pt idx="5">
                  <c:v>46</c:v>
                </c:pt>
                <c:pt idx="6">
                  <c:v>45</c:v>
                </c:pt>
                <c:pt idx="7">
                  <c:v>44</c:v>
                </c:pt>
                <c:pt idx="8">
                  <c:v>38</c:v>
                </c:pt>
                <c:pt idx="9">
                  <c:v>38</c:v>
                </c:pt>
                <c:pt idx="10">
                  <c:v>37</c:v>
                </c:pt>
                <c:pt idx="11">
                  <c:v>37</c:v>
                </c:pt>
                <c:pt idx="12">
                  <c:v>34</c:v>
                </c:pt>
                <c:pt idx="13">
                  <c:v>32</c:v>
                </c:pt>
                <c:pt idx="14">
                  <c:v>30</c:v>
                </c:pt>
              </c:numCache>
            </c:numRef>
          </c:val>
          <c:extLst>
            <c:ext xmlns:c16="http://schemas.microsoft.com/office/drawing/2014/chart" uri="{C3380CC4-5D6E-409C-BE32-E72D297353CC}">
              <c16:uniqueId val="{00000001-B5BE-4EDB-BF0E-2A57B71DE70B}"/>
            </c:ext>
          </c:extLst>
        </c:ser>
        <c:dLbls>
          <c:showLegendKey val="0"/>
          <c:showVal val="0"/>
          <c:showCatName val="0"/>
          <c:showSerName val="0"/>
          <c:showPercent val="0"/>
          <c:showBubbleSize val="0"/>
        </c:dLbls>
        <c:gapWidth val="444"/>
        <c:overlap val="-27"/>
        <c:axId val="1198264592"/>
        <c:axId val="1048218168"/>
      </c:barChart>
      <c:catAx>
        <c:axId val="65226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08448"/>
        <c:crosses val="autoZero"/>
        <c:auto val="1"/>
        <c:lblAlgn val="ctr"/>
        <c:lblOffset val="100"/>
        <c:noMultiLvlLbl val="0"/>
      </c:catAx>
      <c:valAx>
        <c:axId val="105670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265672"/>
        <c:crosses val="autoZero"/>
        <c:crossBetween val="between"/>
      </c:valAx>
      <c:valAx>
        <c:axId val="10482181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64592"/>
        <c:crosses val="max"/>
        <c:crossBetween val="between"/>
      </c:valAx>
      <c:catAx>
        <c:axId val="1198264592"/>
        <c:scaling>
          <c:orientation val="minMax"/>
        </c:scaling>
        <c:delete val="1"/>
        <c:axPos val="b"/>
        <c:numFmt formatCode="General" sourceLinked="1"/>
        <c:majorTickMark val="out"/>
        <c:minorTickMark val="none"/>
        <c:tickLblPos val="nextTo"/>
        <c:crossAx val="10482181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 Channel 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Channel Analysis'!$B$5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90-4687-970C-20328251E9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90-4687-970C-20328251E9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90-4687-970C-20328251E9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90-4687-970C-20328251E9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90-4687-970C-20328251E968}"/>
              </c:ext>
            </c:extLst>
          </c:dPt>
          <c:cat>
            <c:strRef>
              <c:f>' Channel Analysis'!$A$6:$A$11</c:f>
              <c:strCache>
                <c:ptCount val="5"/>
                <c:pt idx="0">
                  <c:v>Direct</c:v>
                </c:pt>
                <c:pt idx="1">
                  <c:v>Online</c:v>
                </c:pt>
                <c:pt idx="2">
                  <c:v>Marketplace</c:v>
                </c:pt>
                <c:pt idx="3">
                  <c:v>Distributor</c:v>
                </c:pt>
                <c:pt idx="4">
                  <c:v>Retail</c:v>
                </c:pt>
              </c:strCache>
            </c:strRef>
          </c:cat>
          <c:val>
            <c:numRef>
              <c:f>' Channel Analysis'!$B$6:$B$11</c:f>
              <c:numCache>
                <c:formatCode>0.00%</c:formatCode>
                <c:ptCount val="5"/>
                <c:pt idx="0">
                  <c:v>0.24715077262015595</c:v>
                </c:pt>
                <c:pt idx="1">
                  <c:v>0.20251860188635448</c:v>
                </c:pt>
                <c:pt idx="2">
                  <c:v>0.18805830857583195</c:v>
                </c:pt>
                <c:pt idx="3">
                  <c:v>0.18668923910292867</c:v>
                </c:pt>
                <c:pt idx="4">
                  <c:v>0.17558307781472884</c:v>
                </c:pt>
              </c:numCache>
            </c:numRef>
          </c:val>
          <c:extLst>
            <c:ext xmlns:c16="http://schemas.microsoft.com/office/drawing/2014/chart" uri="{C3380CC4-5D6E-409C-BE32-E72D297353CC}">
              <c16:uniqueId val="{00000000-CC5E-4ADC-A2B4-FD9B400B8F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 Channel Analysis!PivotTable9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Channel Analysis'!$B$20:$B$21</c:f>
              <c:strCache>
                <c:ptCount val="1"/>
                <c:pt idx="0">
                  <c:v>Direct</c:v>
                </c:pt>
              </c:strCache>
            </c:strRef>
          </c:tx>
          <c:spPr>
            <a:solidFill>
              <a:schemeClr val="accent1"/>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Analysis'!$B$22:$B$26</c:f>
              <c:numCache>
                <c:formatCode>General</c:formatCode>
                <c:ptCount val="4"/>
                <c:pt idx="0">
                  <c:v>731022.85000000009</c:v>
                </c:pt>
                <c:pt idx="1">
                  <c:v>976009.45000000019</c:v>
                </c:pt>
                <c:pt idx="2">
                  <c:v>849408.59999999986</c:v>
                </c:pt>
                <c:pt idx="3">
                  <c:v>522213.66000000003</c:v>
                </c:pt>
              </c:numCache>
            </c:numRef>
          </c:val>
          <c:extLst>
            <c:ext xmlns:c16="http://schemas.microsoft.com/office/drawing/2014/chart" uri="{C3380CC4-5D6E-409C-BE32-E72D297353CC}">
              <c16:uniqueId val="{00000000-2A46-462F-B671-160CFA325380}"/>
            </c:ext>
          </c:extLst>
        </c:ser>
        <c:ser>
          <c:idx val="1"/>
          <c:order val="1"/>
          <c:tx>
            <c:strRef>
              <c:f>' Channel Analysis'!$C$20:$C$21</c:f>
              <c:strCache>
                <c:ptCount val="1"/>
                <c:pt idx="0">
                  <c:v>Online</c:v>
                </c:pt>
              </c:strCache>
            </c:strRef>
          </c:tx>
          <c:spPr>
            <a:solidFill>
              <a:schemeClr val="accent2"/>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Analysis'!$C$22:$C$26</c:f>
              <c:numCache>
                <c:formatCode>General</c:formatCode>
                <c:ptCount val="4"/>
                <c:pt idx="0">
                  <c:v>508934.85</c:v>
                </c:pt>
                <c:pt idx="1">
                  <c:v>684979.99000000011</c:v>
                </c:pt>
                <c:pt idx="2">
                  <c:v>795484.44</c:v>
                </c:pt>
                <c:pt idx="3">
                  <c:v>533290.85999999987</c:v>
                </c:pt>
              </c:numCache>
            </c:numRef>
          </c:val>
          <c:extLst>
            <c:ext xmlns:c16="http://schemas.microsoft.com/office/drawing/2014/chart" uri="{C3380CC4-5D6E-409C-BE32-E72D297353CC}">
              <c16:uniqueId val="{00000001-2A46-462F-B671-160CFA325380}"/>
            </c:ext>
          </c:extLst>
        </c:ser>
        <c:ser>
          <c:idx val="2"/>
          <c:order val="2"/>
          <c:tx>
            <c:strRef>
              <c:f>' Channel Analysis'!$D$20:$D$21</c:f>
              <c:strCache>
                <c:ptCount val="1"/>
                <c:pt idx="0">
                  <c:v>Marketplace</c:v>
                </c:pt>
              </c:strCache>
            </c:strRef>
          </c:tx>
          <c:spPr>
            <a:solidFill>
              <a:schemeClr val="accent3"/>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Analysis'!$D$22:$D$26</c:f>
              <c:numCache>
                <c:formatCode>General</c:formatCode>
                <c:ptCount val="4"/>
                <c:pt idx="0">
                  <c:v>661024.28</c:v>
                </c:pt>
                <c:pt idx="1">
                  <c:v>652402.38999999978</c:v>
                </c:pt>
                <c:pt idx="2">
                  <c:v>417523.48000000004</c:v>
                </c:pt>
                <c:pt idx="3">
                  <c:v>611614.12</c:v>
                </c:pt>
              </c:numCache>
            </c:numRef>
          </c:val>
          <c:extLst>
            <c:ext xmlns:c16="http://schemas.microsoft.com/office/drawing/2014/chart" uri="{C3380CC4-5D6E-409C-BE32-E72D297353CC}">
              <c16:uniqueId val="{00000002-2A46-462F-B671-160CFA325380}"/>
            </c:ext>
          </c:extLst>
        </c:ser>
        <c:ser>
          <c:idx val="3"/>
          <c:order val="3"/>
          <c:tx>
            <c:strRef>
              <c:f>' Channel Analysis'!$E$20:$E$21</c:f>
              <c:strCache>
                <c:ptCount val="1"/>
                <c:pt idx="0">
                  <c:v>Distributor</c:v>
                </c:pt>
              </c:strCache>
            </c:strRef>
          </c:tx>
          <c:spPr>
            <a:solidFill>
              <a:schemeClr val="accent4"/>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Analysis'!$E$22:$E$26</c:f>
              <c:numCache>
                <c:formatCode>General</c:formatCode>
                <c:ptCount val="4"/>
                <c:pt idx="0">
                  <c:v>593382.07999999984</c:v>
                </c:pt>
                <c:pt idx="1">
                  <c:v>352562.92</c:v>
                </c:pt>
                <c:pt idx="2">
                  <c:v>654893.74</c:v>
                </c:pt>
                <c:pt idx="3">
                  <c:v>724671.6</c:v>
                </c:pt>
              </c:numCache>
            </c:numRef>
          </c:val>
          <c:extLst>
            <c:ext xmlns:c16="http://schemas.microsoft.com/office/drawing/2014/chart" uri="{C3380CC4-5D6E-409C-BE32-E72D297353CC}">
              <c16:uniqueId val="{00000003-2A46-462F-B671-160CFA325380}"/>
            </c:ext>
          </c:extLst>
        </c:ser>
        <c:ser>
          <c:idx val="4"/>
          <c:order val="4"/>
          <c:tx>
            <c:strRef>
              <c:f>' Channel Analysis'!$F$20:$F$21</c:f>
              <c:strCache>
                <c:ptCount val="1"/>
                <c:pt idx="0">
                  <c:v>Retail</c:v>
                </c:pt>
              </c:strCache>
            </c:strRef>
          </c:tx>
          <c:spPr>
            <a:solidFill>
              <a:schemeClr val="accent5"/>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Analysis'!$F$22:$F$26</c:f>
              <c:numCache>
                <c:formatCode>General</c:formatCode>
                <c:ptCount val="4"/>
                <c:pt idx="0">
                  <c:v>749927.79</c:v>
                </c:pt>
                <c:pt idx="1">
                  <c:v>500396.72000000009</c:v>
                </c:pt>
                <c:pt idx="2">
                  <c:v>354591.97999999986</c:v>
                </c:pt>
                <c:pt idx="3">
                  <c:v>582249.00999999978</c:v>
                </c:pt>
              </c:numCache>
            </c:numRef>
          </c:val>
          <c:extLst>
            <c:ext xmlns:c16="http://schemas.microsoft.com/office/drawing/2014/chart" uri="{C3380CC4-5D6E-409C-BE32-E72D297353CC}">
              <c16:uniqueId val="{00000004-2A46-462F-B671-160CFA325380}"/>
            </c:ext>
          </c:extLst>
        </c:ser>
        <c:dLbls>
          <c:showLegendKey val="0"/>
          <c:showVal val="0"/>
          <c:showCatName val="0"/>
          <c:showSerName val="0"/>
          <c:showPercent val="0"/>
          <c:showBubbleSize val="0"/>
        </c:dLbls>
        <c:gapWidth val="150"/>
        <c:overlap val="100"/>
        <c:axId val="1056706648"/>
        <c:axId val="1056709528"/>
      </c:barChart>
      <c:catAx>
        <c:axId val="1056706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09528"/>
        <c:crosses val="autoZero"/>
        <c:auto val="1"/>
        <c:lblAlgn val="ctr"/>
        <c:lblOffset val="100"/>
        <c:noMultiLvlLbl val="0"/>
      </c:catAx>
      <c:valAx>
        <c:axId val="1056709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06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 Channel Analysis!PivotTable9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Channel Analysis'!$B$20:$B$21</c:f>
              <c:strCache>
                <c:ptCount val="1"/>
                <c:pt idx="0">
                  <c:v>Direct</c:v>
                </c:pt>
              </c:strCache>
            </c:strRef>
          </c:tx>
          <c:spPr>
            <a:solidFill>
              <a:schemeClr val="accent1"/>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Analysis'!$B$22:$B$26</c:f>
              <c:numCache>
                <c:formatCode>General</c:formatCode>
                <c:ptCount val="4"/>
                <c:pt idx="0">
                  <c:v>731022.85000000009</c:v>
                </c:pt>
                <c:pt idx="1">
                  <c:v>976009.45000000019</c:v>
                </c:pt>
                <c:pt idx="2">
                  <c:v>849408.59999999986</c:v>
                </c:pt>
                <c:pt idx="3">
                  <c:v>522213.66000000003</c:v>
                </c:pt>
              </c:numCache>
            </c:numRef>
          </c:val>
          <c:extLst>
            <c:ext xmlns:c16="http://schemas.microsoft.com/office/drawing/2014/chart" uri="{C3380CC4-5D6E-409C-BE32-E72D297353CC}">
              <c16:uniqueId val="{00000000-5A4F-43F4-B8DF-9625D0B76080}"/>
            </c:ext>
          </c:extLst>
        </c:ser>
        <c:ser>
          <c:idx val="1"/>
          <c:order val="1"/>
          <c:tx>
            <c:strRef>
              <c:f>' Channel Analysis'!$C$20:$C$21</c:f>
              <c:strCache>
                <c:ptCount val="1"/>
                <c:pt idx="0">
                  <c:v>Online</c:v>
                </c:pt>
              </c:strCache>
            </c:strRef>
          </c:tx>
          <c:spPr>
            <a:solidFill>
              <a:schemeClr val="accent2"/>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Analysis'!$C$22:$C$26</c:f>
              <c:numCache>
                <c:formatCode>General</c:formatCode>
                <c:ptCount val="4"/>
                <c:pt idx="0">
                  <c:v>508934.85</c:v>
                </c:pt>
                <c:pt idx="1">
                  <c:v>684979.99000000011</c:v>
                </c:pt>
                <c:pt idx="2">
                  <c:v>795484.44</c:v>
                </c:pt>
                <c:pt idx="3">
                  <c:v>533290.85999999987</c:v>
                </c:pt>
              </c:numCache>
            </c:numRef>
          </c:val>
          <c:extLst>
            <c:ext xmlns:c16="http://schemas.microsoft.com/office/drawing/2014/chart" uri="{C3380CC4-5D6E-409C-BE32-E72D297353CC}">
              <c16:uniqueId val="{00000001-5A4F-43F4-B8DF-9625D0B76080}"/>
            </c:ext>
          </c:extLst>
        </c:ser>
        <c:ser>
          <c:idx val="2"/>
          <c:order val="2"/>
          <c:tx>
            <c:strRef>
              <c:f>' Channel Analysis'!$D$20:$D$21</c:f>
              <c:strCache>
                <c:ptCount val="1"/>
                <c:pt idx="0">
                  <c:v>Marketplace</c:v>
                </c:pt>
              </c:strCache>
            </c:strRef>
          </c:tx>
          <c:spPr>
            <a:solidFill>
              <a:schemeClr val="accent3"/>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Analysis'!$D$22:$D$26</c:f>
              <c:numCache>
                <c:formatCode>General</c:formatCode>
                <c:ptCount val="4"/>
                <c:pt idx="0">
                  <c:v>661024.28</c:v>
                </c:pt>
                <c:pt idx="1">
                  <c:v>652402.38999999978</c:v>
                </c:pt>
                <c:pt idx="2">
                  <c:v>417523.48000000004</c:v>
                </c:pt>
                <c:pt idx="3">
                  <c:v>611614.12</c:v>
                </c:pt>
              </c:numCache>
            </c:numRef>
          </c:val>
          <c:extLst>
            <c:ext xmlns:c16="http://schemas.microsoft.com/office/drawing/2014/chart" uri="{C3380CC4-5D6E-409C-BE32-E72D297353CC}">
              <c16:uniqueId val="{00000002-5A4F-43F4-B8DF-9625D0B76080}"/>
            </c:ext>
          </c:extLst>
        </c:ser>
        <c:ser>
          <c:idx val="3"/>
          <c:order val="3"/>
          <c:tx>
            <c:strRef>
              <c:f>' Channel Analysis'!$E$20:$E$21</c:f>
              <c:strCache>
                <c:ptCount val="1"/>
                <c:pt idx="0">
                  <c:v>Distributor</c:v>
                </c:pt>
              </c:strCache>
            </c:strRef>
          </c:tx>
          <c:spPr>
            <a:solidFill>
              <a:schemeClr val="accent4"/>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Analysis'!$E$22:$E$26</c:f>
              <c:numCache>
                <c:formatCode>General</c:formatCode>
                <c:ptCount val="4"/>
                <c:pt idx="0">
                  <c:v>593382.07999999984</c:v>
                </c:pt>
                <c:pt idx="1">
                  <c:v>352562.92</c:v>
                </c:pt>
                <c:pt idx="2">
                  <c:v>654893.74</c:v>
                </c:pt>
                <c:pt idx="3">
                  <c:v>724671.6</c:v>
                </c:pt>
              </c:numCache>
            </c:numRef>
          </c:val>
          <c:extLst>
            <c:ext xmlns:c16="http://schemas.microsoft.com/office/drawing/2014/chart" uri="{C3380CC4-5D6E-409C-BE32-E72D297353CC}">
              <c16:uniqueId val="{00000003-5A4F-43F4-B8DF-9625D0B76080}"/>
            </c:ext>
          </c:extLst>
        </c:ser>
        <c:ser>
          <c:idx val="4"/>
          <c:order val="4"/>
          <c:tx>
            <c:strRef>
              <c:f>' Channel Analysis'!$F$20:$F$21</c:f>
              <c:strCache>
                <c:ptCount val="1"/>
                <c:pt idx="0">
                  <c:v>Retail</c:v>
                </c:pt>
              </c:strCache>
            </c:strRef>
          </c:tx>
          <c:spPr>
            <a:solidFill>
              <a:schemeClr val="accent5"/>
            </a:solidFill>
            <a:ln>
              <a:noFill/>
            </a:ln>
            <a:effectLst/>
          </c:spPr>
          <c:invertIfNegative val="0"/>
          <c:cat>
            <c:strRef>
              <c:f>' Channel Analysis'!$A$22:$A$26</c:f>
              <c:strCache>
                <c:ptCount val="4"/>
                <c:pt idx="0">
                  <c:v>Asia</c:v>
                </c:pt>
                <c:pt idx="1">
                  <c:v>Europe</c:v>
                </c:pt>
                <c:pt idx="2">
                  <c:v>Americas</c:v>
                </c:pt>
                <c:pt idx="3">
                  <c:v>Africa</c:v>
                </c:pt>
              </c:strCache>
            </c:strRef>
          </c:cat>
          <c:val>
            <c:numRef>
              <c:f>' Channel Analysis'!$F$22:$F$26</c:f>
              <c:numCache>
                <c:formatCode>General</c:formatCode>
                <c:ptCount val="4"/>
                <c:pt idx="0">
                  <c:v>749927.79</c:v>
                </c:pt>
                <c:pt idx="1">
                  <c:v>500396.72000000009</c:v>
                </c:pt>
                <c:pt idx="2">
                  <c:v>354591.97999999986</c:v>
                </c:pt>
                <c:pt idx="3">
                  <c:v>582249.00999999978</c:v>
                </c:pt>
              </c:numCache>
            </c:numRef>
          </c:val>
          <c:extLst>
            <c:ext xmlns:c16="http://schemas.microsoft.com/office/drawing/2014/chart" uri="{C3380CC4-5D6E-409C-BE32-E72D297353CC}">
              <c16:uniqueId val="{00000004-5A4F-43F4-B8DF-9625D0B76080}"/>
            </c:ext>
          </c:extLst>
        </c:ser>
        <c:dLbls>
          <c:showLegendKey val="0"/>
          <c:showVal val="0"/>
          <c:showCatName val="0"/>
          <c:showSerName val="0"/>
          <c:showPercent val="0"/>
          <c:showBubbleSize val="0"/>
        </c:dLbls>
        <c:gapWidth val="150"/>
        <c:overlap val="100"/>
        <c:axId val="1201985144"/>
        <c:axId val="1201985504"/>
      </c:barChart>
      <c:catAx>
        <c:axId val="1201985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85504"/>
        <c:crosses val="autoZero"/>
        <c:auto val="1"/>
        <c:lblAlgn val="ctr"/>
        <c:lblOffset val="100"/>
        <c:noMultiLvlLbl val="0"/>
      </c:catAx>
      <c:valAx>
        <c:axId val="120198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85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Brief-WK1 (2).xlsx] Channel Analysis!PivotTable11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Channel Analysis'!$B$55:$B$56</c:f>
              <c:strCache>
                <c:ptCount val="1"/>
                <c:pt idx="0">
                  <c:v>Direct</c:v>
                </c:pt>
              </c:strCache>
            </c:strRef>
          </c:tx>
          <c:spPr>
            <a:ln w="28575" cap="rnd">
              <a:solidFill>
                <a:schemeClr val="accent1"/>
              </a:solidFill>
              <a:round/>
            </a:ln>
            <a:effectLst/>
          </c:spPr>
          <c:marker>
            <c:symbol val="none"/>
          </c:marker>
          <c:cat>
            <c:multiLvlStrRef>
              <c:f>' Channel Analysis'!$A$57:$A$69</c:f>
              <c:multiLvlStrCache>
                <c:ptCount val="11"/>
                <c:lvl>
                  <c:pt idx="0">
                    <c:v>Q1-2023</c:v>
                  </c:pt>
                  <c:pt idx="1">
                    <c:v>Q1-2024</c:v>
                  </c:pt>
                  <c:pt idx="2">
                    <c:v>Q1-2025</c:v>
                  </c:pt>
                  <c:pt idx="3">
                    <c:v>Q2-2023</c:v>
                  </c:pt>
                  <c:pt idx="4">
                    <c:v>Q2-2024</c:v>
                  </c:pt>
                  <c:pt idx="5">
                    <c:v>Q2-2025</c:v>
                  </c:pt>
                  <c:pt idx="6">
                    <c:v>Q3-2023</c:v>
                  </c:pt>
                  <c:pt idx="7">
                    <c:v>Q3-2024</c:v>
                  </c:pt>
                  <c:pt idx="8">
                    <c:v>Q3-2025</c:v>
                  </c:pt>
                  <c:pt idx="9">
                    <c:v>Q4-2023</c:v>
                  </c:pt>
                  <c:pt idx="10">
                    <c:v>Q4-2024</c:v>
                  </c:pt>
                </c:lvl>
                <c:lvl>
                  <c:pt idx="0">
                    <c:v>Group1</c:v>
                  </c:pt>
                </c:lvl>
              </c:multiLvlStrCache>
            </c:multiLvlStrRef>
          </c:cat>
          <c:val>
            <c:numRef>
              <c:f>' Channel Analysis'!$B$57:$B$69</c:f>
              <c:numCache>
                <c:formatCode>General</c:formatCode>
                <c:ptCount val="11"/>
                <c:pt idx="0">
                  <c:v>8221.84</c:v>
                </c:pt>
                <c:pt idx="1">
                  <c:v>228079.8</c:v>
                </c:pt>
                <c:pt idx="2">
                  <c:v>142798.88</c:v>
                </c:pt>
                <c:pt idx="3">
                  <c:v>50961.170000000006</c:v>
                </c:pt>
                <c:pt idx="4">
                  <c:v>81209.36</c:v>
                </c:pt>
                <c:pt idx="5">
                  <c:v>30086</c:v>
                </c:pt>
                <c:pt idx="7">
                  <c:v>71399.53</c:v>
                </c:pt>
                <c:pt idx="8">
                  <c:v>15672.45</c:v>
                </c:pt>
                <c:pt idx="9">
                  <c:v>190776.11000000002</c:v>
                </c:pt>
                <c:pt idx="10">
                  <c:v>30203.46</c:v>
                </c:pt>
              </c:numCache>
            </c:numRef>
          </c:val>
          <c:smooth val="0"/>
          <c:extLst>
            <c:ext xmlns:c16="http://schemas.microsoft.com/office/drawing/2014/chart" uri="{C3380CC4-5D6E-409C-BE32-E72D297353CC}">
              <c16:uniqueId val="{00000000-0AD3-418C-994A-A04CBD7AD6CD}"/>
            </c:ext>
          </c:extLst>
        </c:ser>
        <c:ser>
          <c:idx val="1"/>
          <c:order val="1"/>
          <c:tx>
            <c:strRef>
              <c:f>' Channel Analysis'!$C$55:$C$56</c:f>
              <c:strCache>
                <c:ptCount val="1"/>
                <c:pt idx="0">
                  <c:v>Distributor</c:v>
                </c:pt>
              </c:strCache>
            </c:strRef>
          </c:tx>
          <c:spPr>
            <a:ln w="28575" cap="rnd">
              <a:solidFill>
                <a:schemeClr val="accent2"/>
              </a:solidFill>
              <a:round/>
            </a:ln>
            <a:effectLst/>
          </c:spPr>
          <c:marker>
            <c:symbol val="none"/>
          </c:marker>
          <c:cat>
            <c:multiLvlStrRef>
              <c:f>' Channel Analysis'!$A$57:$A$69</c:f>
              <c:multiLvlStrCache>
                <c:ptCount val="11"/>
                <c:lvl>
                  <c:pt idx="0">
                    <c:v>Q1-2023</c:v>
                  </c:pt>
                  <c:pt idx="1">
                    <c:v>Q1-2024</c:v>
                  </c:pt>
                  <c:pt idx="2">
                    <c:v>Q1-2025</c:v>
                  </c:pt>
                  <c:pt idx="3">
                    <c:v>Q2-2023</c:v>
                  </c:pt>
                  <c:pt idx="4">
                    <c:v>Q2-2024</c:v>
                  </c:pt>
                  <c:pt idx="5">
                    <c:v>Q2-2025</c:v>
                  </c:pt>
                  <c:pt idx="6">
                    <c:v>Q3-2023</c:v>
                  </c:pt>
                  <c:pt idx="7">
                    <c:v>Q3-2024</c:v>
                  </c:pt>
                  <c:pt idx="8">
                    <c:v>Q3-2025</c:v>
                  </c:pt>
                  <c:pt idx="9">
                    <c:v>Q4-2023</c:v>
                  </c:pt>
                  <c:pt idx="10">
                    <c:v>Q4-2024</c:v>
                  </c:pt>
                </c:lvl>
                <c:lvl>
                  <c:pt idx="0">
                    <c:v>Group1</c:v>
                  </c:pt>
                </c:lvl>
              </c:multiLvlStrCache>
            </c:multiLvlStrRef>
          </c:cat>
          <c:val>
            <c:numRef>
              <c:f>' Channel Analysis'!$C$57:$C$69</c:f>
              <c:numCache>
                <c:formatCode>General</c:formatCode>
                <c:ptCount val="11"/>
                <c:pt idx="0">
                  <c:v>7159.0499999999993</c:v>
                </c:pt>
                <c:pt idx="1">
                  <c:v>28254.019999999997</c:v>
                </c:pt>
                <c:pt idx="2">
                  <c:v>34297.56</c:v>
                </c:pt>
                <c:pt idx="3">
                  <c:v>124233.82</c:v>
                </c:pt>
                <c:pt idx="5">
                  <c:v>55873.66</c:v>
                </c:pt>
                <c:pt idx="6">
                  <c:v>127892.09</c:v>
                </c:pt>
                <c:pt idx="7">
                  <c:v>113870.92000000001</c:v>
                </c:pt>
                <c:pt idx="8">
                  <c:v>59441.58</c:v>
                </c:pt>
                <c:pt idx="9">
                  <c:v>74532.180000000008</c:v>
                </c:pt>
                <c:pt idx="10">
                  <c:v>29338.86</c:v>
                </c:pt>
              </c:numCache>
            </c:numRef>
          </c:val>
          <c:smooth val="0"/>
          <c:extLst>
            <c:ext xmlns:c16="http://schemas.microsoft.com/office/drawing/2014/chart" uri="{C3380CC4-5D6E-409C-BE32-E72D297353CC}">
              <c16:uniqueId val="{00000001-0AD3-418C-994A-A04CBD7AD6CD}"/>
            </c:ext>
          </c:extLst>
        </c:ser>
        <c:ser>
          <c:idx val="2"/>
          <c:order val="2"/>
          <c:tx>
            <c:strRef>
              <c:f>' Channel Analysis'!$D$55:$D$56</c:f>
              <c:strCache>
                <c:ptCount val="1"/>
                <c:pt idx="0">
                  <c:v>Marketplace</c:v>
                </c:pt>
              </c:strCache>
            </c:strRef>
          </c:tx>
          <c:spPr>
            <a:ln w="28575" cap="rnd">
              <a:solidFill>
                <a:schemeClr val="accent3"/>
              </a:solidFill>
              <a:round/>
            </a:ln>
            <a:effectLst/>
          </c:spPr>
          <c:marker>
            <c:symbol val="none"/>
          </c:marker>
          <c:cat>
            <c:multiLvlStrRef>
              <c:f>' Channel Analysis'!$A$57:$A$69</c:f>
              <c:multiLvlStrCache>
                <c:ptCount val="11"/>
                <c:lvl>
                  <c:pt idx="0">
                    <c:v>Q1-2023</c:v>
                  </c:pt>
                  <c:pt idx="1">
                    <c:v>Q1-2024</c:v>
                  </c:pt>
                  <c:pt idx="2">
                    <c:v>Q1-2025</c:v>
                  </c:pt>
                  <c:pt idx="3">
                    <c:v>Q2-2023</c:v>
                  </c:pt>
                  <c:pt idx="4">
                    <c:v>Q2-2024</c:v>
                  </c:pt>
                  <c:pt idx="5">
                    <c:v>Q2-2025</c:v>
                  </c:pt>
                  <c:pt idx="6">
                    <c:v>Q3-2023</c:v>
                  </c:pt>
                  <c:pt idx="7">
                    <c:v>Q3-2024</c:v>
                  </c:pt>
                  <c:pt idx="8">
                    <c:v>Q3-2025</c:v>
                  </c:pt>
                  <c:pt idx="9">
                    <c:v>Q4-2023</c:v>
                  </c:pt>
                  <c:pt idx="10">
                    <c:v>Q4-2024</c:v>
                  </c:pt>
                </c:lvl>
                <c:lvl>
                  <c:pt idx="0">
                    <c:v>Group1</c:v>
                  </c:pt>
                </c:lvl>
              </c:multiLvlStrCache>
            </c:multiLvlStrRef>
          </c:cat>
          <c:val>
            <c:numRef>
              <c:f>' Channel Analysis'!$D$57:$D$69</c:f>
              <c:numCache>
                <c:formatCode>General</c:formatCode>
                <c:ptCount val="11"/>
                <c:pt idx="0">
                  <c:v>13257.599999999999</c:v>
                </c:pt>
                <c:pt idx="1">
                  <c:v>46380.619999999995</c:v>
                </c:pt>
                <c:pt idx="2">
                  <c:v>39626.979999999996</c:v>
                </c:pt>
                <c:pt idx="3">
                  <c:v>18922.120000000003</c:v>
                </c:pt>
                <c:pt idx="4">
                  <c:v>28565.41</c:v>
                </c:pt>
                <c:pt idx="5">
                  <c:v>101771.41</c:v>
                </c:pt>
                <c:pt idx="6">
                  <c:v>9609.9399999999987</c:v>
                </c:pt>
                <c:pt idx="7">
                  <c:v>27765.260000000002</c:v>
                </c:pt>
                <c:pt idx="8">
                  <c:v>102507.50999999998</c:v>
                </c:pt>
                <c:pt idx="9">
                  <c:v>29116.629999999997</c:v>
                </c:pt>
              </c:numCache>
            </c:numRef>
          </c:val>
          <c:smooth val="0"/>
          <c:extLst>
            <c:ext xmlns:c16="http://schemas.microsoft.com/office/drawing/2014/chart" uri="{C3380CC4-5D6E-409C-BE32-E72D297353CC}">
              <c16:uniqueId val="{00000002-0AD3-418C-994A-A04CBD7AD6CD}"/>
            </c:ext>
          </c:extLst>
        </c:ser>
        <c:ser>
          <c:idx val="3"/>
          <c:order val="3"/>
          <c:tx>
            <c:strRef>
              <c:f>' Channel Analysis'!$E$55:$E$56</c:f>
              <c:strCache>
                <c:ptCount val="1"/>
                <c:pt idx="0">
                  <c:v>Online</c:v>
                </c:pt>
              </c:strCache>
            </c:strRef>
          </c:tx>
          <c:spPr>
            <a:ln w="28575" cap="rnd">
              <a:solidFill>
                <a:schemeClr val="accent4"/>
              </a:solidFill>
              <a:round/>
            </a:ln>
            <a:effectLst/>
          </c:spPr>
          <c:marker>
            <c:symbol val="none"/>
          </c:marker>
          <c:cat>
            <c:multiLvlStrRef>
              <c:f>' Channel Analysis'!$A$57:$A$69</c:f>
              <c:multiLvlStrCache>
                <c:ptCount val="11"/>
                <c:lvl>
                  <c:pt idx="0">
                    <c:v>Q1-2023</c:v>
                  </c:pt>
                  <c:pt idx="1">
                    <c:v>Q1-2024</c:v>
                  </c:pt>
                  <c:pt idx="2">
                    <c:v>Q1-2025</c:v>
                  </c:pt>
                  <c:pt idx="3">
                    <c:v>Q2-2023</c:v>
                  </c:pt>
                  <c:pt idx="4">
                    <c:v>Q2-2024</c:v>
                  </c:pt>
                  <c:pt idx="5">
                    <c:v>Q2-2025</c:v>
                  </c:pt>
                  <c:pt idx="6">
                    <c:v>Q3-2023</c:v>
                  </c:pt>
                  <c:pt idx="7">
                    <c:v>Q3-2024</c:v>
                  </c:pt>
                  <c:pt idx="8">
                    <c:v>Q3-2025</c:v>
                  </c:pt>
                  <c:pt idx="9">
                    <c:v>Q4-2023</c:v>
                  </c:pt>
                  <c:pt idx="10">
                    <c:v>Q4-2024</c:v>
                  </c:pt>
                </c:lvl>
                <c:lvl>
                  <c:pt idx="0">
                    <c:v>Group1</c:v>
                  </c:pt>
                </c:lvl>
              </c:multiLvlStrCache>
            </c:multiLvlStrRef>
          </c:cat>
          <c:val>
            <c:numRef>
              <c:f>' Channel Analysis'!$E$57:$E$69</c:f>
              <c:numCache>
                <c:formatCode>General</c:formatCode>
                <c:ptCount val="11"/>
                <c:pt idx="0">
                  <c:v>23678.77</c:v>
                </c:pt>
                <c:pt idx="1">
                  <c:v>42074.83</c:v>
                </c:pt>
                <c:pt idx="2">
                  <c:v>5484</c:v>
                </c:pt>
                <c:pt idx="3">
                  <c:v>47616.55</c:v>
                </c:pt>
                <c:pt idx="4">
                  <c:v>117147.9</c:v>
                </c:pt>
                <c:pt idx="5">
                  <c:v>41673.72</c:v>
                </c:pt>
                <c:pt idx="6">
                  <c:v>154540.32</c:v>
                </c:pt>
                <c:pt idx="7">
                  <c:v>191855.14</c:v>
                </c:pt>
                <c:pt idx="8">
                  <c:v>75578.180000000008</c:v>
                </c:pt>
                <c:pt idx="9">
                  <c:v>29925.87</c:v>
                </c:pt>
                <c:pt idx="10">
                  <c:v>65909.16</c:v>
                </c:pt>
              </c:numCache>
            </c:numRef>
          </c:val>
          <c:smooth val="0"/>
          <c:extLst>
            <c:ext xmlns:c16="http://schemas.microsoft.com/office/drawing/2014/chart" uri="{C3380CC4-5D6E-409C-BE32-E72D297353CC}">
              <c16:uniqueId val="{00000003-0AD3-418C-994A-A04CBD7AD6CD}"/>
            </c:ext>
          </c:extLst>
        </c:ser>
        <c:ser>
          <c:idx val="4"/>
          <c:order val="4"/>
          <c:tx>
            <c:strRef>
              <c:f>' Channel Analysis'!$F$55:$F$56</c:f>
              <c:strCache>
                <c:ptCount val="1"/>
                <c:pt idx="0">
                  <c:v>Retail</c:v>
                </c:pt>
              </c:strCache>
            </c:strRef>
          </c:tx>
          <c:spPr>
            <a:ln w="28575" cap="rnd">
              <a:solidFill>
                <a:schemeClr val="accent5"/>
              </a:solidFill>
              <a:round/>
            </a:ln>
            <a:effectLst/>
          </c:spPr>
          <c:marker>
            <c:symbol val="none"/>
          </c:marker>
          <c:cat>
            <c:multiLvlStrRef>
              <c:f>' Channel Analysis'!$A$57:$A$69</c:f>
              <c:multiLvlStrCache>
                <c:ptCount val="11"/>
                <c:lvl>
                  <c:pt idx="0">
                    <c:v>Q1-2023</c:v>
                  </c:pt>
                  <c:pt idx="1">
                    <c:v>Q1-2024</c:v>
                  </c:pt>
                  <c:pt idx="2">
                    <c:v>Q1-2025</c:v>
                  </c:pt>
                  <c:pt idx="3">
                    <c:v>Q2-2023</c:v>
                  </c:pt>
                  <c:pt idx="4">
                    <c:v>Q2-2024</c:v>
                  </c:pt>
                  <c:pt idx="5">
                    <c:v>Q2-2025</c:v>
                  </c:pt>
                  <c:pt idx="6">
                    <c:v>Q3-2023</c:v>
                  </c:pt>
                  <c:pt idx="7">
                    <c:v>Q3-2024</c:v>
                  </c:pt>
                  <c:pt idx="8">
                    <c:v>Q3-2025</c:v>
                  </c:pt>
                  <c:pt idx="9">
                    <c:v>Q4-2023</c:v>
                  </c:pt>
                  <c:pt idx="10">
                    <c:v>Q4-2024</c:v>
                  </c:pt>
                </c:lvl>
                <c:lvl>
                  <c:pt idx="0">
                    <c:v>Group1</c:v>
                  </c:pt>
                </c:lvl>
              </c:multiLvlStrCache>
            </c:multiLvlStrRef>
          </c:cat>
          <c:val>
            <c:numRef>
              <c:f>' Channel Analysis'!$F$57:$F$69</c:f>
              <c:numCache>
                <c:formatCode>General</c:formatCode>
                <c:ptCount val="11"/>
                <c:pt idx="0">
                  <c:v>49282.270000000004</c:v>
                </c:pt>
                <c:pt idx="1">
                  <c:v>36166.400000000001</c:v>
                </c:pt>
                <c:pt idx="2">
                  <c:v>36250.6</c:v>
                </c:pt>
                <c:pt idx="3">
                  <c:v>8687.51</c:v>
                </c:pt>
                <c:pt idx="4">
                  <c:v>30235.22</c:v>
                </c:pt>
                <c:pt idx="5">
                  <c:v>63713.409999999996</c:v>
                </c:pt>
                <c:pt idx="6">
                  <c:v>22391.29</c:v>
                </c:pt>
                <c:pt idx="8">
                  <c:v>31636.28</c:v>
                </c:pt>
                <c:pt idx="10">
                  <c:v>76229</c:v>
                </c:pt>
              </c:numCache>
            </c:numRef>
          </c:val>
          <c:smooth val="0"/>
          <c:extLst>
            <c:ext xmlns:c16="http://schemas.microsoft.com/office/drawing/2014/chart" uri="{C3380CC4-5D6E-409C-BE32-E72D297353CC}">
              <c16:uniqueId val="{00000004-0AD3-418C-994A-A04CBD7AD6CD}"/>
            </c:ext>
          </c:extLst>
        </c:ser>
        <c:dLbls>
          <c:showLegendKey val="0"/>
          <c:showVal val="0"/>
          <c:showCatName val="0"/>
          <c:showSerName val="0"/>
          <c:showPercent val="0"/>
          <c:showBubbleSize val="0"/>
        </c:dLbls>
        <c:smooth val="0"/>
        <c:axId val="1048214064"/>
        <c:axId val="1048212624"/>
      </c:lineChart>
      <c:catAx>
        <c:axId val="104821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12624"/>
        <c:crosses val="autoZero"/>
        <c:auto val="1"/>
        <c:lblAlgn val="ctr"/>
        <c:lblOffset val="100"/>
        <c:noMultiLvlLbl val="0"/>
      </c:catAx>
      <c:valAx>
        <c:axId val="104821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1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304800</xdr:colOff>
      <xdr:row>2</xdr:row>
      <xdr:rowOff>88900</xdr:rowOff>
    </xdr:from>
    <xdr:to>
      <xdr:col>12</xdr:col>
      <xdr:colOff>0</xdr:colOff>
      <xdr:row>17</xdr:row>
      <xdr:rowOff>69850</xdr:rowOff>
    </xdr:to>
    <xdr:graphicFrame macro="">
      <xdr:nvGraphicFramePr>
        <xdr:cNvPr id="2" name="Chart 1">
          <a:extLst>
            <a:ext uri="{FF2B5EF4-FFF2-40B4-BE49-F238E27FC236}">
              <a16:creationId xmlns:a16="http://schemas.microsoft.com/office/drawing/2014/main" id="{0D28875A-2716-21EA-4D7A-982B754CF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8</xdr:row>
      <xdr:rowOff>101600</xdr:rowOff>
    </xdr:from>
    <xdr:to>
      <xdr:col>10</xdr:col>
      <xdr:colOff>323850</xdr:colOff>
      <xdr:row>23</xdr:row>
      <xdr:rowOff>82550</xdr:rowOff>
    </xdr:to>
    <xdr:graphicFrame macro="">
      <xdr:nvGraphicFramePr>
        <xdr:cNvPr id="2" name="Chart 1">
          <a:extLst>
            <a:ext uri="{FF2B5EF4-FFF2-40B4-BE49-F238E27FC236}">
              <a16:creationId xmlns:a16="http://schemas.microsoft.com/office/drawing/2014/main" id="{D4771F7B-AAD7-88D8-D27F-EDBB9C978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63500</xdr:colOff>
      <xdr:row>26</xdr:row>
      <xdr:rowOff>50800</xdr:rowOff>
    </xdr:from>
    <xdr:to>
      <xdr:col>14</xdr:col>
      <xdr:colOff>368300</xdr:colOff>
      <xdr:row>41</xdr:row>
      <xdr:rowOff>31750</xdr:rowOff>
    </xdr:to>
    <xdr:graphicFrame macro="">
      <xdr:nvGraphicFramePr>
        <xdr:cNvPr id="3" name="Chart 2">
          <a:extLst>
            <a:ext uri="{FF2B5EF4-FFF2-40B4-BE49-F238E27FC236}">
              <a16:creationId xmlns:a16="http://schemas.microsoft.com/office/drawing/2014/main" id="{4CCDC119-B350-CDB5-58F5-D3AC45901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43</xdr:row>
      <xdr:rowOff>158750</xdr:rowOff>
    </xdr:from>
    <xdr:to>
      <xdr:col>7</xdr:col>
      <xdr:colOff>596900</xdr:colOff>
      <xdr:row>58</xdr:row>
      <xdr:rowOff>139700</xdr:rowOff>
    </xdr:to>
    <xdr:graphicFrame macro="">
      <xdr:nvGraphicFramePr>
        <xdr:cNvPr id="4" name="Chart 3">
          <a:extLst>
            <a:ext uri="{FF2B5EF4-FFF2-40B4-BE49-F238E27FC236}">
              <a16:creationId xmlns:a16="http://schemas.microsoft.com/office/drawing/2014/main" id="{68E61BB7-01AC-4091-C8D7-8A83C9D40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565150</xdr:colOff>
      <xdr:row>82</xdr:row>
      <xdr:rowOff>107950</xdr:rowOff>
    </xdr:from>
    <xdr:to>
      <xdr:col>8</xdr:col>
      <xdr:colOff>558800</xdr:colOff>
      <xdr:row>98</xdr:row>
      <xdr:rowOff>88900</xdr:rowOff>
    </xdr:to>
    <xdr:graphicFrame macro="">
      <xdr:nvGraphicFramePr>
        <xdr:cNvPr id="5" name="Chart 4">
          <a:extLst>
            <a:ext uri="{FF2B5EF4-FFF2-40B4-BE49-F238E27FC236}">
              <a16:creationId xmlns:a16="http://schemas.microsoft.com/office/drawing/2014/main" id="{677F0A88-7911-D589-66CC-CD0DA526A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412750</xdr:colOff>
      <xdr:row>7</xdr:row>
      <xdr:rowOff>25400</xdr:rowOff>
    </xdr:from>
    <xdr:to>
      <xdr:col>4</xdr:col>
      <xdr:colOff>546100</xdr:colOff>
      <xdr:row>10</xdr:row>
      <xdr:rowOff>95250</xdr:rowOff>
    </xdr:to>
    <xdr:sp macro="" textlink="">
      <xdr:nvSpPr>
        <xdr:cNvPr id="3" name="Rectangle: Rounded Corners 2">
          <a:extLst>
            <a:ext uri="{FF2B5EF4-FFF2-40B4-BE49-F238E27FC236}">
              <a16:creationId xmlns:a16="http://schemas.microsoft.com/office/drawing/2014/main" id="{E45D9762-C5E5-0450-5598-70187D56C70C}"/>
            </a:ext>
          </a:extLst>
        </xdr:cNvPr>
        <xdr:cNvSpPr/>
      </xdr:nvSpPr>
      <xdr:spPr>
        <a:xfrm>
          <a:off x="1631950" y="1314450"/>
          <a:ext cx="1352550" cy="622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Margin</a:t>
          </a:r>
        </a:p>
        <a:p>
          <a:pPr algn="l"/>
          <a:r>
            <a:rPr lang="en-GB" sz="1100"/>
            <a:t> </a:t>
          </a:r>
          <a:r>
            <a:rPr lang="en-KE" sz="1100" b="1" i="0" u="none" strike="noStrike">
              <a:solidFill>
                <a:schemeClr val="lt1"/>
              </a:solidFill>
              <a:effectLst/>
              <a:latin typeface="+mn-lt"/>
              <a:ea typeface="+mn-ea"/>
              <a:cs typeface="+mn-cs"/>
            </a:rPr>
            <a:t>0.27</a:t>
          </a:r>
          <a:r>
            <a:rPr lang="en-KE"/>
            <a:t> </a:t>
          </a:r>
          <a:endParaRPr lang="en-KE" sz="1100"/>
        </a:p>
      </xdr:txBody>
    </xdr:sp>
    <xdr:clientData/>
  </xdr:twoCellAnchor>
  <xdr:twoCellAnchor>
    <xdr:from>
      <xdr:col>5</xdr:col>
      <xdr:colOff>88900</xdr:colOff>
      <xdr:row>4</xdr:row>
      <xdr:rowOff>6350</xdr:rowOff>
    </xdr:from>
    <xdr:to>
      <xdr:col>7</xdr:col>
      <xdr:colOff>228600</xdr:colOff>
      <xdr:row>6</xdr:row>
      <xdr:rowOff>177800</xdr:rowOff>
    </xdr:to>
    <xdr:sp macro="" textlink="">
      <xdr:nvSpPr>
        <xdr:cNvPr id="4" name="Rectangle: Rounded Corners 3">
          <a:extLst>
            <a:ext uri="{FF2B5EF4-FFF2-40B4-BE49-F238E27FC236}">
              <a16:creationId xmlns:a16="http://schemas.microsoft.com/office/drawing/2014/main" id="{CC3DA244-D765-5A1F-B790-61E9CEBB706B}"/>
            </a:ext>
          </a:extLst>
        </xdr:cNvPr>
        <xdr:cNvSpPr/>
      </xdr:nvSpPr>
      <xdr:spPr>
        <a:xfrm>
          <a:off x="3136900" y="742950"/>
          <a:ext cx="1358900"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Gross</a:t>
          </a:r>
          <a:r>
            <a:rPr lang="en-GB" sz="1100" baseline="0"/>
            <a:t> Profit</a:t>
          </a:r>
          <a:r>
            <a:rPr lang="en-GB" sz="1100" b="1" i="0" u="none" strike="noStrike">
              <a:solidFill>
                <a:schemeClr val="lt1"/>
              </a:solidFill>
              <a:effectLst/>
              <a:latin typeface="+mn-lt"/>
              <a:ea typeface="+mn-ea"/>
              <a:cs typeface="+mn-cs"/>
            </a:rPr>
            <a:t> 2,729,976.07</a:t>
          </a:r>
          <a:r>
            <a:rPr lang="en-GB"/>
            <a:t> </a:t>
          </a:r>
          <a:endParaRPr lang="en-KE" sz="1100"/>
        </a:p>
      </xdr:txBody>
    </xdr:sp>
    <xdr:clientData/>
  </xdr:twoCellAnchor>
  <xdr:twoCellAnchor>
    <xdr:from>
      <xdr:col>5</xdr:col>
      <xdr:colOff>63500</xdr:colOff>
      <xdr:row>7</xdr:row>
      <xdr:rowOff>82550</xdr:rowOff>
    </xdr:from>
    <xdr:to>
      <xdr:col>7</xdr:col>
      <xdr:colOff>304800</xdr:colOff>
      <xdr:row>10</xdr:row>
      <xdr:rowOff>82550</xdr:rowOff>
    </xdr:to>
    <xdr:sp macro="" textlink="">
      <xdr:nvSpPr>
        <xdr:cNvPr id="5" name="Rectangle: Rounded Corners 4">
          <a:extLst>
            <a:ext uri="{FF2B5EF4-FFF2-40B4-BE49-F238E27FC236}">
              <a16:creationId xmlns:a16="http://schemas.microsoft.com/office/drawing/2014/main" id="{45B76061-C953-5104-BD7B-3C43151CE67A}"/>
            </a:ext>
          </a:extLst>
        </xdr:cNvPr>
        <xdr:cNvSpPr/>
      </xdr:nvSpPr>
      <xdr:spPr>
        <a:xfrm>
          <a:off x="3111500" y="1371600"/>
          <a:ext cx="14605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Average Order Value</a:t>
          </a:r>
          <a:r>
            <a:rPr lang="en-GB" sz="1100" b="1" i="0" u="none" strike="noStrike">
              <a:solidFill>
                <a:schemeClr val="lt1"/>
              </a:solidFill>
              <a:effectLst/>
              <a:latin typeface="+mn-lt"/>
              <a:ea typeface="+mn-ea"/>
              <a:cs typeface="+mn-cs"/>
            </a:rPr>
            <a:t> 796.48</a:t>
          </a:r>
          <a:r>
            <a:rPr lang="en-GB"/>
            <a:t> </a:t>
          </a:r>
          <a:endParaRPr lang="en-KE" sz="1100"/>
        </a:p>
      </xdr:txBody>
    </xdr:sp>
    <xdr:clientData/>
  </xdr:twoCellAnchor>
  <xdr:twoCellAnchor>
    <xdr:from>
      <xdr:col>7</xdr:col>
      <xdr:colOff>419100</xdr:colOff>
      <xdr:row>3</xdr:row>
      <xdr:rowOff>165100</xdr:rowOff>
    </xdr:from>
    <xdr:to>
      <xdr:col>9</xdr:col>
      <xdr:colOff>488950</xdr:colOff>
      <xdr:row>7</xdr:row>
      <xdr:rowOff>38100</xdr:rowOff>
    </xdr:to>
    <xdr:sp macro="" textlink="">
      <xdr:nvSpPr>
        <xdr:cNvPr id="6" name="Rectangle: Rounded Corners 5">
          <a:extLst>
            <a:ext uri="{FF2B5EF4-FFF2-40B4-BE49-F238E27FC236}">
              <a16:creationId xmlns:a16="http://schemas.microsoft.com/office/drawing/2014/main" id="{674D6819-8D38-7D12-E38C-4113ED413E62}"/>
            </a:ext>
          </a:extLst>
        </xdr:cNvPr>
        <xdr:cNvSpPr/>
      </xdr:nvSpPr>
      <xdr:spPr>
        <a:xfrm>
          <a:off x="4686300" y="717550"/>
          <a:ext cx="128905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On-Time Delivery</a:t>
          </a:r>
        </a:p>
        <a:p>
          <a:pPr algn="l"/>
          <a:r>
            <a:rPr lang="en-KE" sz="1100" b="1" i="0" u="none" strike="noStrike">
              <a:solidFill>
                <a:schemeClr val="lt1"/>
              </a:solidFill>
              <a:effectLst/>
              <a:latin typeface="+mn-lt"/>
              <a:ea typeface="+mn-ea"/>
              <a:cs typeface="+mn-cs"/>
            </a:rPr>
            <a:t>27.26%</a:t>
          </a:r>
          <a:r>
            <a:rPr lang="en-KE"/>
            <a:t> </a:t>
          </a:r>
          <a:endParaRPr lang="en-KE" sz="1100"/>
        </a:p>
      </xdr:txBody>
    </xdr:sp>
    <xdr:clientData/>
  </xdr:twoCellAnchor>
  <xdr:twoCellAnchor>
    <xdr:from>
      <xdr:col>2</xdr:col>
      <xdr:colOff>514350</xdr:colOff>
      <xdr:row>11</xdr:row>
      <xdr:rowOff>19050</xdr:rowOff>
    </xdr:from>
    <xdr:to>
      <xdr:col>11</xdr:col>
      <xdr:colOff>209550</xdr:colOff>
      <xdr:row>26</xdr:row>
      <xdr:rowOff>0</xdr:rowOff>
    </xdr:to>
    <xdr:graphicFrame macro="">
      <xdr:nvGraphicFramePr>
        <xdr:cNvPr id="10" name="Chart 9">
          <a:extLst>
            <a:ext uri="{FF2B5EF4-FFF2-40B4-BE49-F238E27FC236}">
              <a16:creationId xmlns:a16="http://schemas.microsoft.com/office/drawing/2014/main" id="{AC342682-FC9F-44E9-AE2A-618FCB06B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295275</xdr:colOff>
      <xdr:row>11</xdr:row>
      <xdr:rowOff>19050</xdr:rowOff>
    </xdr:from>
    <xdr:to>
      <xdr:col>19</xdr:col>
      <xdr:colOff>447675</xdr:colOff>
      <xdr:row>26</xdr:row>
      <xdr:rowOff>0</xdr:rowOff>
    </xdr:to>
    <xdr:graphicFrame macro="">
      <xdr:nvGraphicFramePr>
        <xdr:cNvPr id="11" name="Chart 10">
          <a:extLst>
            <a:ext uri="{FF2B5EF4-FFF2-40B4-BE49-F238E27FC236}">
              <a16:creationId xmlns:a16="http://schemas.microsoft.com/office/drawing/2014/main" id="{452843B1-717A-4F2A-9663-D5B03806A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565150</xdr:colOff>
      <xdr:row>26</xdr:row>
      <xdr:rowOff>63500</xdr:rowOff>
    </xdr:from>
    <xdr:to>
      <xdr:col>11</xdr:col>
      <xdr:colOff>241300</xdr:colOff>
      <xdr:row>41</xdr:row>
      <xdr:rowOff>44450</xdr:rowOff>
    </xdr:to>
    <xdr:graphicFrame macro="">
      <xdr:nvGraphicFramePr>
        <xdr:cNvPr id="12" name="Chart 11">
          <a:extLst>
            <a:ext uri="{FF2B5EF4-FFF2-40B4-BE49-F238E27FC236}">
              <a16:creationId xmlns:a16="http://schemas.microsoft.com/office/drawing/2014/main" id="{7ED4EB7E-6561-4AF9-89AC-443C999F9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306387</xdr:colOff>
      <xdr:row>26</xdr:row>
      <xdr:rowOff>74612</xdr:rowOff>
    </xdr:from>
    <xdr:to>
      <xdr:col>19</xdr:col>
      <xdr:colOff>446087</xdr:colOff>
      <xdr:row>41</xdr:row>
      <xdr:rowOff>66675</xdr:rowOff>
    </xdr:to>
    <xdr:graphicFrame macro="">
      <xdr:nvGraphicFramePr>
        <xdr:cNvPr id="13" name="Chart 12">
          <a:extLst>
            <a:ext uri="{FF2B5EF4-FFF2-40B4-BE49-F238E27FC236}">
              <a16:creationId xmlns:a16="http://schemas.microsoft.com/office/drawing/2014/main" id="{508868BF-BDC7-41C2-9823-94064FE08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196850</xdr:colOff>
      <xdr:row>0</xdr:row>
      <xdr:rowOff>44450</xdr:rowOff>
    </xdr:from>
    <xdr:to>
      <xdr:col>14</xdr:col>
      <xdr:colOff>571500</xdr:colOff>
      <xdr:row>2</xdr:row>
      <xdr:rowOff>165100</xdr:rowOff>
    </xdr:to>
    <xdr:sp macro="" textlink="">
      <xdr:nvSpPr>
        <xdr:cNvPr id="14" name="Rectangle: Rounded Corners 13">
          <a:extLst>
            <a:ext uri="{FF2B5EF4-FFF2-40B4-BE49-F238E27FC236}">
              <a16:creationId xmlns:a16="http://schemas.microsoft.com/office/drawing/2014/main" id="{F5E42A74-CF45-0755-DBF3-28910B412E8C}"/>
            </a:ext>
          </a:extLst>
        </xdr:cNvPr>
        <xdr:cNvSpPr/>
      </xdr:nvSpPr>
      <xdr:spPr>
        <a:xfrm>
          <a:off x="3854450" y="44450"/>
          <a:ext cx="5251450" cy="488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800"/>
            <a:t>SALES PERFROMANCE</a:t>
          </a:r>
          <a:r>
            <a:rPr lang="en-GB" sz="1800" baseline="0"/>
            <a:t> DASHBOARD</a:t>
          </a:r>
          <a:endParaRPr lang="en-KE" sz="1800"/>
        </a:p>
      </xdr:txBody>
    </xdr:sp>
    <xdr:clientData/>
  </xdr:twoCellAnchor>
  <xdr:twoCellAnchor editAs="oneCell">
    <xdr:from>
      <xdr:col>0</xdr:col>
      <xdr:colOff>44450</xdr:colOff>
      <xdr:row>34</xdr:row>
      <xdr:rowOff>146051</xdr:rowOff>
    </xdr:from>
    <xdr:to>
      <xdr:col>2</xdr:col>
      <xdr:colOff>304800</xdr:colOff>
      <xdr:row>40</xdr:row>
      <xdr:rowOff>133351</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C8F76BBC-0A42-184D-D394-8BF45D2C6D6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4450" y="6407151"/>
              <a:ext cx="1479550" cy="10922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29</xdr:row>
      <xdr:rowOff>139701</xdr:rowOff>
    </xdr:from>
    <xdr:to>
      <xdr:col>2</xdr:col>
      <xdr:colOff>322262</xdr:colOff>
      <xdr:row>34</xdr:row>
      <xdr:rowOff>106363</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125980C0-A014-1D1F-3176-9685686CDB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5480051"/>
              <a:ext cx="1498600" cy="8826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22</xdr:row>
      <xdr:rowOff>133351</xdr:rowOff>
    </xdr:from>
    <xdr:to>
      <xdr:col>2</xdr:col>
      <xdr:colOff>323850</xdr:colOff>
      <xdr:row>29</xdr:row>
      <xdr:rowOff>125413</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6C7A46C9-4C65-9FA0-3B96-7503F8D1C5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100" y="4184651"/>
              <a:ext cx="1504950" cy="1276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16</xdr:row>
      <xdr:rowOff>76201</xdr:rowOff>
    </xdr:from>
    <xdr:to>
      <xdr:col>2</xdr:col>
      <xdr:colOff>341312</xdr:colOff>
      <xdr:row>22</xdr:row>
      <xdr:rowOff>93663</xdr:rowOff>
    </xdr:to>
    <mc:AlternateContent xmlns:mc="http://schemas.openxmlformats.org/markup-compatibility/2006" xmlns:a14="http://schemas.microsoft.com/office/drawing/2010/main">
      <mc:Choice Requires="a14">
        <xdr:graphicFrame macro="">
          <xdr:nvGraphicFramePr>
            <xdr:cNvPr id="18" name="Channel">
              <a:extLst>
                <a:ext uri="{FF2B5EF4-FFF2-40B4-BE49-F238E27FC236}">
                  <a16:creationId xmlns:a16="http://schemas.microsoft.com/office/drawing/2014/main" id="{145F2600-8197-44CD-D3FA-8AB72B8EAEB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1750" y="3022601"/>
              <a:ext cx="1524000" cy="11176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10</xdr:row>
      <xdr:rowOff>57151</xdr:rowOff>
    </xdr:from>
    <xdr:to>
      <xdr:col>2</xdr:col>
      <xdr:colOff>323850</xdr:colOff>
      <xdr:row>16</xdr:row>
      <xdr:rowOff>36513</xdr:rowOff>
    </xdr:to>
    <mc:AlternateContent xmlns:mc="http://schemas.openxmlformats.org/markup-compatibility/2006" xmlns:a14="http://schemas.microsoft.com/office/drawing/2010/main">
      <mc:Choice Requires="a14">
        <xdr:graphicFrame macro="">
          <xdr:nvGraphicFramePr>
            <xdr:cNvPr id="19" name="Salesperson">
              <a:extLst>
                <a:ext uri="{FF2B5EF4-FFF2-40B4-BE49-F238E27FC236}">
                  <a16:creationId xmlns:a16="http://schemas.microsoft.com/office/drawing/2014/main" id="{110769DE-A233-26BB-AA0C-9EEE728E7F1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5400" y="1898651"/>
              <a:ext cx="1517650" cy="1079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4</xdr:row>
      <xdr:rowOff>12701</xdr:rowOff>
    </xdr:from>
    <xdr:to>
      <xdr:col>2</xdr:col>
      <xdr:colOff>341312</xdr:colOff>
      <xdr:row>10</xdr:row>
      <xdr:rowOff>49212</xdr:rowOff>
    </xdr:to>
    <mc:AlternateContent xmlns:mc="http://schemas.openxmlformats.org/markup-compatibility/2006" xmlns:a14="http://schemas.microsoft.com/office/drawing/2010/main">
      <mc:Choice Requires="a14">
        <xdr:graphicFrame macro="">
          <xdr:nvGraphicFramePr>
            <xdr:cNvPr id="20" name="ProductCategory">
              <a:extLst>
                <a:ext uri="{FF2B5EF4-FFF2-40B4-BE49-F238E27FC236}">
                  <a16:creationId xmlns:a16="http://schemas.microsoft.com/office/drawing/2014/main" id="{DED98701-AD14-531E-B659-3D2DDFE5E486}"/>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5400" y="749301"/>
              <a:ext cx="1530350" cy="11366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428625</xdr:colOff>
      <xdr:row>3</xdr:row>
      <xdr:rowOff>133350</xdr:rowOff>
    </xdr:from>
    <xdr:to>
      <xdr:col>4</xdr:col>
      <xdr:colOff>495300</xdr:colOff>
      <xdr:row>6</xdr:row>
      <xdr:rowOff>123825</xdr:rowOff>
    </xdr:to>
    <xdr:sp macro="" textlink="">
      <xdr:nvSpPr>
        <xdr:cNvPr id="21" name="Rectangle: Rounded Corners 20">
          <a:extLst>
            <a:ext uri="{FF2B5EF4-FFF2-40B4-BE49-F238E27FC236}">
              <a16:creationId xmlns:a16="http://schemas.microsoft.com/office/drawing/2014/main" id="{F09B1CBC-5364-D2FD-1204-D9CE616A6FB1}"/>
            </a:ext>
          </a:extLst>
        </xdr:cNvPr>
        <xdr:cNvSpPr/>
      </xdr:nvSpPr>
      <xdr:spPr>
        <a:xfrm>
          <a:off x="1724025" y="676275"/>
          <a:ext cx="13620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revenue</a:t>
          </a:r>
        </a:p>
        <a:p>
          <a:pPr algn="l"/>
          <a:r>
            <a:rPr lang="en-US" sz="1100" b="1" i="0">
              <a:solidFill>
                <a:schemeClr val="lt1"/>
              </a:solidFill>
              <a:effectLst/>
              <a:latin typeface="+mn-lt"/>
              <a:ea typeface="+mn-ea"/>
              <a:cs typeface="+mn-cs"/>
            </a:rPr>
            <a:t>6,761,585.40</a:t>
          </a:r>
          <a:endParaRPr lang="en-US" sz="1100"/>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33</xdr:row>
      <xdr:rowOff>161925</xdr:rowOff>
    </xdr:from>
    <xdr:to>
      <xdr:col>13</xdr:col>
      <xdr:colOff>38100</xdr:colOff>
      <xdr:row>49</xdr:row>
      <xdr:rowOff>9525</xdr:rowOff>
    </xdr:to>
    <xdr:graphicFrame macro="">
      <xdr:nvGraphicFramePr>
        <xdr:cNvPr id="2" name="Chart 1">
          <a:extLst>
            <a:ext uri="{FF2B5EF4-FFF2-40B4-BE49-F238E27FC236}">
              <a16:creationId xmlns:a16="http://schemas.microsoft.com/office/drawing/2014/main" id="{D717ED61-4FE7-4032-8E6B-A5C89476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647699</xdr:colOff>
      <xdr:row>12</xdr:row>
      <xdr:rowOff>161925</xdr:rowOff>
    </xdr:from>
    <xdr:to>
      <xdr:col>14</xdr:col>
      <xdr:colOff>638174</xdr:colOff>
      <xdr:row>28</xdr:row>
      <xdr:rowOff>9525</xdr:rowOff>
    </xdr:to>
    <xdr:graphicFrame macro="">
      <xdr:nvGraphicFramePr>
        <xdr:cNvPr id="3" name="Chart 2">
          <a:extLst>
            <a:ext uri="{FF2B5EF4-FFF2-40B4-BE49-F238E27FC236}">
              <a16:creationId xmlns:a16="http://schemas.microsoft.com/office/drawing/2014/main" id="{342AD270-FF95-77FE-3B4E-5A0C67C40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571500</xdr:colOff>
      <xdr:row>50</xdr:row>
      <xdr:rowOff>66675</xdr:rowOff>
    </xdr:from>
    <xdr:to>
      <xdr:col>11</xdr:col>
      <xdr:colOff>504825</xdr:colOff>
      <xdr:row>65</xdr:row>
      <xdr:rowOff>95250</xdr:rowOff>
    </xdr:to>
    <xdr:graphicFrame macro="">
      <xdr:nvGraphicFramePr>
        <xdr:cNvPr id="4" name="Chart 3">
          <a:extLst>
            <a:ext uri="{FF2B5EF4-FFF2-40B4-BE49-F238E27FC236}">
              <a16:creationId xmlns:a16="http://schemas.microsoft.com/office/drawing/2014/main" id="{AF113E6D-CB6B-772B-89E3-696C38961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571500</xdr:colOff>
      <xdr:row>65</xdr:row>
      <xdr:rowOff>152400</xdr:rowOff>
    </xdr:from>
    <xdr:to>
      <xdr:col>11</xdr:col>
      <xdr:colOff>504825</xdr:colOff>
      <xdr:row>81</xdr:row>
      <xdr:rowOff>0</xdr:rowOff>
    </xdr:to>
    <xdr:graphicFrame macro="">
      <xdr:nvGraphicFramePr>
        <xdr:cNvPr id="6" name="Chart 5">
          <a:extLst>
            <a:ext uri="{FF2B5EF4-FFF2-40B4-BE49-F238E27FC236}">
              <a16:creationId xmlns:a16="http://schemas.microsoft.com/office/drawing/2014/main" id="{1C98E1F5-138F-6CFA-4696-679C81D75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133350</xdr:colOff>
      <xdr:row>4</xdr:row>
      <xdr:rowOff>123825</xdr:rowOff>
    </xdr:from>
    <xdr:to>
      <xdr:col>19</xdr:col>
      <xdr:colOff>104775</xdr:colOff>
      <xdr:row>24</xdr:row>
      <xdr:rowOff>19050</xdr:rowOff>
    </xdr:to>
    <xdr:graphicFrame macro="">
      <xdr:nvGraphicFramePr>
        <xdr:cNvPr id="2" name="Chart 1">
          <a:extLst>
            <a:ext uri="{FF2B5EF4-FFF2-40B4-BE49-F238E27FC236}">
              <a16:creationId xmlns:a16="http://schemas.microsoft.com/office/drawing/2014/main" id="{AE8E6A09-9952-698F-EC3F-8B6904F62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542925</xdr:colOff>
      <xdr:row>0</xdr:row>
      <xdr:rowOff>0</xdr:rowOff>
    </xdr:from>
    <xdr:to>
      <xdr:col>13</xdr:col>
      <xdr:colOff>704850</xdr:colOff>
      <xdr:row>15</xdr:row>
      <xdr:rowOff>28575</xdr:rowOff>
    </xdr:to>
    <xdr:graphicFrame macro="">
      <xdr:nvGraphicFramePr>
        <xdr:cNvPr id="2" name="Chart 1">
          <a:extLst>
            <a:ext uri="{FF2B5EF4-FFF2-40B4-BE49-F238E27FC236}">
              <a16:creationId xmlns:a16="http://schemas.microsoft.com/office/drawing/2014/main" id="{7DE2BFEA-F2B4-9839-3BDC-BC8611A73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85725</xdr:colOff>
      <xdr:row>18</xdr:row>
      <xdr:rowOff>104775</xdr:rowOff>
    </xdr:from>
    <xdr:to>
      <xdr:col>14</xdr:col>
      <xdr:colOff>228600</xdr:colOff>
      <xdr:row>33</xdr:row>
      <xdr:rowOff>133350</xdr:rowOff>
    </xdr:to>
    <xdr:graphicFrame macro="">
      <xdr:nvGraphicFramePr>
        <xdr:cNvPr id="3" name="Chart 2">
          <a:extLst>
            <a:ext uri="{FF2B5EF4-FFF2-40B4-BE49-F238E27FC236}">
              <a16:creationId xmlns:a16="http://schemas.microsoft.com/office/drawing/2014/main" id="{1F459475-B3C1-62B8-DE74-A843794DA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85725</xdr:colOff>
      <xdr:row>18</xdr:row>
      <xdr:rowOff>85725</xdr:rowOff>
    </xdr:from>
    <xdr:to>
      <xdr:col>20</xdr:col>
      <xdr:colOff>800100</xdr:colOff>
      <xdr:row>33</xdr:row>
      <xdr:rowOff>114300</xdr:rowOff>
    </xdr:to>
    <xdr:graphicFrame macro="">
      <xdr:nvGraphicFramePr>
        <xdr:cNvPr id="4" name="Chart 3">
          <a:extLst>
            <a:ext uri="{FF2B5EF4-FFF2-40B4-BE49-F238E27FC236}">
              <a16:creationId xmlns:a16="http://schemas.microsoft.com/office/drawing/2014/main" id="{34874F18-5445-DC2F-BDD4-A29EB41BF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685800</xdr:colOff>
      <xdr:row>52</xdr:row>
      <xdr:rowOff>66675</xdr:rowOff>
    </xdr:from>
    <xdr:to>
      <xdr:col>13</xdr:col>
      <xdr:colOff>704850</xdr:colOff>
      <xdr:row>67</xdr:row>
      <xdr:rowOff>95250</xdr:rowOff>
    </xdr:to>
    <xdr:graphicFrame macro="">
      <xdr:nvGraphicFramePr>
        <xdr:cNvPr id="5" name="Chart 4">
          <a:extLst>
            <a:ext uri="{FF2B5EF4-FFF2-40B4-BE49-F238E27FC236}">
              <a16:creationId xmlns:a16="http://schemas.microsoft.com/office/drawing/2014/main" id="{B7EC3CE5-2C2A-4357-B0C7-E0EB10115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709391898148" createdVersion="8" refreshedVersion="8" minRefreshableVersion="3" recordCount="315" xr:uid="{89ADC871-65B8-4A9D-91FB-E3549BC200AF}">
  <cacheSource type="worksheet">
    <worksheetSource name="Table2"/>
  </cacheSource>
  <cacheFields count="7">
    <cacheField name="SKU" numFmtId="0">
      <sharedItems/>
    </cacheField>
    <cacheField name="ProductCategory" numFmtId="0">
      <sharedItems count="7">
        <s v="Accessories"/>
        <s v="Components"/>
        <s v="Laptops"/>
        <s v="Monitors"/>
        <s v="Networking"/>
        <s v="Phones"/>
        <s v="Printers"/>
      </sharedItems>
    </cacheField>
    <cacheField name="GrossRevenue" numFmtId="165">
      <sharedItems containsSemiMixedTypes="0" containsString="0" containsNumber="1" minValue="23.68" maxValue="168209.94"/>
    </cacheField>
    <cacheField name="CategoryTotalRevenue" numFmtId="166">
      <sharedItems containsSemiMixedTypes="0" containsString="0" containsNumber="1" minValue="746204.65000000014" maxValue="1084973.7799999993"/>
    </cacheField>
    <cacheField name="CategoryRevenue%" numFmtId="167">
      <sharedItems containsSemiMixedTypes="0" containsString="0" containsNumber="1" minValue="2.657932246343806E-5" maxValue="0.16614769159129203"/>
    </cacheField>
    <cacheField name="Cumulative%" numFmtId="0">
      <sharedItems containsSemiMixedTypes="0" containsString="0" containsNumber="1" minValue="7.073136035804653E-2" maxValue="1.0000000000000007"/>
    </cacheField>
    <cacheField name="ABC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709392592595" createdVersion="8" refreshedVersion="8" minRefreshableVersion="3" recordCount="631" xr:uid="{9C7F00C1-CE60-4EDC-9B0D-B34386F93FC9}">
  <cacheSource type="worksheet">
    <worksheetSource name="Table1"/>
  </cacheSource>
  <cacheFields count="39">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Count" numFmtId="0">
      <sharedItems containsString="0" containsBlank="1" containsNumber="1" containsInteger="1" minValue="1" maxValue="1"/>
    </cacheField>
    <cacheField name="OrderDate" numFmtId="16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8"/>
    </cacheField>
    <cacheField name="OrderMonthKey" numFmtId="0">
      <sharedItems containsSemiMixedTypes="0" containsDate="1" containsString="0" containsMixedTypes="1" minDate="2453-11-16T00:00:00" maxDate="2454-06-06T00:00:00"/>
    </cacheField>
    <cacheField name="CountryFirstMonthKey" numFmtId="0">
      <sharedItems containsSemiMixedTypes="0" containsDate="1" containsString="0" containsMixedTypes="1" minDate="2453-11-16T00:00:00" maxDate="2453-11-19T00:00:00"/>
    </cacheField>
    <cacheField name="CohortMonthKey" numFmtId="0">
      <sharedItems containsSemiMixedTypes="0" containsDate="1" containsString="0" containsMixedTypes="1" minDate="2453-11-16T00:00:00" maxDate="2453-11-19T00:00:00" count="4">
        <d v="2453-11-16T00:00:00"/>
        <n v="202301"/>
        <d v="2453-11-18T00:00:00"/>
        <n v="202302"/>
      </sharedItems>
    </cacheField>
    <cacheField name="OffsetMonth" numFmtId="0">
      <sharedItems containsSemiMixedTypes="0" containsDate="1" containsString="0" containsMixedTypes="1" minDate="1899-12-31T00:00:00" maxDate="1900-01-23T00:00:00" count="66">
        <d v="1900-01-13T00:00:00"/>
        <n v="21"/>
        <d v="1899-12-31T00:00:00"/>
        <n v="26"/>
        <d v="1900-01-08T00:00:00"/>
        <n v="0"/>
        <n v="22"/>
        <n v="16"/>
        <n v="28"/>
        <d v="1900-01-11T00:00:00"/>
        <d v="1900-01-21T00:00:00"/>
        <n v="32"/>
        <d v="1900-01-02T00:00:00"/>
        <d v="1900-01-22T00:00:00"/>
        <d v="1900-01-29T00:00:00"/>
        <n v="30"/>
        <d v="1900-01-17T00:00:00"/>
        <n v="4"/>
        <n v="29"/>
        <d v="1900-01-15T00:00:00"/>
        <n v="1"/>
        <n v="17"/>
        <d v="1900-01-26T00:00:00"/>
        <n v="15"/>
        <d v="1900-01-18T00:00:00"/>
        <d v="1900-01-04T00:00:00"/>
        <d v="1900-01-20T00:00:00"/>
        <d v="1900-01-27T00:00:00"/>
        <n v="2"/>
        <n v="5"/>
        <d v="1900-01-05T00:00:00"/>
        <n v="20"/>
        <d v="1900-01-01T00:00:00"/>
        <d v="1900-01-23T00:00:00"/>
        <d v="1900-01-06T00:00:00"/>
        <n v="27"/>
        <n v="25"/>
        <d v="1900-01-28T00:00:00"/>
        <n v="11"/>
        <n v="3"/>
        <d v="1900-01-14T00:00:00"/>
        <n v="23"/>
        <d v="1900-01-03T00:00:00"/>
        <n v="7"/>
        <n v="19"/>
        <d v="1900-01-10T00:00:00"/>
        <d v="1900-01-30T00:00:00"/>
        <d v="1900-01-24T00:00:00"/>
        <d v="1900-01-31T00:00:00"/>
        <n v="24"/>
        <d v="1900-01-25T00:00:00"/>
        <d v="1900-01-16T00:00:00"/>
        <d v="1900-01-07T00:00:00"/>
        <d v="1900-01-09T00:00:00"/>
        <n v="31"/>
        <d v="1899-12-30T00:00:00"/>
        <n v="13"/>
        <n v="6"/>
        <d v="1900-01-12T00:00:00"/>
        <n v="18"/>
        <n v="8"/>
        <n v="9"/>
        <d v="1900-01-19T00:00:00"/>
        <n v="10"/>
        <n v="14"/>
        <n v="12"/>
      </sharedItems>
    </cacheField>
    <cacheField name="Month" numFmtId="164">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Quarter" numFmtId="164">
      <sharedItems count="12">
        <e v="#VALUE!"/>
        <s v="Q1-2024"/>
        <s v="Q4-2024"/>
        <s v="Q1-2023"/>
        <s v="Q1-2025"/>
        <s v="Q4-2023"/>
        <s v="Q2-2024"/>
        <s v="Q2-2025"/>
        <s v="Q3-2025"/>
        <s v="Q2-2023"/>
        <s v="Q3-2024"/>
        <s v="Q3-2023"/>
      </sharedItems>
    </cacheField>
    <cacheField name="Meets7DayTarget" numFmtId="0">
      <sharedItems/>
    </cacheField>
    <cacheField name="LeadTimeDays" numFmtId="0">
      <sharedItems containsSemiMixedTypes="0" containsDate="1" containsString="0" containsMixedTypes="1" minDate="1899-12-31T00:00:00" maxDate="1900-01-30T00:00:00"/>
    </cacheField>
    <cacheField name="CorrectedRequiredDate" numFmtId="164">
      <sharedItems containsSemiMixedTypes="0" containsNonDate="0" containsDate="1" containsString="0" minDate="2023-01-05T00:00:00" maxDate="2025-10-06T00:00:00"/>
    </cacheField>
    <cacheField name="RequiredDate" numFmtId="164">
      <sharedItems containsSemiMixedTypes="0" containsNonDate="0" containsDate="1" containsString="0" minDate="2023-01-05T00:00:00" maxDate="2025-10-06T00:00:0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5">
        <s v="Retail"/>
        <s v="Online"/>
        <s v="Marketplace"/>
        <s v="Distributor"/>
        <s v="Direct"/>
      </sharedItems>
    </cacheField>
    <cacheField name="Salesperson" numFmtId="0">
      <sharedItems containsBlank="1" count="16">
        <s v="C. Otieno"/>
        <s v="J. Njeri"/>
        <s v="I. Johnson"/>
        <s v="G. Dubois"/>
        <s v="L. Okafor"/>
        <s v="B. Chen"/>
        <s v="E. Garcia"/>
        <s v="O. Wang"/>
        <s v="A. Patel"/>
        <s v="F. Müller"/>
        <s v="H. Kim"/>
        <s v="K. Singh"/>
        <s v="M. Rossi"/>
        <s v="N. Brown"/>
        <s v="D. Smith"/>
        <m/>
      </sharedItems>
    </cacheField>
    <cacheField name="ProductCategory" numFmtId="0">
      <sharedItems count="7">
        <s v="Components"/>
        <s v="Printers"/>
        <s v="Networking"/>
        <s v="Phones"/>
        <s v="Laptops"/>
        <s v="Monitors"/>
        <s v="Accessories"/>
      </sharedItems>
    </cacheField>
    <cacheField name="SKU" numFmtId="0">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5">
      <sharedItems containsSemiMixedTypes="0" containsString="0" containsNumber="1" minValue="5.34" maxValue="1495.79"/>
    </cacheField>
    <cacheField name="UnitPrice" numFmtId="165">
      <sharedItems containsSemiMixedTypes="0" containsString="0" containsNumber="1" minValue="4.22" maxValue="3661.07"/>
    </cacheField>
    <cacheField name="33rdPercentile" numFmtId="165">
      <sharedItems containsSemiMixedTypes="0" containsString="0" containsNumber="1" minValue="815.10700000000008" maxValue="815.10700000000008"/>
    </cacheField>
    <cacheField name="66thPercentile" numFmtId="165">
      <sharedItems containsSemiMixedTypes="0" containsString="0" containsNumber="1" minValue="1620.05" maxValue="1620.05"/>
    </cacheField>
    <cacheField name="PriceBand" numFmtId="165">
      <sharedItems containsBlank="1"/>
    </cacheField>
    <cacheField name="DiscountPct" numFmtId="0">
      <sharedItems containsSemiMixedTypes="0" containsString="0" containsNumber="1" minValue="0" maxValue="0.56499999999999995"/>
    </cacheField>
    <cacheField name="Discount&gt;20" numFmtId="0">
      <sharedItems containsSemiMixedTypes="0" containsString="0" containsNumber="1" containsInteger="1" minValue="0" maxValue="1"/>
    </cacheField>
    <cacheField name="Quantity" numFmtId="1">
      <sharedItems containsSemiMixedTypes="0" containsString="0" containsNumber="1" containsInteger="1" minValue="2" maxValue="61"/>
    </cacheField>
    <cacheField name="GrossRevenue" numFmtId="165">
      <sharedItems containsSemiMixedTypes="0" containsString="0" containsNumber="1" minValue="23.68" maxValue="168209.94"/>
    </cacheField>
    <cacheField name="CostOfGoods" numFmtId="165">
      <sharedItems containsSemiMixedTypes="0" containsString="0" containsNumber="1" minValue="22" maxValue="83258.290000000008"/>
    </cacheField>
    <cacheField name="GrossProfit" numFmtId="165">
      <sharedItems containsSemiMixedTypes="0" containsString="0" containsNumber="1" minValue="-68332.88" maxValue="84951.65"/>
    </cacheField>
    <cacheField name="MarginPct" numFmtId="0">
      <sharedItems containsSemiMixedTypes="0" containsString="0" containsNumber="1" minValue="-231.54269449715372" maxValue="0.5992314930991216"/>
    </cacheField>
    <cacheField name="HighDiscountShare" numFmtId="0" formula="'Discount&gt;20'/OrderCount" databaseField="0"/>
    <cacheField name="ComplianceShare" numFmtId="0" formula="'Discount&gt;20'/OrderCount" databaseField="0"/>
    <cacheField name="Non-compliance Rate" numFmtId="0" formula="'Discount&gt;20'/OrderCount" databaseField="0"/>
    <cacheField name="Months (OrderDate)" numFmtId="0" databaseField="0">
      <fieldGroup base="2">
        <rangePr groupBy="months" startDate="2023-01-02T00:00:00" endDate="2025-09-16T00:00:00"/>
        <groupItems count="14">
          <s v="&lt;02/01/2023"/>
          <s v="Jan"/>
          <s v="Feb"/>
          <s v="Mar"/>
          <s v="Apr"/>
          <s v="May"/>
          <s v="Jun"/>
          <s v="Jul"/>
          <s v="Aug"/>
          <s v="Sept"/>
          <s v="Oct"/>
          <s v="Nov"/>
          <s v="Dec"/>
          <s v="&gt;16/09/2025"/>
        </groupItems>
      </fieldGroup>
    </cacheField>
    <cacheField name="Quarters (OrderDate)" numFmtId="0" databaseField="0">
      <fieldGroup base="2">
        <rangePr groupBy="quarters" startDate="2023-01-02T00:00:00" endDate="2025-09-16T00:00:00"/>
        <groupItems count="6">
          <s v="&lt;02/01/2023"/>
          <s v="Qtr1"/>
          <s v="Qtr2"/>
          <s v="Qtr3"/>
          <s v="Qtr4"/>
          <s v="&gt;16/09/2025"/>
        </groupItems>
      </fieldGroup>
    </cacheField>
    <cacheField name="Years (OrderDate)"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211914857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ll Nandaha" refreshedDate="46048.709393055557" createdVersion="8" refreshedVersion="8" minRefreshableVersion="3" recordCount="632" xr:uid="{4107F18D-717F-4723-BFF5-43F71775C56F}">
  <cacheSource type="worksheet">
    <worksheetSource ref="A1:AG1048576" sheet="SALES DATA"/>
  </cacheSource>
  <cacheFields count="37">
    <cacheField name="OrderID" numFmtId="0">
      <sharedItems containsBlank="1"/>
    </cacheField>
    <cacheField name="OrderCount" numFmtId="0">
      <sharedItems containsString="0" containsBlank="1" containsNumber="1" containsInteger="1" minValue="1" maxValue="1"/>
    </cacheField>
    <cacheField name="OrderDate" numFmtId="164">
      <sharedItems containsNonDate="0" containsDate="1" containsString="0" containsBlank="1" minDate="2023-01-02T00:00:00" maxDate="2025-09-16T00:00:00" count="469">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m/>
      </sharedItems>
      <fieldGroup par="36"/>
    </cacheField>
    <cacheField name="OrderMonthKey" numFmtId="0">
      <sharedItems containsDate="1" containsString="0" containsBlank="1" containsMixedTypes="1" minDate="2453-11-16T00:00:00" maxDate="2454-06-06T00:00:00"/>
    </cacheField>
    <cacheField name="CountryFirstMonthKey" numFmtId="0">
      <sharedItems containsDate="1" containsString="0" containsBlank="1" containsMixedTypes="1" minDate="2453-11-16T00:00:00" maxDate="2453-11-19T00:00:00"/>
    </cacheField>
    <cacheField name="CohortMonthKey" numFmtId="0">
      <sharedItems containsDate="1" containsString="0" containsBlank="1" containsMixedTypes="1" minDate="2453-11-16T00:00:00" maxDate="2453-11-19T00:00:00"/>
    </cacheField>
    <cacheField name="OffsetMonth" numFmtId="0">
      <sharedItems containsDate="1" containsString="0" containsBlank="1" containsMixedTypes="1" minDate="1899-12-31T00:00:00" maxDate="1900-01-23T00:00:00"/>
    </cacheField>
    <cacheField name="Month" numFmtId="164">
      <sharedItems containsBlank="1"/>
    </cacheField>
    <cacheField name="Quarter" numFmtId="164">
      <sharedItems containsBlank="1" count="13">
        <e v="#VALUE!"/>
        <s v="Q1-2024"/>
        <s v="Q4-2024"/>
        <s v="Q1-2023"/>
        <s v="Q1-2025"/>
        <s v="Q4-2023"/>
        <s v="Q2-2024"/>
        <s v="Q2-2025"/>
        <s v="Q3-2025"/>
        <s v="Q2-2023"/>
        <s v="Q3-2024"/>
        <s v="Q3-2023"/>
        <m/>
      </sharedItems>
      <fieldGroup par="33"/>
    </cacheField>
    <cacheField name="Meets7DayTarget" numFmtId="0">
      <sharedItems containsBlank="1" count="3">
        <s v="No"/>
        <s v="Yes"/>
        <m/>
      </sharedItems>
    </cacheField>
    <cacheField name="LeadTimeDays" numFmtId="0">
      <sharedItems containsDate="1" containsString="0" containsBlank="1" containsMixedTypes="1" minDate="1899-12-31T00:00:00" maxDate="1900-01-30T00:00:00"/>
    </cacheField>
    <cacheField name="CorrectedRequiredDate" numFmtId="164">
      <sharedItems containsNonDate="0" containsDate="1" containsString="0" containsBlank="1" minDate="2023-01-05T00:00:00" maxDate="2025-10-06T00:00:00"/>
    </cacheField>
    <cacheField name="RequiredDate" numFmtId="164">
      <sharedItems containsNonDate="0" containsDate="1" containsString="0" containsBlank="1" minDate="2023-01-05T00:00:00" maxDate="2025-10-06T00:00:00"/>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ount="6">
        <s v="Retail"/>
        <s v="Online"/>
        <s v="Marketplace"/>
        <s v="Distributor"/>
        <s v="Direct"/>
        <m/>
      </sharedItems>
    </cacheField>
    <cacheField name="Salesperson" numFmtId="0">
      <sharedItems containsBlank="1" count="16">
        <s v="C. Otieno"/>
        <s v="J. Njeri"/>
        <s v="I. Johnson"/>
        <s v="G. Dubois"/>
        <s v="L. Okafor"/>
        <s v="B. Chen"/>
        <s v="E. Garcia"/>
        <s v="O. Wang"/>
        <s v="A. Patel"/>
        <s v="F. Müller"/>
        <s v="H. Kim"/>
        <s v="K. Singh"/>
        <s v="M. Rossi"/>
        <s v="N. Brown"/>
        <s v="D. Smith"/>
        <m/>
      </sharedItems>
    </cacheField>
    <cacheField name="ProductCategory" numFmtId="0">
      <sharedItems containsBlank="1" count="8">
        <s v="Components"/>
        <s v="Printers"/>
        <s v="Networking"/>
        <s v="Phones"/>
        <s v="Laptops"/>
        <s v="Monitors"/>
        <s v="Accessories"/>
        <m/>
      </sharedItems>
    </cacheField>
    <cacheField name="SKU" numFmtId="0">
      <sharedItems containsBlank="1"/>
    </cacheField>
    <cacheField name="UnitCost" numFmtId="165">
      <sharedItems containsString="0" containsBlank="1" containsNumber="1" minValue="5.34" maxValue="1495.79"/>
    </cacheField>
    <cacheField name="UnitPrice" numFmtId="165">
      <sharedItems containsString="0" containsBlank="1" containsNumber="1" minValue="4.22" maxValue="3661.07"/>
    </cacheField>
    <cacheField name="33rdPercentile" numFmtId="165">
      <sharedItems containsString="0" containsBlank="1" containsNumber="1" minValue="815.10700000000008" maxValue="815.10700000000008"/>
    </cacheField>
    <cacheField name="66thPercentile" numFmtId="165">
      <sharedItems containsString="0" containsBlank="1" containsNumber="1" minValue="1620.05" maxValue="1620.05"/>
    </cacheField>
    <cacheField name="PriceBand" numFmtId="165">
      <sharedItems containsBlank="1"/>
    </cacheField>
    <cacheField name="DiscountPct" numFmtId="0">
      <sharedItems containsString="0" containsBlank="1" containsNumber="1" minValue="0" maxValue="0.56499999999999995"/>
    </cacheField>
    <cacheField name="Discount&gt;20" numFmtId="0">
      <sharedItems containsString="0" containsBlank="1" containsNumber="1" containsInteger="1" minValue="0" maxValue="1"/>
    </cacheField>
    <cacheField name="Quantity" numFmtId="1">
      <sharedItems containsString="0" containsBlank="1" containsNumber="1" containsInteger="1" minValue="2" maxValue="61"/>
    </cacheField>
    <cacheField name="GrossRevenue" numFmtId="0">
      <sharedItems containsString="0" containsBlank="1" containsNumber="1" minValue="23.68" maxValue="168209.94"/>
    </cacheField>
    <cacheField name="CostOfGoods" numFmtId="0">
      <sharedItems containsString="0" containsBlank="1" containsNumber="1" minValue="22" maxValue="83258.290000000008"/>
    </cacheField>
    <cacheField name="GrossProfit" numFmtId="0">
      <sharedItems containsString="0" containsBlank="1" containsNumber="1" minValue="-68332.88" maxValue="84951.65"/>
    </cacheField>
    <cacheField name="MarginPct" numFmtId="0">
      <sharedItems containsString="0" containsBlank="1" containsNumber="1" minValue="-231.54269449715372" maxValue="0.5992314930991216"/>
    </cacheField>
    <cacheField name="Quarter2" numFmtId="0" databaseField="0">
      <fieldGroup base="8">
        <discretePr count="13">
          <x v="0"/>
          <x v="2"/>
          <x v="2"/>
          <x v="2"/>
          <x v="2"/>
          <x v="2"/>
          <x v="2"/>
          <x v="2"/>
          <x v="2"/>
          <x v="2"/>
          <x v="2"/>
          <x v="2"/>
          <x v="1"/>
        </discretePr>
        <groupItems count="3">
          <e v="#VALUE!"/>
          <m/>
          <s v="Group1"/>
        </groupItems>
      </fieldGroup>
    </cacheField>
    <cacheField name="Months (OrderDate)" numFmtId="0" databaseField="0">
      <fieldGroup base="2">
        <rangePr groupBy="months" startDate="2023-01-02T00:00:00" endDate="2025-09-16T00:00:00"/>
        <groupItems count="14">
          <s v="&lt;02/01/2023"/>
          <s v="Jan"/>
          <s v="Feb"/>
          <s v="Mar"/>
          <s v="Apr"/>
          <s v="May"/>
          <s v="Jun"/>
          <s v="Jul"/>
          <s v="Aug"/>
          <s v="Sept"/>
          <s v="Oct"/>
          <s v="Nov"/>
          <s v="Dec"/>
          <s v="&gt;16/09/2025"/>
        </groupItems>
      </fieldGroup>
    </cacheField>
    <cacheField name="Quarters (OrderDate)" numFmtId="0" databaseField="0">
      <fieldGroup base="2">
        <rangePr groupBy="quarters" startDate="2023-01-02T00:00:00" endDate="2025-09-16T00:00:00"/>
        <groupItems count="6">
          <s v="&lt;02/01/2023"/>
          <s v="Qtr1"/>
          <s v="Qtr2"/>
          <s v="Qtr3"/>
          <s v="Qtr4"/>
          <s v="&gt;16/09/2025"/>
        </groupItems>
      </fieldGroup>
    </cacheField>
    <cacheField name="Years (OrderDate)"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s v="ACC-6626"/>
    <x v="0"/>
    <n v="88163.33"/>
    <n v="890918.11999999976"/>
    <n v="9.8957836888534739E-2"/>
    <n v="9.8957836888534739E-2"/>
    <x v="0"/>
  </r>
  <r>
    <s v="ACC-9533"/>
    <x v="0"/>
    <n v="47872.08"/>
    <n v="890918.11999999976"/>
    <n v="5.373342277514797E-2"/>
    <n v="0.15269125966368272"/>
    <x v="0"/>
  </r>
  <r>
    <s v="ACC-9283"/>
    <x v="0"/>
    <n v="46450.26"/>
    <n v="890918.11999999976"/>
    <n v="5.2137518540985577E-2"/>
    <n v="0.2048287782046683"/>
    <x v="0"/>
  </r>
  <r>
    <s v="ACC-8098"/>
    <x v="0"/>
    <n v="42756.659999999996"/>
    <n v="890918.11999999976"/>
    <n v="4.7991683006739172E-2"/>
    <n v="0.25282046121140744"/>
    <x v="0"/>
  </r>
  <r>
    <s v="ACC-4490"/>
    <x v="0"/>
    <n v="40873.299999999996"/>
    <n v="890918.11999999976"/>
    <n v="4.587772892081262E-2"/>
    <n v="0.29869819013222004"/>
    <x v="0"/>
  </r>
  <r>
    <s v="ACC-7838"/>
    <x v="0"/>
    <n v="39514.32"/>
    <n v="890918.11999999976"/>
    <n v="4.4352358665687493E-2"/>
    <n v="0.34305054879790753"/>
    <x v="0"/>
  </r>
  <r>
    <s v="ACC-1375"/>
    <x v="0"/>
    <n v="37382.07"/>
    <n v="890918.11999999976"/>
    <n v="4.1959041084493838E-2"/>
    <n v="0.38500958988240136"/>
    <x v="0"/>
  </r>
  <r>
    <s v="ACC-9162"/>
    <x v="0"/>
    <n v="35627.410000000003"/>
    <n v="890918.11999999976"/>
    <n v="3.998954471820599E-2"/>
    <n v="0.42499913460060734"/>
    <x v="0"/>
  </r>
  <r>
    <s v="ACC-5177"/>
    <x v="0"/>
    <n v="34139.159999999996"/>
    <n v="890918.11999999976"/>
    <n v="3.8319076954007852E-2"/>
    <n v="0.46331821155461517"/>
    <x v="0"/>
  </r>
  <r>
    <s v="ACC-8557"/>
    <x v="0"/>
    <n v="29477.420000000002"/>
    <n v="890918.11999999976"/>
    <n v="3.3086564677795541E-2"/>
    <n v="0.49640477623241069"/>
    <x v="0"/>
  </r>
  <r>
    <s v="ACC-3103"/>
    <x v="0"/>
    <n v="27845.16"/>
    <n v="890918.11999999976"/>
    <n v="3.1254454674241004E-2"/>
    <n v="0.52765923090665168"/>
    <x v="0"/>
  </r>
  <r>
    <s v="ACC-5334"/>
    <x v="0"/>
    <n v="27630.18"/>
    <n v="890918.11999999976"/>
    <n v="3.1013153038126566E-2"/>
    <n v="0.55867238394477825"/>
    <x v="0"/>
  </r>
  <r>
    <s v="ACC-9644"/>
    <x v="0"/>
    <n v="23668.560000000001"/>
    <n v="890918.11999999976"/>
    <n v="2.6566481777247956E-2"/>
    <n v="0.58523886572202621"/>
    <x v="0"/>
  </r>
  <r>
    <s v="ACC-3721"/>
    <x v="0"/>
    <n v="22526.66"/>
    <n v="890918.11999999976"/>
    <n v="2.5284770277205729E-2"/>
    <n v="0.61052363599923198"/>
    <x v="0"/>
  </r>
  <r>
    <s v="ACC-4483"/>
    <x v="0"/>
    <n v="22325.579999999998"/>
    <n v="890918.11999999976"/>
    <n v="2.5059070523787308E-2"/>
    <n v="0.63558270652301929"/>
    <x v="0"/>
  </r>
  <r>
    <s v="ACC-9038"/>
    <x v="0"/>
    <n v="22285.620000000003"/>
    <n v="890918.11999999976"/>
    <n v="2.5014217917130262E-2"/>
    <n v="0.6605969244401495"/>
    <x v="0"/>
  </r>
  <r>
    <s v="ACC-6348"/>
    <x v="0"/>
    <n v="21038"/>
    <n v="890918.11999999976"/>
    <n v="2.3613842313589945E-2"/>
    <n v="0.68421076675373949"/>
    <x v="0"/>
  </r>
  <r>
    <s v="ACC-3645"/>
    <x v="0"/>
    <n v="21015.5"/>
    <n v="890918.11999999976"/>
    <n v="2.3588587467499263E-2"/>
    <n v="0.70779935422123874"/>
    <x v="0"/>
  </r>
  <r>
    <s v="ACC-8999"/>
    <x v="0"/>
    <n v="20657.3"/>
    <n v="890918.11999999976"/>
    <n v="2.3186530317735602E-2"/>
    <n v="0.7309858845389744"/>
    <x v="0"/>
  </r>
  <r>
    <s v="ACC-9150"/>
    <x v="0"/>
    <n v="19745.599999999999"/>
    <n v="890918.11999999976"/>
    <n v="2.2163203954141154E-2"/>
    <n v="0.75314908849311557"/>
    <x v="0"/>
  </r>
  <r>
    <s v="ACC-3415"/>
    <x v="0"/>
    <n v="19609.759999999998"/>
    <n v="890918.11999999976"/>
    <n v="2.2010732030009677E-2"/>
    <n v="0.77515982052312526"/>
    <x v="0"/>
  </r>
  <r>
    <s v="ACC-8620"/>
    <x v="0"/>
    <n v="16594.72"/>
    <n v="890918.11999999976"/>
    <n v="1.8626537756354093E-2"/>
    <n v="0.79378635827947941"/>
    <x v="0"/>
  </r>
  <r>
    <s v="ACC-1075"/>
    <x v="0"/>
    <n v="14428.64"/>
    <n v="890918.11999999976"/>
    <n v="1.6195248111016088E-2"/>
    <n v="0.80998160639049555"/>
    <x v="1"/>
  </r>
  <r>
    <s v="ACC-3961"/>
    <x v="0"/>
    <n v="12428.4"/>
    <n v="890918.11999999976"/>
    <n v="1.3950103517930473E-2"/>
    <n v="0.82393170990842601"/>
    <x v="1"/>
  </r>
  <r>
    <s v="ACC-7240"/>
    <x v="0"/>
    <n v="12379.64"/>
    <n v="890918.11999999976"/>
    <n v="1.3895373460357954E-2"/>
    <n v="0.83782708336878398"/>
    <x v="1"/>
  </r>
  <r>
    <s v="ACC-2903"/>
    <x v="0"/>
    <n v="12372.15"/>
    <n v="890918.11999999976"/>
    <n v="1.3886966402703767E-2"/>
    <n v="0.85171404977148779"/>
    <x v="1"/>
  </r>
  <r>
    <s v="ACC-8683"/>
    <x v="0"/>
    <n v="10332.08"/>
    <n v="890918.11999999976"/>
    <n v="1.1597115119849625E-2"/>
    <n v="0.86331116489133741"/>
    <x v="1"/>
  </r>
  <r>
    <s v="ACC-3068"/>
    <x v="0"/>
    <n v="9733.36"/>
    <n v="890918.11999999976"/>
    <n v="1.092508927756459E-2"/>
    <n v="0.87423625416890205"/>
    <x v="1"/>
  </r>
  <r>
    <s v="ACC-5260"/>
    <x v="0"/>
    <n v="9317.52"/>
    <n v="890918.11999999976"/>
    <n v="1.0458334824304621E-2"/>
    <n v="0.88469458899320663"/>
    <x v="1"/>
  </r>
  <r>
    <s v="ACC-2867"/>
    <x v="0"/>
    <n v="9167.2000000000007"/>
    <n v="890918.11999999976"/>
    <n v="1.0289610003666783E-2"/>
    <n v="0.89498419899687343"/>
    <x v="1"/>
  </r>
  <r>
    <s v="ACC-3567"/>
    <x v="0"/>
    <n v="8801.1200000000008"/>
    <n v="890918.11999999976"/>
    <n v="9.8787080455833617E-3"/>
    <n v="0.90486290704245675"/>
    <x v="1"/>
  </r>
  <r>
    <s v="ACC-2902"/>
    <x v="0"/>
    <n v="8757.65"/>
    <n v="890918.11999999976"/>
    <n v="9.8299156829361623E-3"/>
    <n v="0.91469282272539287"/>
    <x v="1"/>
  </r>
  <r>
    <s v="ACC-3951"/>
    <x v="0"/>
    <n v="8354.75"/>
    <n v="890918.11999999976"/>
    <n v="9.377685572272346E-3"/>
    <n v="0.92407050829766524"/>
    <x v="1"/>
  </r>
  <r>
    <s v="ACC-1492"/>
    <x v="0"/>
    <n v="7845"/>
    <n v="890918.11999999976"/>
    <n v="8.8055230036178881E-3"/>
    <n v="0.93287603130128316"/>
    <x v="1"/>
  </r>
  <r>
    <s v="ACC-3833"/>
    <x v="0"/>
    <n v="7783.1600000000008"/>
    <n v="890918.11999999976"/>
    <n v="8.7361114621846529E-3"/>
    <n v="0.94161214276346783"/>
    <x v="1"/>
  </r>
  <r>
    <s v="ACC-1663"/>
    <x v="0"/>
    <n v="7578.84"/>
    <n v="890918.11999999976"/>
    <n v="8.5067750109291771E-3"/>
    <n v="0.95011891777439705"/>
    <x v="2"/>
  </r>
  <r>
    <s v="ACC-2386"/>
    <x v="0"/>
    <n v="7268.7"/>
    <n v="890918.11999999976"/>
    <n v="8.1586622124152127E-3"/>
    <n v="0.95827757998681229"/>
    <x v="2"/>
  </r>
  <r>
    <s v="ACC-1060"/>
    <x v="0"/>
    <n v="5771.7"/>
    <n v="890918.11999999976"/>
    <n v="6.478373119181818E-3"/>
    <n v="0.96475595310599416"/>
    <x v="2"/>
  </r>
  <r>
    <s v="ACC-4056"/>
    <x v="0"/>
    <n v="5148.99"/>
    <n v="890918.11999999976"/>
    <n v="5.7794199987760957E-3"/>
    <n v="0.97053537310477023"/>
    <x v="2"/>
  </r>
  <r>
    <s v="ACC-8242"/>
    <x v="0"/>
    <n v="5034.24"/>
    <n v="890918.11999999976"/>
    <n v="5.6506202837136154E-3"/>
    <n v="0.97618599338848389"/>
    <x v="2"/>
  </r>
  <r>
    <s v="ACC-4587"/>
    <x v="0"/>
    <n v="4986"/>
    <n v="890918.11999999976"/>
    <n v="5.5964738936951927E-3"/>
    <n v="0.98178246728217911"/>
    <x v="2"/>
  </r>
  <r>
    <s v="ACC-7047"/>
    <x v="0"/>
    <n v="4071.8"/>
    <n v="890918.11999999976"/>
    <n v="4.5703414360906717E-3"/>
    <n v="0.9863528087182698"/>
    <x v="2"/>
  </r>
  <r>
    <s v="ACC-8178"/>
    <x v="0"/>
    <n v="3975.66"/>
    <n v="890918.11999999976"/>
    <n v="4.4624302848391955E-3"/>
    <n v="0.99081523900310897"/>
    <x v="2"/>
  </r>
  <r>
    <s v="ACC-7671"/>
    <x v="0"/>
    <n v="3527.7000000000003"/>
    <n v="890918.11999999976"/>
    <n v="3.9596231357377724E-3"/>
    <n v="0.99477486213884669"/>
    <x v="2"/>
  </r>
  <r>
    <s v="ACC-1021"/>
    <x v="0"/>
    <n v="1952.7"/>
    <n v="890918.11999999976"/>
    <n v="2.1917839093900126E-3"/>
    <n v="0.9969666460482367"/>
    <x v="2"/>
  </r>
  <r>
    <s v="ACC-2990"/>
    <x v="0"/>
    <n v="1547.3500000000001"/>
    <n v="890918.11999999976"/>
    <n v="1.7368038265963212E-3"/>
    <n v="0.99870344987483306"/>
    <x v="2"/>
  </r>
  <r>
    <s v="ACC-3349"/>
    <x v="0"/>
    <n v="1131.44"/>
    <n v="890918.11999999976"/>
    <n v="1.2699708027040693E-3"/>
    <n v="0.99997342067753714"/>
    <x v="2"/>
  </r>
  <r>
    <s v="ACC-6777"/>
    <x v="0"/>
    <n v="23.68"/>
    <n v="890918.11999999976"/>
    <n v="2.657932246343806E-5"/>
    <n v="1.0000000000000007"/>
    <x v="2"/>
  </r>
  <r>
    <s v="CMP-8851"/>
    <x v="1"/>
    <n v="168209.94"/>
    <n v="1012412.1400000001"/>
    <n v="0.16614769159129203"/>
    <n v="0.16614769159129203"/>
    <x v="0"/>
  </r>
  <r>
    <s v="CMP-2096"/>
    <x v="1"/>
    <n v="74802.350000000006"/>
    <n v="1012412.1400000001"/>
    <n v="7.3885275615126464E-2"/>
    <n v="0.24003296720641848"/>
    <x v="0"/>
  </r>
  <r>
    <s v="CMP-3731"/>
    <x v="1"/>
    <n v="71596.36"/>
    <n v="1012412.1400000001"/>
    <n v="7.0718590948543936E-2"/>
    <n v="0.31075155815496242"/>
    <x v="0"/>
  </r>
  <r>
    <s v="CMP-8127"/>
    <x v="1"/>
    <n v="58895.1"/>
    <n v="1012412.1400000001"/>
    <n v="5.8173047984193461E-2"/>
    <n v="0.3689246061391559"/>
    <x v="0"/>
  </r>
  <r>
    <s v="CMP-6529"/>
    <x v="1"/>
    <n v="36870.26"/>
    <n v="1012412.1400000001"/>
    <n v="3.6418231808243627E-2"/>
    <n v="0.4053428379473995"/>
    <x v="0"/>
  </r>
  <r>
    <s v="CMP-1156"/>
    <x v="1"/>
    <n v="33308.550000000003"/>
    <n v="1012412.1400000001"/>
    <n v="3.2900188257323743E-2"/>
    <n v="0.43824302620472322"/>
    <x v="0"/>
  </r>
  <r>
    <s v="CMP-4792"/>
    <x v="1"/>
    <n v="31727.68"/>
    <n v="1012412.1400000001"/>
    <n v="3.1338699672250073E-2"/>
    <n v="0.46958172587697328"/>
    <x v="0"/>
  </r>
  <r>
    <s v="CMP-9001"/>
    <x v="1"/>
    <n v="27708"/>
    <n v="1012412.1400000001"/>
    <n v="2.7368300818676469E-2"/>
    <n v="0.49695002669564975"/>
    <x v="0"/>
  </r>
  <r>
    <s v="CMP-6392"/>
    <x v="1"/>
    <n v="27676.35"/>
    <n v="1012412.1400000001"/>
    <n v="2.7337038846649939E-2"/>
    <n v="0.52428706554229965"/>
    <x v="0"/>
  </r>
  <r>
    <s v="CMP-3093"/>
    <x v="1"/>
    <n v="27413.539999999997"/>
    <n v="1012412.1400000001"/>
    <n v="2.7077450888726002E-2"/>
    <n v="0.55136451643102569"/>
    <x v="0"/>
  </r>
  <r>
    <s v="CMP-9307"/>
    <x v="1"/>
    <n v="27094.57"/>
    <n v="1012412.1400000001"/>
    <n v="2.6762391450580587E-2"/>
    <n v="0.57812690788160626"/>
    <x v="0"/>
  </r>
  <r>
    <s v="CMP-6811"/>
    <x v="1"/>
    <n v="25505.279999999999"/>
    <n v="1012412.1400000001"/>
    <n v="2.5192586094433828E-2"/>
    <n v="0.60331949397604012"/>
    <x v="0"/>
  </r>
  <r>
    <s v="CMP-2693"/>
    <x v="1"/>
    <n v="25069.919999999998"/>
    <n v="1012412.1400000001"/>
    <n v="2.4762563593913437E-2"/>
    <n v="0.62808205756995361"/>
    <x v="0"/>
  </r>
  <r>
    <s v="CMP-4630"/>
    <x v="1"/>
    <n v="24818.52"/>
    <n v="1012412.1400000001"/>
    <n v="2.4514245749759578E-2"/>
    <n v="0.65259630331971319"/>
    <x v="0"/>
  </r>
  <r>
    <s v="CMP-3875"/>
    <x v="1"/>
    <n v="24767.100000000002"/>
    <n v="1012412.1400000001"/>
    <n v="2.446345615729183E-2"/>
    <n v="0.67705975947700503"/>
    <x v="0"/>
  </r>
  <r>
    <s v="CMP-8545"/>
    <x v="1"/>
    <n v="23240.48"/>
    <n v="1012412.1400000001"/>
    <n v="2.2955552468977701E-2"/>
    <n v="0.70001531194598277"/>
    <x v="0"/>
  </r>
  <r>
    <s v="CMP-4807"/>
    <x v="1"/>
    <n v="23062.95"/>
    <n v="1012412.1400000001"/>
    <n v="2.2780198981019725E-2"/>
    <n v="0.72279551092700245"/>
    <x v="0"/>
  </r>
  <r>
    <s v="CMP-5946"/>
    <x v="1"/>
    <n v="21919.920000000002"/>
    <n v="1012412.1400000001"/>
    <n v="2.1651182491746888E-2"/>
    <n v="0.74444669341874936"/>
    <x v="0"/>
  </r>
  <r>
    <s v="CMP-3259"/>
    <x v="1"/>
    <n v="20731.14"/>
    <n v="1012412.1400000001"/>
    <n v="2.04769768959902E-2"/>
    <n v="0.76492367031473951"/>
    <x v="0"/>
  </r>
  <r>
    <s v="CMP-9392"/>
    <x v="1"/>
    <n v="19702.16"/>
    <n v="1012412.1400000001"/>
    <n v="1.9460612157416443E-2"/>
    <n v="0.78438428247215597"/>
    <x v="0"/>
  </r>
  <r>
    <s v="CMP-2015"/>
    <x v="1"/>
    <n v="18955.36"/>
    <n v="1012412.1400000001"/>
    <n v="1.8722967901194862E-2"/>
    <n v="0.80310725037335084"/>
    <x v="1"/>
  </r>
  <r>
    <s v="CMP-8196"/>
    <x v="1"/>
    <n v="16781.400000000001"/>
    <n v="1012412.1400000001"/>
    <n v="1.657566058028502E-2"/>
    <n v="0.81968291095363588"/>
    <x v="1"/>
  </r>
  <r>
    <s v="CMP-1555"/>
    <x v="1"/>
    <n v="16627.53"/>
    <n v="1012412.1400000001"/>
    <n v="1.6423677021494425E-2"/>
    <n v="0.83610658797513027"/>
    <x v="1"/>
  </r>
  <r>
    <s v="CMP-1220"/>
    <x v="1"/>
    <n v="16603.199999999997"/>
    <n v="1012412.1400000001"/>
    <n v="1.6399645306505308E-2"/>
    <n v="0.85250623328163555"/>
    <x v="1"/>
  </r>
  <r>
    <s v="CMP-5820"/>
    <x v="1"/>
    <n v="14072.4"/>
    <n v="1012412.1400000001"/>
    <n v="1.3899872832421781E-2"/>
    <n v="0.86640610611405733"/>
    <x v="1"/>
  </r>
  <r>
    <s v="CMP-8390"/>
    <x v="1"/>
    <n v="13883.28"/>
    <n v="1012412.1400000001"/>
    <n v="1.3713071437487899E-2"/>
    <n v="0.88011917755154523"/>
    <x v="1"/>
  </r>
  <r>
    <s v="CMP-5820"/>
    <x v="1"/>
    <n v="13538.999999999998"/>
    <n v="1012412.1400000001"/>
    <n v="1.3373012299121578E-2"/>
    <n v="0.89349218985066681"/>
    <x v="1"/>
  </r>
  <r>
    <s v="CMP-6919"/>
    <x v="1"/>
    <n v="10740.26"/>
    <n v="1012412.1400000001"/>
    <n v="1.0608584760747731E-2"/>
    <n v="0.90410077461141458"/>
    <x v="1"/>
  </r>
  <r>
    <s v="CMP-3720"/>
    <x v="1"/>
    <n v="9786.24"/>
    <n v="1012412.1400000001"/>
    <n v="9.6662610150052113E-3"/>
    <n v="0.91376703562641981"/>
    <x v="1"/>
  </r>
  <r>
    <s v="CMP-6352"/>
    <x v="1"/>
    <n v="9726.92"/>
    <n v="1012412.1400000001"/>
    <n v="9.6076682762812372E-3"/>
    <n v="0.92337470390270104"/>
    <x v="1"/>
  </r>
  <r>
    <s v="CMP-7371"/>
    <x v="1"/>
    <n v="9400.75"/>
    <n v="1012412.1400000001"/>
    <n v="9.2854971099022958E-3"/>
    <n v="0.93266020101260338"/>
    <x v="1"/>
  </r>
  <r>
    <s v="CMP-8658"/>
    <x v="1"/>
    <n v="8809.9"/>
    <n v="1012412.1400000001"/>
    <n v="8.7018909117387699E-3"/>
    <n v="0.94136209192434217"/>
    <x v="1"/>
  </r>
  <r>
    <s v="CMP-5065"/>
    <x v="1"/>
    <n v="8493.75"/>
    <n v="1012412.1400000001"/>
    <n v="8.389616900484816E-3"/>
    <n v="0.94975170882482696"/>
    <x v="1"/>
  </r>
  <r>
    <s v="CMP-1009"/>
    <x v="1"/>
    <n v="7759.01"/>
    <n v="1012412.1400000001"/>
    <n v="7.6638847890543853E-3"/>
    <n v="0.95741559361388129"/>
    <x v="2"/>
  </r>
  <r>
    <s v="CMP-8141"/>
    <x v="1"/>
    <n v="7354.16"/>
    <n v="1012412.1400000001"/>
    <n v="7.2639982369235509E-3"/>
    <n v="0.96467959185080487"/>
    <x v="2"/>
  </r>
  <r>
    <s v="CMP-7256"/>
    <x v="1"/>
    <n v="6967.1"/>
    <n v="1012412.1400000001"/>
    <n v="6.8816835799697142E-3"/>
    <n v="0.97156127543077464"/>
    <x v="2"/>
  </r>
  <r>
    <s v="CMP-1223"/>
    <x v="1"/>
    <n v="6199.7999999999993"/>
    <n v="1012412.1400000001"/>
    <n v="6.1237906530832381E-3"/>
    <n v="0.97768506608385786"/>
    <x v="2"/>
  </r>
  <r>
    <s v="CMP-4610"/>
    <x v="1"/>
    <n v="6088.55"/>
    <n v="1012412.1400000001"/>
    <n v="6.0139045744749759E-3"/>
    <n v="0.98369897065833278"/>
    <x v="2"/>
  </r>
  <r>
    <s v="CMP-3693"/>
    <x v="1"/>
    <n v="5484"/>
    <n v="1012412.1400000001"/>
    <n v="5.4167663378671058E-3"/>
    <n v="0.98911573699619992"/>
    <x v="2"/>
  </r>
  <r>
    <s v="CMP-1072"/>
    <x v="1"/>
    <n v="2690.2"/>
    <n v="1012412.1400000001"/>
    <n v="2.6572182352534801E-3"/>
    <n v="0.99177295523145337"/>
    <x v="2"/>
  </r>
  <r>
    <s v="CMP-5138"/>
    <x v="1"/>
    <n v="2478.04"/>
    <n v="1012412.1400000001"/>
    <n v="2.44765930997232E-3"/>
    <n v="0.99422061454142574"/>
    <x v="2"/>
  </r>
  <r>
    <s v="CMP-2136"/>
    <x v="1"/>
    <n v="2275.44"/>
    <n v="1012412.1400000001"/>
    <n v="2.2475431794012268E-3"/>
    <n v="0.99646815772082697"/>
    <x v="2"/>
  </r>
  <r>
    <s v="CMP-6346"/>
    <x v="1"/>
    <n v="1039.3699999999999"/>
    <n v="1012412.1400000001"/>
    <n v="1.0266273575107463E-3"/>
    <n v="0.99749478507833778"/>
    <x v="2"/>
  </r>
  <r>
    <s v="CMP-5633"/>
    <x v="1"/>
    <n v="899.81999999999994"/>
    <n v="1012412.1400000001"/>
    <n v="8.8878823598460583E-4"/>
    <n v="0.99838357331432237"/>
    <x v="2"/>
  </r>
  <r>
    <s v="CMP-9801"/>
    <x v="1"/>
    <n v="853.45"/>
    <n v="1012412.1400000001"/>
    <n v="8.4298673068064944E-4"/>
    <n v="0.99922656004500299"/>
    <x v="2"/>
  </r>
  <r>
    <s v="CMP-6925"/>
    <x v="1"/>
    <n v="783.04"/>
    <n v="1012412.1400000001"/>
    <n v="7.7343995499698363E-4"/>
    <n v="1"/>
    <x v="2"/>
  </r>
  <r>
    <s v="LAP-8910"/>
    <x v="2"/>
    <n v="121142.28"/>
    <n v="1054982.2500000002"/>
    <n v="0.11482873763989865"/>
    <n v="0.11482873763989865"/>
    <x v="0"/>
  </r>
  <r>
    <s v="LAP-3904"/>
    <x v="2"/>
    <n v="83686.319999999992"/>
    <n v="1054982.2500000002"/>
    <n v="7.9324860678935571E-2"/>
    <n v="0.19415359831883422"/>
    <x v="0"/>
  </r>
  <r>
    <s v="LAP-6499"/>
    <x v="2"/>
    <n v="71325.53"/>
    <n v="1054982.2500000002"/>
    <n v="6.7608274925952533E-2"/>
    <n v="0.26176187324478672"/>
    <x v="0"/>
  </r>
  <r>
    <s v="LAP-8825"/>
    <x v="2"/>
    <n v="58057.65"/>
    <n v="1054982.2500000002"/>
    <n v="5.5031873759013472E-2"/>
    <n v="0.3167937470038002"/>
    <x v="0"/>
  </r>
  <r>
    <s v="LAP-1178"/>
    <x v="2"/>
    <n v="53462.01"/>
    <n v="1054982.2500000002"/>
    <n v="5.067574359663396E-2"/>
    <n v="0.36746949060043416"/>
    <x v="0"/>
  </r>
  <r>
    <s v="LAP-7523"/>
    <x v="2"/>
    <n v="48649.37"/>
    <n v="1054982.2500000002"/>
    <n v="4.611392276979067E-2"/>
    <n v="0.41358341337022481"/>
    <x v="0"/>
  </r>
  <r>
    <s v="LAP-3490"/>
    <x v="2"/>
    <n v="45926.63"/>
    <n v="1054982.2500000002"/>
    <n v="4.3533083139550441E-2"/>
    <n v="0.45711649650977526"/>
    <x v="0"/>
  </r>
  <r>
    <s v="LAP-3385"/>
    <x v="2"/>
    <n v="40814.659999999996"/>
    <n v="1054982.2500000002"/>
    <n v="3.8687532420569146E-2"/>
    <n v="0.49580402893034442"/>
    <x v="0"/>
  </r>
  <r>
    <s v="LAP-7553"/>
    <x v="2"/>
    <n v="40580.82"/>
    <n v="1054982.2500000002"/>
    <n v="3.8465879402236378E-2"/>
    <n v="0.53426990833258081"/>
    <x v="0"/>
  </r>
  <r>
    <s v="LAP-9024"/>
    <x v="2"/>
    <n v="34695.54"/>
    <n v="1054982.2500000002"/>
    <n v="3.2887321089999373E-2"/>
    <n v="0.56715722942258018"/>
    <x v="0"/>
  </r>
  <r>
    <s v="LAP-8633"/>
    <x v="2"/>
    <n v="34246.36"/>
    <n v="1054982.2500000002"/>
    <n v="3.2461550893391804E-2"/>
    <n v="0.59961878031597193"/>
    <x v="0"/>
  </r>
  <r>
    <s v="LAP-6989"/>
    <x v="2"/>
    <n v="30735.43"/>
    <n v="1054982.2500000002"/>
    <n v="2.9133599167189772E-2"/>
    <n v="0.62875237948316176"/>
    <x v="0"/>
  </r>
  <r>
    <s v="LAP-9230"/>
    <x v="2"/>
    <n v="30517.89"/>
    <n v="1054982.2500000002"/>
    <n v="2.8927396645772943E-2"/>
    <n v="0.65767977612893469"/>
    <x v="0"/>
  </r>
  <r>
    <s v="LAP-2806"/>
    <x v="2"/>
    <n v="27240.63"/>
    <n v="1054982.2500000002"/>
    <n v="2.5820936797751805E-2"/>
    <n v="0.68350071292668646"/>
    <x v="0"/>
  </r>
  <r>
    <s v="LAP-5531"/>
    <x v="2"/>
    <n v="24895.51"/>
    <n v="1054982.2500000002"/>
    <n v="2.3598036839008421E-2"/>
    <n v="0.70709874976569487"/>
    <x v="0"/>
  </r>
  <r>
    <s v="LAP-3581"/>
    <x v="2"/>
    <n v="24135.68"/>
    <n v="1054982.2500000002"/>
    <n v="2.2877806711913869E-2"/>
    <n v="0.72997655647760873"/>
    <x v="0"/>
  </r>
  <r>
    <s v="LAP-9100"/>
    <x v="2"/>
    <n v="22649.899999999998"/>
    <n v="1054982.2500000002"/>
    <n v="2.1469460742112007E-2"/>
    <n v="0.75144601721972071"/>
    <x v="0"/>
  </r>
  <r>
    <s v="LAP-6160"/>
    <x v="2"/>
    <n v="21898.800000000003"/>
    <n v="1054982.2500000002"/>
    <n v="2.0757505635758323E-2"/>
    <n v="0.772203522855479"/>
    <x v="0"/>
  </r>
  <r>
    <s v="LAP-7353"/>
    <x v="2"/>
    <n v="18710.28"/>
    <n v="1054982.2500000002"/>
    <n v="1.7735160947020667E-2"/>
    <n v="0.78993868380249965"/>
    <x v="0"/>
  </r>
  <r>
    <s v="LAP-8469"/>
    <x v="2"/>
    <n v="18581.599999999999"/>
    <n v="1054982.2500000002"/>
    <n v="1.7613187330876887E-2"/>
    <n v="0.80755187113337656"/>
    <x v="1"/>
  </r>
  <r>
    <s v="LAP-1482"/>
    <x v="2"/>
    <n v="17992.899999999998"/>
    <n v="1054982.2500000002"/>
    <n v="1.705516846373481E-2"/>
    <n v="0.82460703959711135"/>
    <x v="1"/>
  </r>
  <r>
    <s v="LAP-5763"/>
    <x v="2"/>
    <n v="16539.47"/>
    <n v="1054982.2500000002"/>
    <n v="1.5677486516953245E-2"/>
    <n v="0.84028452611406457"/>
    <x v="1"/>
  </r>
  <r>
    <s v="LAP-9766"/>
    <x v="2"/>
    <n v="16323"/>
    <n v="1054982.2500000002"/>
    <n v="1.5472298230610037E-2"/>
    <n v="0.85575682434467459"/>
    <x v="1"/>
  </r>
  <r>
    <s v="LAP-5150"/>
    <x v="2"/>
    <n v="14844.349999999999"/>
    <n v="1054982.2500000002"/>
    <n v="1.4070710668354842E-2"/>
    <n v="0.86982753501302945"/>
    <x v="1"/>
  </r>
  <r>
    <s v="LAP-1990"/>
    <x v="2"/>
    <n v="13795.800000000001"/>
    <n v="1054982.2500000002"/>
    <n v="1.3076807690366352E-2"/>
    <n v="0.88290434270339579"/>
    <x v="1"/>
  </r>
  <r>
    <s v="LAP-2774"/>
    <x v="2"/>
    <n v="13262.400000000001"/>
    <n v="1054982.2500000002"/>
    <n v="1.2571206766748918E-2"/>
    <n v="0.89547554947014474"/>
    <x v="1"/>
  </r>
  <r>
    <s v="LAP-9932"/>
    <x v="2"/>
    <n v="13218.5"/>
    <n v="1054982.2500000002"/>
    <n v="1.252959469223297E-2"/>
    <n v="0.90800514416237776"/>
    <x v="1"/>
  </r>
  <r>
    <s v="LAP-9016"/>
    <x v="2"/>
    <n v="13201.079999999998"/>
    <n v="1054982.2500000002"/>
    <n v="1.2513082566081083E-2"/>
    <n v="0.92051822672845884"/>
    <x v="1"/>
  </r>
  <r>
    <s v="LAP-3905"/>
    <x v="2"/>
    <n v="10859.64"/>
    <n v="1054982.2500000002"/>
    <n v="1.0293670817684371E-2"/>
    <n v="0.93081189754614324"/>
    <x v="1"/>
  </r>
  <r>
    <s v="LAP-9782"/>
    <x v="2"/>
    <n v="10688.32"/>
    <n v="1054982.2500000002"/>
    <n v="1.0131279459915082E-2"/>
    <n v="0.94094317700605834"/>
    <x v="1"/>
  </r>
  <r>
    <s v="LAP-2378"/>
    <x v="2"/>
    <n v="10333.75"/>
    <n v="1054982.2500000002"/>
    <n v="9.7951884972472258E-3"/>
    <n v="0.95073836550330559"/>
    <x v="2"/>
  </r>
  <r>
    <s v="LAP-7056"/>
    <x v="2"/>
    <n v="9904.5"/>
    <n v="1054982.2500000002"/>
    <n v="9.3883096137399452E-3"/>
    <n v="0.96012667511704552"/>
    <x v="2"/>
  </r>
  <r>
    <s v="LAP-5078"/>
    <x v="2"/>
    <n v="9302.0500000000011"/>
    <n v="1054982.2500000002"/>
    <n v="8.8172573519601869E-3"/>
    <n v="0.96894393246900568"/>
    <x v="2"/>
  </r>
  <r>
    <s v="LAP-4932"/>
    <x v="2"/>
    <n v="8687.51"/>
    <n v="1054982.2500000002"/>
    <n v="8.2347451817317285E-3"/>
    <n v="0.9771786776507374"/>
    <x v="2"/>
  </r>
  <r>
    <s v="LAP-4517"/>
    <x v="2"/>
    <n v="7451.16"/>
    <n v="1054982.2500000002"/>
    <n v="7.0628297300736557E-3"/>
    <n v="0.98424150738081106"/>
    <x v="2"/>
  </r>
  <r>
    <s v="LAP-8119"/>
    <x v="2"/>
    <n v="5820.54"/>
    <n v="1054982.2500000002"/>
    <n v="5.5171923508665656E-3"/>
    <n v="0.98975869973167763"/>
    <x v="2"/>
  </r>
  <r>
    <s v="LAP-5689"/>
    <x v="2"/>
    <n v="4935.16"/>
    <n v="1054982.2500000002"/>
    <n v="4.677955482189391E-3"/>
    <n v="0.99443665521386704"/>
    <x v="2"/>
  </r>
  <r>
    <s v="LAP-8555"/>
    <x v="2"/>
    <n v="4141.7599999999993"/>
    <n v="1054982.2500000002"/>
    <n v="3.9259049145139628E-3"/>
    <n v="0.99836256012838098"/>
    <x v="2"/>
  </r>
  <r>
    <s v="LAP-1066"/>
    <x v="2"/>
    <n v="1107.9000000000001"/>
    <n v="1054982.2500000002"/>
    <n v="1.0501598486609607E-3"/>
    <n v="0.99941271997704195"/>
    <x v="2"/>
  </r>
  <r>
    <s v="LAP-2218"/>
    <x v="2"/>
    <n v="619.57000000000005"/>
    <n v="1054982.2500000002"/>
    <n v="5.872800229577321E-4"/>
    <n v="0.99999999999999967"/>
    <x v="2"/>
  </r>
  <r>
    <s v="MON-6962"/>
    <x v="3"/>
    <n v="124450"/>
    <n v="1084973.7799999993"/>
    <n v="0.11470323273618656"/>
    <n v="0.11470323273618656"/>
    <x v="0"/>
  </r>
  <r>
    <s v="MON-2266"/>
    <x v="3"/>
    <n v="99098.559999999998"/>
    <n v="1084973.7799999993"/>
    <n v="9.1337285588597411E-2"/>
    <n v="0.20604051832478398"/>
    <x v="0"/>
  </r>
  <r>
    <s v="MON-5188"/>
    <x v="3"/>
    <n v="97538.01"/>
    <n v="1084973.7799999993"/>
    <n v="8.9898955899192376E-2"/>
    <n v="0.29593947422397637"/>
    <x v="0"/>
  </r>
  <r>
    <s v="MON-5386"/>
    <x v="3"/>
    <n v="50833.91"/>
    <n v="1084973.7799999993"/>
    <n v="4.6852662190601545E-2"/>
    <n v="0.3427921364145779"/>
    <x v="0"/>
  </r>
  <r>
    <s v="MON-9733"/>
    <x v="3"/>
    <n v="47572.01"/>
    <n v="1084973.7799999993"/>
    <n v="4.3846230090463595E-2"/>
    <n v="0.38663836650504146"/>
    <x v="0"/>
  </r>
  <r>
    <s v="MON-6310"/>
    <x v="3"/>
    <n v="37790.520000000004"/>
    <n v="1084973.7799999993"/>
    <n v="3.4830814068151979E-2"/>
    <n v="0.42146918057319344"/>
    <x v="0"/>
  </r>
  <r>
    <s v="MON-4925"/>
    <x v="3"/>
    <n v="37140.44"/>
    <n v="1084973.7799999993"/>
    <n v="3.4231647515021078E-2"/>
    <n v="0.45570082808821449"/>
    <x v="0"/>
  </r>
  <r>
    <s v="MON-6341"/>
    <x v="3"/>
    <n v="37088.76"/>
    <n v="1084973.7799999993"/>
    <n v="3.4184015027533682E-2"/>
    <n v="0.4898848431157482"/>
    <x v="0"/>
  </r>
  <r>
    <s v="MON-4373"/>
    <x v="3"/>
    <n v="36148.18"/>
    <n v="1084973.7799999993"/>
    <n v="3.331710006853808E-2"/>
    <n v="0.52320194318428626"/>
    <x v="0"/>
  </r>
  <r>
    <s v="MON-8688"/>
    <x v="3"/>
    <n v="35354.559999999998"/>
    <n v="1084973.7799999993"/>
    <n v="3.2585635387428459E-2"/>
    <n v="0.55578757857171468"/>
    <x v="0"/>
  </r>
  <r>
    <s v="MON-3307"/>
    <x v="3"/>
    <n v="35331"/>
    <n v="1084973.7799999993"/>
    <n v="3.2563920576956264E-2"/>
    <n v="0.58835149914867091"/>
    <x v="0"/>
  </r>
  <r>
    <s v="MON-7869"/>
    <x v="3"/>
    <n v="31827.88"/>
    <n v="1084973.7799999993"/>
    <n v="2.9335160523418381E-2"/>
    <n v="0.61768665967208924"/>
    <x v="0"/>
  </r>
  <r>
    <s v="MON-8758"/>
    <x v="3"/>
    <n v="31179.03"/>
    <n v="1084973.7799999993"/>
    <n v="2.8737127638236583E-2"/>
    <n v="0.64642378731032579"/>
    <x v="0"/>
  </r>
  <r>
    <s v="MON-2828"/>
    <x v="3"/>
    <n v="27492.16"/>
    <n v="1084973.7799999993"/>
    <n v="2.5339008653278254E-2"/>
    <n v="0.671762795963604"/>
    <x v="0"/>
  </r>
  <r>
    <s v="MON-4959"/>
    <x v="3"/>
    <n v="27041.040000000001"/>
    <n v="1084973.7799999993"/>
    <n v="2.4923219803523747E-2"/>
    <n v="0.69668601576712774"/>
    <x v="0"/>
  </r>
  <r>
    <s v="MON-9906"/>
    <x v="3"/>
    <n v="26150.5"/>
    <n v="1084973.7799999993"/>
    <n v="2.4102425774750073E-2"/>
    <n v="0.72078844154187782"/>
    <x v="0"/>
  </r>
  <r>
    <s v="MON-4361"/>
    <x v="3"/>
    <n v="22825.32"/>
    <n v="1084973.7799999993"/>
    <n v="2.1037669684515339E-2"/>
    <n v="0.74182611122639319"/>
    <x v="0"/>
  </r>
  <r>
    <s v="MON-4830"/>
    <x v="3"/>
    <n v="21202.06"/>
    <n v="1084973.7799999993"/>
    <n v="1.9541541363331392E-2"/>
    <n v="0.76136765258972461"/>
    <x v="0"/>
  </r>
  <r>
    <s v="MON-9274"/>
    <x v="3"/>
    <n v="21195.07"/>
    <n v="1084973.7799999993"/>
    <n v="1.9535098811327967E-2"/>
    <n v="0.78090275140105259"/>
    <x v="0"/>
  </r>
  <r>
    <s v="MON-6065"/>
    <x v="3"/>
    <n v="15325.16"/>
    <n v="1084973.7799999993"/>
    <n v="1.4124912769781412E-2"/>
    <n v="0.79502766417083404"/>
    <x v="0"/>
  </r>
  <r>
    <s v="MON-6892"/>
    <x v="3"/>
    <n v="15184.86"/>
    <n v="1084973.7799999993"/>
    <n v="1.3995600889083247E-2"/>
    <n v="0.80902326505991728"/>
    <x v="1"/>
  </r>
  <r>
    <s v="MON-2073"/>
    <x v="3"/>
    <n v="14356.09"/>
    <n v="1084973.7799999993"/>
    <n v="1.3231739111704624E-2"/>
    <n v="0.82225500417162189"/>
    <x v="1"/>
  </r>
  <r>
    <s v="MON-4789"/>
    <x v="3"/>
    <n v="13781.04"/>
    <n v="1084973.7799999993"/>
    <n v="1.2701726303468835E-2"/>
    <n v="0.83495673047509078"/>
    <x v="1"/>
  </r>
  <r>
    <s v="MON-6287"/>
    <x v="3"/>
    <n v="13257.599999999999"/>
    <n v="1084973.7799999993"/>
    <n v="1.2219281465032277E-2"/>
    <n v="0.84717601194012304"/>
    <x v="1"/>
  </r>
  <r>
    <s v="MON-8973"/>
    <x v="3"/>
    <n v="12209.12"/>
    <n v="1084973.7799999993"/>
    <n v="1.1252917098144076E-2"/>
    <n v="0.85842892903826706"/>
    <x v="1"/>
  </r>
  <r>
    <s v="MON-2465"/>
    <x v="3"/>
    <n v="11671.66"/>
    <n v="1084973.7799999993"/>
    <n v="1.0757550288450294E-2"/>
    <n v="0.86918647932671733"/>
    <x v="1"/>
  </r>
  <r>
    <s v="MON-5749"/>
    <x v="3"/>
    <n v="10065.870000000001"/>
    <n v="1084973.7799999993"/>
    <n v="9.277523738868608E-3"/>
    <n v="0.87846400306558592"/>
    <x v="1"/>
  </r>
  <r>
    <s v="MON-6053"/>
    <x v="3"/>
    <n v="9872.880000000001"/>
    <n v="1084973.7799999993"/>
    <n v="9.0996484726110216E-3"/>
    <n v="0.88756365153819694"/>
    <x v="1"/>
  </r>
  <r>
    <s v="MON-5517"/>
    <x v="3"/>
    <n v="9676.17"/>
    <n v="1084973.7799999993"/>
    <n v="8.918344552068351E-3"/>
    <n v="0.89648199609026524"/>
    <x v="1"/>
  </r>
  <r>
    <s v="MON-7511"/>
    <x v="3"/>
    <n v="9672.5"/>
    <n v="1084973.7799999993"/>
    <n v="8.9149619818462388E-3"/>
    <n v="0.90539695807211151"/>
    <x v="1"/>
  </r>
  <r>
    <s v="MON-2993"/>
    <x v="3"/>
    <n v="9525.5999999999985"/>
    <n v="1084973.7799999993"/>
    <n v="8.7795670048358265E-3"/>
    <n v="0.91417652507694735"/>
    <x v="1"/>
  </r>
  <r>
    <s v="MON-5086"/>
    <x v="3"/>
    <n v="9091.08"/>
    <n v="1084973.7799999993"/>
    <n v="8.3790780639878739E-3"/>
    <n v="0.92255560314093521"/>
    <x v="1"/>
  </r>
  <r>
    <s v="MON-1572"/>
    <x v="3"/>
    <n v="8724.8700000000008"/>
    <n v="1084973.7799999993"/>
    <n v="8.0415491699716516E-3"/>
    <n v="0.93059715231090689"/>
    <x v="1"/>
  </r>
  <r>
    <s v="MON-4271"/>
    <x v="3"/>
    <n v="8695.0500000000011"/>
    <n v="1084973.7799999993"/>
    <n v="8.0140646348154203E-3"/>
    <n v="0.93861121694572236"/>
    <x v="1"/>
  </r>
  <r>
    <s v="MON-1436"/>
    <x v="3"/>
    <n v="8620.64"/>
    <n v="1084973.7799999993"/>
    <n v="7.9454823323011591E-3"/>
    <n v="0.94655669927802355"/>
    <x v="1"/>
  </r>
  <r>
    <s v="MON-7602"/>
    <x v="3"/>
    <n v="8373.36"/>
    <n v="1084973.7799999993"/>
    <n v="7.7175689904690654E-3"/>
    <n v="0.9542742682684926"/>
    <x v="2"/>
  </r>
  <r>
    <s v="MON-5179"/>
    <x v="3"/>
    <n v="8221.84"/>
    <n v="1084973.7799999993"/>
    <n v="7.577915846040081E-3"/>
    <n v="0.96185218411453266"/>
    <x v="2"/>
  </r>
  <r>
    <s v="MON-5259"/>
    <x v="3"/>
    <n v="7519.65"/>
    <n v="1084973.7799999993"/>
    <n v="6.930720482480235E-3"/>
    <n v="0.96878290459701288"/>
    <x v="2"/>
  </r>
  <r>
    <s v="MON-2849"/>
    <x v="3"/>
    <n v="6876.75"/>
    <n v="1084973.7799999993"/>
    <n v="6.3381716007920525E-3"/>
    <n v="0.97512107619780497"/>
    <x v="2"/>
  </r>
  <r>
    <s v="MON-9194"/>
    <x v="3"/>
    <n v="6210.2"/>
    <n v="1084973.7799999993"/>
    <n v="5.7238249573183268E-3"/>
    <n v="0.98084490115512335"/>
    <x v="2"/>
  </r>
  <r>
    <s v="MON-3773"/>
    <x v="3"/>
    <n v="6002.92"/>
    <n v="1084973.7799999993"/>
    <n v="5.5327788658634715E-3"/>
    <n v="0.9863776800209868"/>
    <x v="2"/>
  </r>
  <r>
    <s v="MON-8629"/>
    <x v="3"/>
    <n v="3383.88"/>
    <n v="1084973.7799999993"/>
    <n v="3.1188587801633345E-3"/>
    <n v="0.98949653880115018"/>
    <x v="2"/>
  </r>
  <r>
    <s v="MON-8697"/>
    <x v="3"/>
    <n v="2783.5"/>
    <n v="1084973.7799999993"/>
    <n v="2.5654997856261576E-3"/>
    <n v="0.99206203858677633"/>
    <x v="2"/>
  </r>
  <r>
    <s v="MON-4317"/>
    <x v="3"/>
    <n v="2343.66"/>
    <n v="1084973.7799999993"/>
    <n v="2.1601075004780311E-3"/>
    <n v="0.99422214608725434"/>
    <x v="2"/>
  </r>
  <r>
    <s v="MON-7207"/>
    <x v="3"/>
    <n v="2327.4"/>
    <n v="1084973.7799999993"/>
    <n v="2.1451209631996836E-3"/>
    <n v="0.99636726705045398"/>
    <x v="2"/>
  </r>
  <r>
    <s v="MON-7868"/>
    <x v="3"/>
    <n v="1976.3999999999999"/>
    <n v="1084973.7799999993"/>
    <n v="1.8216108411394062E-3"/>
    <n v="0.99818887789159338"/>
    <x v="2"/>
  </r>
  <r>
    <s v="MON-4215"/>
    <x v="3"/>
    <n v="942.4799999999999"/>
    <n v="1084973.7799999993"/>
    <n v="8.6866615338851828E-4"/>
    <n v="0.99905754404498193"/>
    <x v="2"/>
  </r>
  <r>
    <s v="MON-4330"/>
    <x v="3"/>
    <n v="850.4"/>
    <n v="1084973.7799999993"/>
    <n v="7.8379774302011292E-4"/>
    <n v="0.99984134178800199"/>
    <x v="2"/>
  </r>
  <r>
    <s v="MON-1822"/>
    <x v="3"/>
    <n v="172.14000000000001"/>
    <n v="1084973.7799999993"/>
    <n v="1.5865821199845042E-4"/>
    <n v="1.0000000000000004"/>
    <x v="2"/>
  </r>
  <r>
    <s v="NET-2365"/>
    <x v="4"/>
    <n v="109244"/>
    <n v="1017343.0200000003"/>
    <n v="0.10738167742085651"/>
    <n v="0.10738167742085651"/>
    <x v="0"/>
  </r>
  <r>
    <s v="NET-4735"/>
    <x v="4"/>
    <n v="59702.5"/>
    <n v="1017343.0200000003"/>
    <n v="5.8684729561519954E-2"/>
    <n v="0.16606640698237646"/>
    <x v="0"/>
  </r>
  <r>
    <s v="NET-3850"/>
    <x v="4"/>
    <n v="59441.58"/>
    <n v="1017343.0200000003"/>
    <n v="5.8428257560562011E-2"/>
    <n v="0.22449466454293848"/>
    <x v="0"/>
  </r>
  <r>
    <s v="NET-3535"/>
    <x v="4"/>
    <n v="48339.06"/>
    <n v="1017343.0200000003"/>
    <n v="4.7515006295516714E-2"/>
    <n v="0.27200967083845518"/>
    <x v="0"/>
  </r>
  <r>
    <s v="NET-1699"/>
    <x v="4"/>
    <n v="45564.2"/>
    <n v="1017343.0200000003"/>
    <n v="4.4787450352782671E-2"/>
    <n v="0.31679712119123782"/>
    <x v="0"/>
  </r>
  <r>
    <s v="NET-6370"/>
    <x v="4"/>
    <n v="45059.07"/>
    <n v="1017343.0200000003"/>
    <n v="4.4290931489361363E-2"/>
    <n v="0.36108805268059918"/>
    <x v="0"/>
  </r>
  <r>
    <s v="NET-5268"/>
    <x v="4"/>
    <n v="43814.64"/>
    <n v="1017343.0200000003"/>
    <n v="4.3067715744488998E-2"/>
    <n v="0.40415576842508816"/>
    <x v="0"/>
  </r>
  <r>
    <s v="NET-2062"/>
    <x v="4"/>
    <n v="39117.4"/>
    <n v="1017343.0200000003"/>
    <n v="3.8450551319455649E-2"/>
    <n v="0.44260631974454379"/>
    <x v="0"/>
  </r>
  <r>
    <s v="NET-4675"/>
    <x v="4"/>
    <n v="37413.360000000001"/>
    <n v="1017343.0200000003"/>
    <n v="3.6775560715008385E-2"/>
    <n v="0.47938188045955216"/>
    <x v="0"/>
  </r>
  <r>
    <s v="NET-2460"/>
    <x v="4"/>
    <n v="36912.400000000001"/>
    <n v="1017343.0200000003"/>
    <n v="3.6283140764065983E-2"/>
    <n v="0.51566502122361813"/>
    <x v="0"/>
  </r>
  <r>
    <s v="NET-1228"/>
    <x v="4"/>
    <n v="35772.120000000003"/>
    <n v="1017343.0200000003"/>
    <n v="3.5162299535902837E-2"/>
    <n v="0.55082732075952101"/>
    <x v="0"/>
  </r>
  <r>
    <s v="NET-4491"/>
    <x v="4"/>
    <n v="35751.149999999994"/>
    <n v="1017343.0200000003"/>
    <n v="3.5141687019192389E-2"/>
    <n v="0.58596900777871341"/>
    <x v="0"/>
  </r>
  <r>
    <s v="NET-5482"/>
    <x v="4"/>
    <n v="34297.56"/>
    <n v="1017343.0200000003"/>
    <n v="3.3712876901637358E-2"/>
    <n v="0.61968188468035079"/>
    <x v="0"/>
  </r>
  <r>
    <s v="NET-6578"/>
    <x v="4"/>
    <n v="33958.43"/>
    <n v="1017343.0200000003"/>
    <n v="3.3379528175265794E-2"/>
    <n v="0.65306141285561659"/>
    <x v="0"/>
  </r>
  <r>
    <s v="NET-2394"/>
    <x v="4"/>
    <n v="27965.279999999999"/>
    <n v="1017343.0200000003"/>
    <n v="2.7488545603821996E-2"/>
    <n v="0.68054995845943855"/>
    <x v="0"/>
  </r>
  <r>
    <s v="NET-1145"/>
    <x v="4"/>
    <n v="26356.59"/>
    <n v="1017343.0200000003"/>
    <n v="2.5907279532915058E-2"/>
    <n v="0.7064572379923536"/>
    <x v="0"/>
  </r>
  <r>
    <s v="NET-2894"/>
    <x v="4"/>
    <n v="24981.45"/>
    <n v="1017343.0200000003"/>
    <n v="2.4555582049405514E-2"/>
    <n v="0.73101282004175916"/>
    <x v="0"/>
  </r>
  <r>
    <s v="NET-7166"/>
    <x v="4"/>
    <n v="23507.38"/>
    <n v="1017343.0200000003"/>
    <n v="2.3106641061930121E-2"/>
    <n v="0.75411946110368933"/>
    <x v="0"/>
  </r>
  <r>
    <s v="NET-3255"/>
    <x v="4"/>
    <n v="23224.720000000001"/>
    <n v="1017343.0200000003"/>
    <n v="2.2828799670734454E-2"/>
    <n v="0.7769482607744238"/>
    <x v="0"/>
  </r>
  <r>
    <s v="NET-9835"/>
    <x v="4"/>
    <n v="23127.93"/>
    <n v="1017343.0200000003"/>
    <n v="2.2733659685402859E-2"/>
    <n v="0.79968192045982667"/>
    <x v="0"/>
  </r>
  <r>
    <s v="NET-4104"/>
    <x v="4"/>
    <n v="17628.75"/>
    <n v="1017343.0200000003"/>
    <n v="1.7328226225997986E-2"/>
    <n v="0.81701014668582461"/>
    <x v="1"/>
  </r>
  <r>
    <s v="NET-3728"/>
    <x v="4"/>
    <n v="15636.66"/>
    <n v="1017343.0200000003"/>
    <n v="1.5370096115664112E-2"/>
    <n v="0.8323802428014887"/>
    <x v="1"/>
  </r>
  <r>
    <s v="NET-1336"/>
    <x v="4"/>
    <n v="15632.399999999998"/>
    <n v="1017343.0200000003"/>
    <n v="1.5365908737448255E-2"/>
    <n v="0.84774615153893695"/>
    <x v="1"/>
  </r>
  <r>
    <s v="NET-6014"/>
    <x v="4"/>
    <n v="15351.91"/>
    <n v="1017343.0200000003"/>
    <n v="1.5090200353465831E-2"/>
    <n v="0.86283635189240282"/>
    <x v="1"/>
  </r>
  <r>
    <s v="NET-3689"/>
    <x v="4"/>
    <n v="14959.699999999999"/>
    <n v="1017343.0200000003"/>
    <n v="1.4704676501343663E-2"/>
    <n v="0.87754102839374648"/>
    <x v="1"/>
  </r>
  <r>
    <s v="NET-3785"/>
    <x v="4"/>
    <n v="13029.3"/>
    <n v="1017343.0200000003"/>
    <n v="1.2807184738929054E-2"/>
    <n v="0.89034821313267554"/>
    <x v="1"/>
  </r>
  <r>
    <s v="NET-9003"/>
    <x v="4"/>
    <n v="11516.96"/>
    <n v="1017343.0200000003"/>
    <n v="1.1320626154195264E-2"/>
    <n v="0.9016688392868708"/>
    <x v="1"/>
  </r>
  <r>
    <s v="NET-8561"/>
    <x v="4"/>
    <n v="11471.2"/>
    <n v="1017343.0200000003"/>
    <n v="1.1275646241716975E-2"/>
    <n v="0.91294448552858776"/>
    <x v="1"/>
  </r>
  <r>
    <s v="NET-6269"/>
    <x v="4"/>
    <n v="10956.87"/>
    <n v="1017343.0200000003"/>
    <n v="1.0770084214073635E-2"/>
    <n v="0.92371456974266142"/>
    <x v="1"/>
  </r>
  <r>
    <s v="NET-2502"/>
    <x v="4"/>
    <n v="10908.300000000001"/>
    <n v="1017343.0200000003"/>
    <n v="1.0722342204697092E-2"/>
    <n v="0.93443691194735856"/>
    <x v="1"/>
  </r>
  <r>
    <s v="NET-8856"/>
    <x v="4"/>
    <n v="10829.64"/>
    <n v="1017343.0200000003"/>
    <n v="1.06450231505987E-2"/>
    <n v="0.94508193509795724"/>
    <x v="1"/>
  </r>
  <r>
    <s v="NET-9125"/>
    <x v="4"/>
    <n v="10441.400000000001"/>
    <n v="1017343.0200000003"/>
    <n v="1.0263401620428868E-2"/>
    <n v="0.95534533671838606"/>
    <x v="2"/>
  </r>
  <r>
    <s v="NET-1846"/>
    <x v="4"/>
    <n v="9835.74"/>
    <n v="1017343.0200000003"/>
    <n v="9.668066528829183E-3"/>
    <n v="0.9650134032472153"/>
    <x v="2"/>
  </r>
  <r>
    <s v="NET-8329"/>
    <x v="4"/>
    <n v="9607.5499999999993"/>
    <n v="1017343.0200000003"/>
    <n v="9.4437665675437543E-3"/>
    <n v="0.97445716981475905"/>
    <x v="2"/>
  </r>
  <r>
    <s v="NET-9832"/>
    <x v="4"/>
    <n v="6253.06"/>
    <n v="1017343.0200000003"/>
    <n v="6.1464617902425855E-3"/>
    <n v="0.98060363160500164"/>
    <x v="2"/>
  </r>
  <r>
    <s v="NET-1804"/>
    <x v="4"/>
    <n v="5868.38"/>
    <n v="1017343.0200000003"/>
    <n v="5.768339571445626E-3"/>
    <n v="0.98637197117644726"/>
    <x v="2"/>
  </r>
  <r>
    <s v="NET-2932"/>
    <x v="4"/>
    <n v="4588.08"/>
    <n v="1017343.0200000003"/>
    <n v="4.5098653156336582E-3"/>
    <n v="0.99088183649208095"/>
    <x v="2"/>
  </r>
  <r>
    <s v="NET-2439"/>
    <x v="4"/>
    <n v="2981.52"/>
    <n v="1017343.0200000003"/>
    <n v="2.9306929338346463E-3"/>
    <n v="0.99381252942591558"/>
    <x v="2"/>
  </r>
  <r>
    <s v="NET-8610"/>
    <x v="4"/>
    <n v="2893.3799999999997"/>
    <n v="1017343.0200000003"/>
    <n v="2.8440554887770291E-3"/>
    <n v="0.99665658491469256"/>
    <x v="2"/>
  </r>
  <r>
    <s v="NET-7998"/>
    <x v="4"/>
    <n v="2480.92"/>
    <n v="1017343.0200000003"/>
    <n v="2.4386268458400583E-3"/>
    <n v="0.99909521176053262"/>
    <x v="2"/>
  </r>
  <r>
    <s v="NET-1166"/>
    <x v="4"/>
    <n v="920.48"/>
    <n v="1017343.0200000003"/>
    <n v="9.0478823946715608E-4"/>
    <n v="0.99999999999999978"/>
    <x v="2"/>
  </r>
  <r>
    <s v="PHN-8368"/>
    <x v="5"/>
    <n v="52780.07"/>
    <n v="746204.65000000014"/>
    <n v="7.073136035804653E-2"/>
    <n v="7.073136035804653E-2"/>
    <x v="0"/>
  </r>
  <r>
    <s v="PHN-5683"/>
    <x v="5"/>
    <n v="49864.56"/>
    <n v="746204.65000000014"/>
    <n v="6.682424184839908E-2"/>
    <n v="0.13755560220644561"/>
    <x v="0"/>
  </r>
  <r>
    <s v="PHN-7488"/>
    <x v="5"/>
    <n v="44132.600000000006"/>
    <n v="746204.65000000014"/>
    <n v="5.9142756615092114E-2"/>
    <n v="0.19669835882153772"/>
    <x v="0"/>
  </r>
  <r>
    <s v="PHN-4568"/>
    <x v="5"/>
    <n v="43407.360000000001"/>
    <n v="746204.65000000014"/>
    <n v="5.8170851655775652E-2"/>
    <n v="0.25486921047731337"/>
    <x v="0"/>
  </r>
  <r>
    <s v="PHN-4915"/>
    <x v="5"/>
    <n v="41005.360000000001"/>
    <n v="746204.65000000014"/>
    <n v="5.4951895569131062E-2"/>
    <n v="0.30982110604644442"/>
    <x v="0"/>
  </r>
  <r>
    <s v="PHN-9234"/>
    <x v="5"/>
    <n v="35731.079999999994"/>
    <n v="746204.65000000014"/>
    <n v="4.7883754141708965E-2"/>
    <n v="0.3577048601881534"/>
    <x v="0"/>
  </r>
  <r>
    <s v="PHN-2859"/>
    <x v="5"/>
    <n v="35609.760000000002"/>
    <n v="746204.65000000014"/>
    <n v="4.7721171397149556E-2"/>
    <n v="0.40542603158530294"/>
    <x v="0"/>
  </r>
  <r>
    <s v="PHN-4677"/>
    <x v="5"/>
    <n v="33017.42"/>
    <n v="746204.65000000014"/>
    <n v="4.4247137832764766E-2"/>
    <n v="0.44967316941806768"/>
    <x v="0"/>
  </r>
  <r>
    <s v="PHN-7815"/>
    <x v="5"/>
    <n v="30243.84"/>
    <n v="746204.65000000014"/>
    <n v="4.0530221836596693E-2"/>
    <n v="0.49020339125466439"/>
    <x v="0"/>
  </r>
  <r>
    <s v="PHN-4854"/>
    <x v="5"/>
    <n v="28705.119999999999"/>
    <n v="746204.65000000014"/>
    <n v="3.8468160175630095E-2"/>
    <n v="0.52867155143029443"/>
    <x v="0"/>
  </r>
  <r>
    <s v="PHN-3077"/>
    <x v="5"/>
    <n v="28626.48"/>
    <n v="746204.65000000014"/>
    <n v="3.836277353672346E-2"/>
    <n v="0.56703432496701789"/>
    <x v="0"/>
  </r>
  <r>
    <s v="PHN-2341"/>
    <x v="5"/>
    <n v="27009.72"/>
    <n v="746204.65000000014"/>
    <n v="3.6196129305814423E-2"/>
    <n v="0.60323045427283228"/>
    <x v="0"/>
  </r>
  <r>
    <s v="PHN-7274"/>
    <x v="5"/>
    <n v="25291.5"/>
    <n v="746204.65000000014"/>
    <n v="3.3893517013060689E-2"/>
    <n v="0.63712397128589293"/>
    <x v="0"/>
  </r>
  <r>
    <s v="PHN-5887"/>
    <x v="5"/>
    <n v="24989.579999999998"/>
    <n v="746204.65000000014"/>
    <n v="3.3488909510279781E-2"/>
    <n v="0.67061288079617276"/>
    <x v="0"/>
  </r>
  <r>
    <s v="PHN-4566"/>
    <x v="5"/>
    <n v="23645.79"/>
    <n v="746204.65000000014"/>
    <n v="3.1688076454629434E-2"/>
    <n v="0.70230095725080222"/>
    <x v="0"/>
  </r>
  <r>
    <s v="PHN-3482"/>
    <x v="5"/>
    <n v="22793"/>
    <n v="746204.65000000014"/>
    <n v="3.0545239834675376E-2"/>
    <n v="0.7328461970854776"/>
    <x v="0"/>
  </r>
  <r>
    <s v="PHN-6506"/>
    <x v="5"/>
    <n v="20797.98"/>
    <n v="746204.65000000014"/>
    <n v="2.7871683726441526E-2"/>
    <n v="0.76071788081191916"/>
    <x v="0"/>
  </r>
  <r>
    <s v="PHN-3971"/>
    <x v="5"/>
    <n v="17594.57"/>
    <n v="746204.65000000014"/>
    <n v="2.3578746125476432E-2"/>
    <n v="0.78429662693739555"/>
    <x v="0"/>
  </r>
  <r>
    <s v="PHN-2436"/>
    <x v="5"/>
    <n v="15675"/>
    <n v="746204.65000000014"/>
    <n v="2.1006301689489602E-2"/>
    <n v="0.80530292862688513"/>
    <x v="1"/>
  </r>
  <r>
    <s v="PHN-4644"/>
    <x v="5"/>
    <n v="14893.710000000001"/>
    <n v="746204.65000000014"/>
    <n v="1.9959283287768307E-2"/>
    <n v="0.82526221191465343"/>
    <x v="1"/>
  </r>
  <r>
    <s v="PHN-4346"/>
    <x v="5"/>
    <n v="14869.14"/>
    <n v="746204.65000000014"/>
    <n v="1.9926356663684683E-2"/>
    <n v="0.84518856857833813"/>
    <x v="1"/>
  </r>
  <r>
    <s v="PHN-7132"/>
    <x v="5"/>
    <n v="14846.88"/>
    <n v="746204.65000000014"/>
    <n v="1.9896525705113199E-2"/>
    <n v="0.86508509428345137"/>
    <x v="1"/>
  </r>
  <r>
    <s v="PHN-1717"/>
    <x v="5"/>
    <n v="12095.94"/>
    <n v="746204.65000000014"/>
    <n v="1.6209949911193931E-2"/>
    <n v="0.88129504419464533"/>
    <x v="1"/>
  </r>
  <r>
    <s v="PHN-3800"/>
    <x v="5"/>
    <n v="10701.52"/>
    <n v="746204.65000000014"/>
    <n v="1.4341266836115264E-2"/>
    <n v="0.89563631103076058"/>
    <x v="1"/>
  </r>
  <r>
    <s v="PHN-5316"/>
    <x v="5"/>
    <n v="9798.4"/>
    <n v="746204.65000000014"/>
    <n v="1.3130982231214986E-2"/>
    <n v="0.90876729326197558"/>
    <x v="1"/>
  </r>
  <r>
    <s v="PHN-5445"/>
    <x v="5"/>
    <n v="9405.4800000000014"/>
    <n v="746204.65000000014"/>
    <n v="1.2604424268865115E-2"/>
    <n v="0.92137171753084068"/>
    <x v="1"/>
  </r>
  <r>
    <s v="PHN-9107"/>
    <x v="5"/>
    <n v="8917.2999999999993"/>
    <n v="746204.65000000014"/>
    <n v="1.1950206957300518E-2"/>
    <n v="0.93332192448814122"/>
    <x v="1"/>
  </r>
  <r>
    <s v="PHN-2447"/>
    <x v="5"/>
    <n v="8737.5"/>
    <n v="746204.65000000014"/>
    <n v="1.1709254291031285E-2"/>
    <n v="0.94503117877917253"/>
    <x v="1"/>
  </r>
  <r>
    <s v="PHN-3014"/>
    <x v="5"/>
    <n v="6946.8"/>
    <n v="746204.65000000014"/>
    <n v="9.3095104674032775E-3"/>
    <n v="0.95434068924657578"/>
    <x v="2"/>
  </r>
  <r>
    <s v="PHN-2787"/>
    <x v="5"/>
    <n v="6526.03"/>
    <n v="746204.65000000014"/>
    <n v="8.7456303039655393E-3"/>
    <n v="0.96308631955054136"/>
    <x v="2"/>
  </r>
  <r>
    <s v="PHN-3854"/>
    <x v="5"/>
    <n v="5679.95"/>
    <n v="746204.65000000014"/>
    <n v="7.6117858552610185E-3"/>
    <n v="0.97069810540580237"/>
    <x v="2"/>
  </r>
  <r>
    <s v="PHN-4556"/>
    <x v="5"/>
    <n v="5630.68"/>
    <n v="746204.65000000014"/>
    <n v="7.5457583921515357E-3"/>
    <n v="0.97824386379795392"/>
    <x v="2"/>
  </r>
  <r>
    <s v="PHN-5383"/>
    <x v="5"/>
    <n v="5210.92"/>
    <n v="746204.65000000014"/>
    <n v="6.9832317448035187E-3"/>
    <n v="0.98522709554275745"/>
    <x v="2"/>
  </r>
  <r>
    <s v="PHN-2875"/>
    <x v="5"/>
    <n v="4298.16"/>
    <n v="746204.65000000014"/>
    <n v="5.7600284318785723E-3"/>
    <n v="0.99098712397463606"/>
    <x v="2"/>
  </r>
  <r>
    <s v="PHN-4741"/>
    <x v="5"/>
    <n v="3493.24"/>
    <n v="746204.65000000014"/>
    <n v="4.6813431141175532E-3"/>
    <n v="0.99566846708875367"/>
    <x v="2"/>
  </r>
  <r>
    <s v="PHN-1670"/>
    <x v="5"/>
    <n v="2206.8000000000002"/>
    <n v="746204.65000000014"/>
    <n v="2.9573656502944598E-3"/>
    <n v="0.99862583273904815"/>
    <x v="2"/>
  </r>
  <r>
    <s v="PHN-4395"/>
    <x v="5"/>
    <n v="898.51"/>
    <n v="746204.65000000014"/>
    <n v="1.2041066750254101E-3"/>
    <n v="0.99982993941407361"/>
    <x v="2"/>
  </r>
  <r>
    <s v="PHN-7852"/>
    <x v="5"/>
    <n v="126.89999999999999"/>
    <n v="746204.65000000014"/>
    <n v="1.7006058592639427E-4"/>
    <n v="1"/>
    <x v="2"/>
  </r>
  <r>
    <s v="PRN-6308"/>
    <x v="6"/>
    <n v="76739.28"/>
    <n v="896447.29999999981"/>
    <n v="8.5603782843676382E-2"/>
    <n v="8.5603782843676382E-2"/>
    <x v="0"/>
  </r>
  <r>
    <s v="PRN-2407"/>
    <x v="6"/>
    <n v="53430.57"/>
    <n v="896447.29999999981"/>
    <n v="5.9602577864867251E-2"/>
    <n v="0.14520636070854365"/>
    <x v="0"/>
  </r>
  <r>
    <s v="PRN-5384"/>
    <x v="6"/>
    <n v="48779.689999999995"/>
    <n v="896447.29999999981"/>
    <n v="5.4414453588069268E-2"/>
    <n v="0.19962081429661291"/>
    <x v="0"/>
  </r>
  <r>
    <s v="PRN-8970"/>
    <x v="6"/>
    <n v="44729.819999999992"/>
    <n v="896447.29999999981"/>
    <n v="4.9896764706636967E-2"/>
    <n v="0.24951757900324989"/>
    <x v="0"/>
  </r>
  <r>
    <s v="PRN-9490"/>
    <x v="6"/>
    <n v="43907.94"/>
    <n v="896447.29999999981"/>
    <n v="4.897994561420399E-2"/>
    <n v="0.29849752461745388"/>
    <x v="0"/>
  </r>
  <r>
    <s v="PRN-5876"/>
    <x v="6"/>
    <n v="40740"/>
    <n v="896447.29999999981"/>
    <n v="4.5446062473499568E-2"/>
    <n v="0.34394358709095346"/>
    <x v="0"/>
  </r>
  <r>
    <s v="PRN-2293"/>
    <x v="6"/>
    <n v="40325.31"/>
    <n v="896447.29999999981"/>
    <n v="4.4983469747747584E-2"/>
    <n v="0.38892705683870105"/>
    <x v="0"/>
  </r>
  <r>
    <s v="PRN-2749"/>
    <x v="6"/>
    <n v="38435.86"/>
    <n v="896447.29999999981"/>
    <n v="4.2875760794862126E-2"/>
    <n v="0.43180281763356315"/>
    <x v="0"/>
  </r>
  <r>
    <s v="PRN-1371"/>
    <x v="6"/>
    <n v="31162.5"/>
    <n v="896447.29999999981"/>
    <n v="3.4762221939873106E-2"/>
    <n v="0.46656503957343626"/>
    <x v="0"/>
  </r>
  <r>
    <s v="PRN-1271"/>
    <x v="6"/>
    <n v="28386.379999999997"/>
    <n v="896447.29999999981"/>
    <n v="3.1665419707326913E-2"/>
    <n v="0.49823045928076315"/>
    <x v="0"/>
  </r>
  <r>
    <s v="PRN-5753"/>
    <x v="6"/>
    <n v="28253.68"/>
    <n v="896447.29999999981"/>
    <n v="3.1517390927497918E-2"/>
    <n v="0.5297478502082611"/>
    <x v="0"/>
  </r>
  <r>
    <s v="PRN-9378"/>
    <x v="6"/>
    <n v="24330.600000000002"/>
    <n v="896447.29999999981"/>
    <n v="2.7141138134946702E-2"/>
    <n v="0.55688898834320777"/>
    <x v="0"/>
  </r>
  <r>
    <s v="PRN-1923"/>
    <x v="6"/>
    <n v="24320.34"/>
    <n v="896447.29999999981"/>
    <n v="2.7129692955737614E-2"/>
    <n v="0.58401868129894541"/>
    <x v="0"/>
  </r>
  <r>
    <s v="PRN-9669"/>
    <x v="6"/>
    <n v="24056.48"/>
    <n v="896447.29999999981"/>
    <n v="2.6835353288475524E-2"/>
    <n v="0.61085403458742094"/>
    <x v="0"/>
  </r>
  <r>
    <s v="PRN-9322"/>
    <x v="6"/>
    <n v="23539.23"/>
    <n v="896447.29999999981"/>
    <n v="2.6258353391214413E-2"/>
    <n v="0.63711238797863534"/>
    <x v="0"/>
  </r>
  <r>
    <s v="PRN-9557"/>
    <x v="6"/>
    <n v="21664.440000000002"/>
    <n v="896447.29999999981"/>
    <n v="2.4166997881526341E-2"/>
    <n v="0.66127938586016166"/>
    <x v="0"/>
  </r>
  <r>
    <s v="PRN-9975"/>
    <x v="6"/>
    <n v="19020.05"/>
    <n v="896447.29999999981"/>
    <n v="2.1217142379702635E-2"/>
    <n v="0.68249652823986429"/>
    <x v="0"/>
  </r>
  <r>
    <s v="PRN-7303"/>
    <x v="6"/>
    <n v="18143.32"/>
    <n v="896447.29999999981"/>
    <n v="2.0239137314597304E-2"/>
    <n v="0.70273566555446154"/>
    <x v="0"/>
  </r>
  <r>
    <s v="PRN-5107"/>
    <x v="6"/>
    <n v="17223.84"/>
    <n v="896447.29999999981"/>
    <n v="1.921344400278745E-2"/>
    <n v="0.721949109557249"/>
    <x v="0"/>
  </r>
  <r>
    <s v="PRN-1276"/>
    <x v="6"/>
    <n v="15668.56"/>
    <n v="896447.29999999981"/>
    <n v="1.7478506544668052E-2"/>
    <n v="0.7394276161019171"/>
    <x v="0"/>
  </r>
  <r>
    <s v="PRN-6585"/>
    <x v="6"/>
    <n v="15058.5"/>
    <n v="896447.29999999981"/>
    <n v="1.6797975742690065E-2"/>
    <n v="0.75622559184460714"/>
    <x v="0"/>
  </r>
  <r>
    <s v="PRN-2301"/>
    <x v="6"/>
    <n v="14925.33"/>
    <n v="896447.29999999981"/>
    <n v="1.6649422671025951E-2"/>
    <n v="0.77287501451563312"/>
    <x v="0"/>
  </r>
  <r>
    <s v="PRN-3690"/>
    <x v="6"/>
    <n v="14651.28"/>
    <n v="896447.29999999981"/>
    <n v="1.6343715910572772E-2"/>
    <n v="0.78921873042620594"/>
    <x v="0"/>
  </r>
  <r>
    <s v="PRN-4453"/>
    <x v="6"/>
    <n v="13204.53"/>
    <n v="896447.29999999981"/>
    <n v="1.4729845245782996E-2"/>
    <n v="0.80394857567198896"/>
    <x v="1"/>
  </r>
  <r>
    <s v="PRN-6520"/>
    <x v="6"/>
    <n v="12241.079999999998"/>
    <n v="896447.29999999981"/>
    <n v="1.3655102759526411E-2"/>
    <n v="0.81760367843151538"/>
    <x v="1"/>
  </r>
  <r>
    <s v="PRN-4097"/>
    <x v="6"/>
    <n v="12093.68"/>
    <n v="896447.29999999981"/>
    <n v="1.3490675915918317E-2"/>
    <n v="0.83109435434743373"/>
    <x v="1"/>
  </r>
  <r>
    <s v="PRN-1060"/>
    <x v="6"/>
    <n v="11674.74"/>
    <n v="896447.29999999981"/>
    <n v="1.3023342253359459E-2"/>
    <n v="0.84411769660079317"/>
    <x v="1"/>
  </r>
  <r>
    <s v="PRN-1641"/>
    <x v="6"/>
    <n v="11406.96"/>
    <n v="896447.29999999981"/>
    <n v="1.2724629769089607E-2"/>
    <n v="0.85684232636988278"/>
    <x v="1"/>
  </r>
  <r>
    <s v="PRN-6490"/>
    <x v="6"/>
    <n v="11240.56"/>
    <n v="896447.29999999981"/>
    <n v="1.2539008149168392E-2"/>
    <n v="0.8693813345190512"/>
    <x v="1"/>
  </r>
  <r>
    <s v="PRN-8850"/>
    <x v="6"/>
    <n v="10699.56"/>
    <n v="896447.29999999981"/>
    <n v="1.1935514781515881E-2"/>
    <n v="0.88131684930056708"/>
    <x v="1"/>
  </r>
  <r>
    <s v="PRN-6178"/>
    <x v="6"/>
    <n v="9092.64"/>
    <n v="896447.29999999981"/>
    <n v="1.0142972152406506E-2"/>
    <n v="0.89145982145297364"/>
    <x v="1"/>
  </r>
  <r>
    <s v="PRN-9793"/>
    <x v="6"/>
    <n v="8888.4599999999991"/>
    <n v="896447.29999999981"/>
    <n v="9.915206393058467E-3"/>
    <n v="0.90137502784603207"/>
    <x v="1"/>
  </r>
  <r>
    <s v="PRN-3014"/>
    <x v="6"/>
    <n v="8010.12"/>
    <n v="896447.29999999981"/>
    <n v="8.9354053495392331E-3"/>
    <n v="0.91031043319557126"/>
    <x v="1"/>
  </r>
  <r>
    <s v="PRN-4506"/>
    <x v="6"/>
    <n v="7376.6900000000005"/>
    <n v="896447.29999999981"/>
    <n v="8.2288049726961104E-3"/>
    <n v="0.91853923816826732"/>
    <x v="1"/>
  </r>
  <r>
    <s v="PRN-2542"/>
    <x v="6"/>
    <n v="7135.57"/>
    <n v="896447.29999999981"/>
    <n v="7.9598321061371945E-3"/>
    <n v="0.92649907027440448"/>
    <x v="1"/>
  </r>
  <r>
    <s v="PRN-5067"/>
    <x v="6"/>
    <n v="6737.57"/>
    <n v="896447.29999999981"/>
    <n v="7.5158573181044784E-3"/>
    <n v="0.93401492759250893"/>
    <x v="1"/>
  </r>
  <r>
    <s v="PRN-5666"/>
    <x v="6"/>
    <n v="6561.88"/>
    <n v="896447.29999999981"/>
    <n v="7.3198725680806908E-3"/>
    <n v="0.94133480016058957"/>
    <x v="1"/>
  </r>
  <r>
    <s v="PRN-8137"/>
    <x v="6"/>
    <n v="5345.34"/>
    <n v="896447.29999999981"/>
    <n v="5.9628045061879279E-3"/>
    <n v="0.94729760466677748"/>
    <x v="1"/>
  </r>
  <r>
    <s v="PRN-3775"/>
    <x v="6"/>
    <n v="5163.3599999999997"/>
    <n v="896447.29999999981"/>
    <n v="5.7598031696899539E-3"/>
    <n v="0.95305740783646742"/>
    <x v="2"/>
  </r>
  <r>
    <s v="PRN-7976"/>
    <x v="6"/>
    <n v="5104.55"/>
    <n v="896447.29999999981"/>
    <n v="5.6941997594281354E-3"/>
    <n v="0.95875160759589551"/>
    <x v="2"/>
  </r>
  <r>
    <s v="PRN-7410"/>
    <x v="6"/>
    <n v="5088.71"/>
    <n v="896447.29999999981"/>
    <n v="5.6765300090702497E-3"/>
    <n v="0.96442813760496571"/>
    <x v="2"/>
  </r>
  <r>
    <s v="PRN-5813"/>
    <x v="6"/>
    <n v="5013.5199999999995"/>
    <n v="896447.29999999981"/>
    <n v="5.5926544705974359E-3"/>
    <n v="0.97002079207556313"/>
    <x v="2"/>
  </r>
  <r>
    <s v="PRN-5005"/>
    <x v="6"/>
    <n v="4854.08"/>
    <n v="896447.29999999981"/>
    <n v="5.4147968318940792E-3"/>
    <n v="0.97543558890745719"/>
    <x v="2"/>
  </r>
  <r>
    <s v="PRN-4983"/>
    <x v="6"/>
    <n v="4743.66"/>
    <n v="896447.29999999981"/>
    <n v="5.2916217160785704E-3"/>
    <n v="0.98072721062353574"/>
    <x v="2"/>
  </r>
  <r>
    <s v="PRN-8657"/>
    <x v="6"/>
    <n v="4262.41"/>
    <n v="896447.29999999981"/>
    <n v="4.7547803423581073E-3"/>
    <n v="0.98548199096589384"/>
    <x v="2"/>
  </r>
  <r>
    <s v="PRN-1141"/>
    <x v="6"/>
    <n v="3257.9"/>
    <n v="896447.29999999981"/>
    <n v="3.6342348289743311E-3"/>
    <n v="0.98911622579486813"/>
    <x v="2"/>
  </r>
  <r>
    <s v="PRN-1882"/>
    <x v="6"/>
    <n v="2481.5700000000002"/>
    <n v="896447.29999999981"/>
    <n v="2.7682274239656927E-3"/>
    <n v="0.99188445321883378"/>
    <x v="2"/>
  </r>
  <r>
    <s v="PRN-8008"/>
    <x v="6"/>
    <n v="1980.76"/>
    <n v="896447.29999999981"/>
    <n v="2.2095665857881442E-3"/>
    <n v="0.99409401980462198"/>
    <x v="2"/>
  </r>
  <r>
    <s v="PRN-8763"/>
    <x v="6"/>
    <n v="1302.0700000000002"/>
    <n v="896447.29999999981"/>
    <n v="1.4524780207380852E-3"/>
    <n v="0.99554649782536009"/>
    <x v="2"/>
  </r>
  <r>
    <s v="PRN-9960"/>
    <x v="6"/>
    <n v="1286.8000000000002"/>
    <n v="896447.29999999981"/>
    <n v="1.4354441136695938E-3"/>
    <n v="0.99698194193902967"/>
    <x v="2"/>
  </r>
  <r>
    <s v="PRN-5815"/>
    <x v="6"/>
    <n v="946.92"/>
    <n v="896447.29999999981"/>
    <n v="1.0563030308641682E-3"/>
    <n v="0.9980382449698938"/>
    <x v="2"/>
  </r>
  <r>
    <s v="PRN-6429"/>
    <x v="6"/>
    <n v="908.65000000000009"/>
    <n v="896447.29999999981"/>
    <n v="1.0136122893113742E-3"/>
    <n v="0.9990518572592052"/>
    <x v="2"/>
  </r>
  <r>
    <s v="PRN-6276"/>
    <x v="6"/>
    <n v="849.96"/>
    <n v="896447.29999999981"/>
    <n v="9.4814274079469058E-4"/>
    <n v="0.99999999999999989"/>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x v="0"/>
    <m/>
    <x v="0"/>
    <d v="2454-02-26T00:00:00"/>
    <d v="2453-11-16T00:00:00"/>
    <x v="0"/>
    <x v="0"/>
    <x v="0"/>
    <x v="0"/>
    <s v="No"/>
    <d v="1900-01-25T00:00:00"/>
    <d v="2024-04-06T00:00:00"/>
    <d v="2024-04-06T00:00:00"/>
    <x v="0"/>
    <x v="0"/>
    <s v="Kisumu"/>
    <s v="Corporate"/>
    <x v="0"/>
    <x v="0"/>
    <x v="0"/>
    <x v="0"/>
    <n v="279.24"/>
    <n v="608.9"/>
    <n v="815.10700000000008"/>
    <n v="1620.05"/>
    <m/>
    <n v="0.112"/>
    <n v="0"/>
    <n v="9"/>
    <n v="5480.0999999999995"/>
    <n v="2513.16"/>
    <n v="2966.9399999999996"/>
    <n v="0.5414025291509279"/>
  </r>
  <r>
    <x v="1"/>
    <n v="1"/>
    <x v="1"/>
    <n v="202410"/>
    <n v="202301"/>
    <x v="1"/>
    <x v="1"/>
    <x v="1"/>
    <x v="1"/>
    <s v="Yes"/>
    <n v="0"/>
    <d v="2024-10-23T00:00:00"/>
    <d v="2024-10-22T00:00:00"/>
    <x v="0"/>
    <x v="1"/>
    <s v="Port Harcourt"/>
    <s v="Education"/>
    <x v="1"/>
    <x v="1"/>
    <x v="1"/>
    <x v="1"/>
    <n v="1084.3900000000001"/>
    <n v="759.33"/>
    <n v="815.10700000000008"/>
    <n v="1620.05"/>
    <s v="Low"/>
    <n v="0.23699999999999999"/>
    <n v="1"/>
    <n v="31"/>
    <n v="23539.23"/>
    <n v="33616.090000000004"/>
    <n v="-10076.860000000004"/>
    <n v="-0.42808791961334353"/>
  </r>
  <r>
    <x v="2"/>
    <m/>
    <x v="2"/>
    <d v="2453-11-17T00:00:00"/>
    <d v="2453-11-16T00:00:00"/>
    <x v="0"/>
    <x v="2"/>
    <x v="2"/>
    <x v="2"/>
    <s v="No"/>
    <d v="1900-01-24T00:00:00"/>
    <d v="2023-03-25T00:00:00"/>
    <d v="2023-03-25T00:00:00"/>
    <x v="0"/>
    <x v="0"/>
    <s v="Nairobi"/>
    <s v="Corporate"/>
    <x v="0"/>
    <x v="2"/>
    <x v="2"/>
    <x v="2"/>
    <n v="1460.76"/>
    <n v="30.66"/>
    <n v="815.10700000000008"/>
    <n v="1620.05"/>
    <s v="   IF(F2 &lt;= $H$2, &quot;Medium&quot;, &quot;High&quot;))"/>
    <n v="0.13100000000000001"/>
    <n v="0"/>
    <n v="12"/>
    <n v="367.92"/>
    <n v="17529.12"/>
    <n v="-17161.2"/>
    <n v="-46.643835616438359"/>
  </r>
  <r>
    <x v="3"/>
    <n v="1"/>
    <x v="3"/>
    <n v="202503"/>
    <n v="202301"/>
    <x v="1"/>
    <x v="3"/>
    <x v="3"/>
    <x v="3"/>
    <s v="Yes"/>
    <n v="4"/>
    <d v="2025-04-02T00:00:00"/>
    <d v="2025-04-02T00:00:00"/>
    <x v="0"/>
    <x v="1"/>
    <s v="Null"/>
    <s v="Non-Profit"/>
    <x v="2"/>
    <x v="3"/>
    <x v="3"/>
    <x v="3"/>
    <n v="259.93"/>
    <n v="255.94"/>
    <n v="815.10700000000008"/>
    <n v="1620.05"/>
    <s v="Low"/>
    <n v="7.1999999999999995E-2"/>
    <n v="0"/>
    <n v="22"/>
    <n v="5630.68"/>
    <n v="5718.46"/>
    <n v="-87.779999999999745"/>
    <n v="-1.5589591310463344E-2"/>
  </r>
  <r>
    <x v="4"/>
    <m/>
    <x v="4"/>
    <d v="2453-11-27T00:00:00"/>
    <d v="2453-11-18T00:00:00"/>
    <x v="2"/>
    <x v="4"/>
    <x v="4"/>
    <x v="4"/>
    <s v="No"/>
    <d v="1900-01-24T00:00:00"/>
    <d v="2023-12-31T00:00:00"/>
    <d v="2023-12-31T00:00:00"/>
    <x v="1"/>
    <x v="2"/>
    <s v="Osaka"/>
    <s v="Consumer"/>
    <x v="0"/>
    <x v="4"/>
    <x v="1"/>
    <x v="4"/>
    <n v="663.03"/>
    <n v="813.51"/>
    <n v="815.10700000000008"/>
    <n v="1620.05"/>
    <m/>
    <n v="0.10199999999999999"/>
    <n v="0"/>
    <n v="15"/>
    <n v="12202.65"/>
    <n v="9945.4499999999989"/>
    <n v="2257.2000000000007"/>
    <n v="0.1849762141829849"/>
  </r>
  <r>
    <x v="5"/>
    <n v="1"/>
    <x v="5"/>
    <n v="202301"/>
    <n v="202301"/>
    <x v="1"/>
    <x v="5"/>
    <x v="5"/>
    <x v="5"/>
    <s v="Yes"/>
    <n v="3"/>
    <d v="2023-01-05T00:00:00"/>
    <d v="2023-01-05T00:00:00"/>
    <x v="2"/>
    <x v="3"/>
    <s v="Toronto"/>
    <s v="Corporate"/>
    <x v="3"/>
    <x v="5"/>
    <x v="4"/>
    <x v="5"/>
    <n v="315.87"/>
    <n v="591.67999999999995"/>
    <n v="815.10700000000008"/>
    <n v="1620.05"/>
    <s v="Low"/>
    <n v="0"/>
    <n v="0"/>
    <n v="7"/>
    <n v="4141.7599999999993"/>
    <n v="2211.09"/>
    <n v="1930.6699999999992"/>
    <n v="0.46614724175229844"/>
  </r>
  <r>
    <x v="6"/>
    <n v="1"/>
    <x v="6"/>
    <n v="202412"/>
    <n v="202302"/>
    <x v="3"/>
    <x v="6"/>
    <x v="6"/>
    <x v="3"/>
    <s v="No"/>
    <n v="18"/>
    <d v="2025-01-14T00:00:00"/>
    <d v="2025-01-14T00:00:00"/>
    <x v="1"/>
    <x v="4"/>
    <s v="Bengaluru"/>
    <s v="Small Business"/>
    <x v="2"/>
    <x v="6"/>
    <x v="5"/>
    <x v="6"/>
    <n v="586.07000000000005"/>
    <n v="845.97"/>
    <n v="815.10700000000008"/>
    <n v="1620.05"/>
    <s v="Low"/>
    <n v="0.14699999999999999"/>
    <n v="0"/>
    <n v="4"/>
    <n v="3383.88"/>
    <n v="2344.2800000000002"/>
    <n v="1039.5999999999999"/>
    <n v="0.30722129626346084"/>
  </r>
  <r>
    <x v="7"/>
    <n v="1"/>
    <x v="7"/>
    <n v="202301"/>
    <n v="202301"/>
    <x v="1"/>
    <x v="5"/>
    <x v="5"/>
    <x v="2"/>
    <s v="Yes"/>
    <n v="0"/>
    <d v="2023-01-15T00:00:00"/>
    <d v="2023-01-13T00:00:00"/>
    <x v="0"/>
    <x v="1"/>
    <s v="Abuja"/>
    <s v="Education"/>
    <x v="1"/>
    <x v="7"/>
    <x v="1"/>
    <x v="7"/>
    <n v="28.38"/>
    <n v="47.22"/>
    <n v="815.10700000000008"/>
    <n v="1620.05"/>
    <s v="Medium"/>
    <n v="0.19400000000000001"/>
    <n v="0"/>
    <n v="18"/>
    <n v="849.96"/>
    <n v="510.84"/>
    <n v="339.12000000000006"/>
    <n v="0.39898348157560359"/>
  </r>
  <r>
    <x v="8"/>
    <n v="1"/>
    <x v="8"/>
    <n v="202405"/>
    <n v="202301"/>
    <x v="1"/>
    <x v="7"/>
    <x v="7"/>
    <x v="3"/>
    <s v="No"/>
    <n v="25"/>
    <d v="2024-05-29T00:00:00"/>
    <d v="2024-05-29T00:00:00"/>
    <x v="0"/>
    <x v="1"/>
    <s v="Abuja"/>
    <s v="Non-Profit"/>
    <x v="2"/>
    <x v="7"/>
    <x v="5"/>
    <x v="8"/>
    <n v="1295.3399999999999"/>
    <n v="2530.81"/>
    <n v="815.10700000000008"/>
    <n v="1620.05"/>
    <s v="Low"/>
    <n v="3.1E-2"/>
    <n v="0"/>
    <n v="6"/>
    <n v="15184.86"/>
    <n v="7772.0399999999991"/>
    <n v="7412.8200000000015"/>
    <n v="0.48817177109304932"/>
  </r>
  <r>
    <x v="9"/>
    <n v="1"/>
    <x v="9"/>
    <n v="202505"/>
    <n v="202301"/>
    <x v="1"/>
    <x v="8"/>
    <x v="8"/>
    <x v="6"/>
    <s v="No"/>
    <n v="19"/>
    <d v="2025-06-09T00:00:00"/>
    <d v="2025-06-09T00:00:00"/>
    <x v="2"/>
    <x v="5"/>
    <s v="São Paulo"/>
    <s v="Non-Profit"/>
    <x v="1"/>
    <x v="8"/>
    <x v="0"/>
    <x v="9"/>
    <n v="1331.38"/>
    <n v="2309.56"/>
    <n v="815.10700000000008"/>
    <n v="1620.05"/>
    <s v="High"/>
    <n v="0.14899999999999999"/>
    <n v="0"/>
    <n v="31"/>
    <n v="71596.36"/>
    <n v="41272.780000000006"/>
    <n v="30323.579999999994"/>
    <n v="0.42353521882956052"/>
  </r>
  <r>
    <x v="10"/>
    <m/>
    <x v="10"/>
    <d v="2454-02-24T00:00:00"/>
    <d v="2453-11-16T00:00:00"/>
    <x v="0"/>
    <x v="9"/>
    <x v="9"/>
    <x v="7"/>
    <s v="No"/>
    <d v="1900-01-11T00:00:00"/>
    <d v="2024-02-09T00:00:00"/>
    <d v="2024-02-09T00:00:00"/>
    <x v="3"/>
    <x v="6"/>
    <s v="Berlin"/>
    <s v="Corporate"/>
    <x v="1"/>
    <x v="3"/>
    <x v="6"/>
    <x v="10"/>
    <n v="644.16999999999996"/>
    <n v="700.12"/>
    <n v="815.10700000000008"/>
    <n v="1620.05"/>
    <m/>
    <n v="6.0000000000000001E-3"/>
    <n v="0"/>
    <n v="23"/>
    <n v="16102.76"/>
    <n v="14815.91"/>
    <n v="1286.8500000000004"/>
    <n v="7.9914871736273804E-2"/>
  </r>
  <r>
    <x v="11"/>
    <m/>
    <x v="11"/>
    <d v="2454-06-04T00:00:00"/>
    <d v="2453-11-18T00:00:00"/>
    <x v="2"/>
    <x v="10"/>
    <x v="10"/>
    <x v="1"/>
    <s v="No"/>
    <d v="1900-01-19T00:00:00"/>
    <d v="2025-01-23T00:00:00"/>
    <d v="2025-01-23T00:00:00"/>
    <x v="1"/>
    <x v="2"/>
    <s v="Osaka"/>
    <s v="Corporate"/>
    <x v="3"/>
    <x v="9"/>
    <x v="3"/>
    <x v="11"/>
    <n v="908.6"/>
    <n v="691.37"/>
    <n v="815.10700000000008"/>
    <n v="1620.05"/>
    <m/>
    <n v="0.25"/>
    <n v="1"/>
    <n v="20"/>
    <n v="13827.4"/>
    <n v="18172"/>
    <n v="-4344.6000000000004"/>
    <n v="-0.31420223613983833"/>
  </r>
  <r>
    <x v="12"/>
    <n v="1"/>
    <x v="12"/>
    <n v="202503"/>
    <n v="202301"/>
    <x v="1"/>
    <x v="3"/>
    <x v="3"/>
    <x v="4"/>
    <s v="No"/>
    <n v="25"/>
    <d v="2025-03-31T00:00:00"/>
    <d v="2025-03-31T00:00:00"/>
    <x v="2"/>
    <x v="5"/>
    <s v="Brasília"/>
    <s v="Non-Profit"/>
    <x v="1"/>
    <x v="1"/>
    <x v="0"/>
    <x v="12"/>
    <n v="331.57"/>
    <n v="548.4"/>
    <n v="815.10700000000008"/>
    <n v="1620.05"/>
    <s v="Low"/>
    <n v="9.4E-2"/>
    <n v="0"/>
    <n v="10"/>
    <n v="5484"/>
    <n v="3315.7"/>
    <n v="2168.3000000000002"/>
    <n v="0.39538657913931441"/>
  </r>
  <r>
    <x v="13"/>
    <m/>
    <x v="13"/>
    <d v="2454-02-24T00:00:00"/>
    <d v="2453-11-16T00:00:00"/>
    <x v="0"/>
    <x v="9"/>
    <x v="9"/>
    <x v="4"/>
    <s v="No"/>
    <d v="1900-01-23T00:00:00"/>
    <d v="2024-02-13T00:00:00"/>
    <d v="2024-02-13T00:00:00"/>
    <x v="3"/>
    <x v="7"/>
    <s v="Marseille"/>
    <s v="Corporate"/>
    <x v="0"/>
    <x v="10"/>
    <x v="1"/>
    <x v="13"/>
    <n v="643.53"/>
    <n v="1439.01"/>
    <n v="815.10700000000008"/>
    <n v="1620.05"/>
    <m/>
    <n v="0"/>
    <n v="0"/>
    <n v="15"/>
    <n v="21585.15"/>
    <n v="9652.9499999999989"/>
    <n v="11932.200000000003"/>
    <n v="0.55279671440782208"/>
  </r>
  <r>
    <x v="14"/>
    <n v="1"/>
    <x v="14"/>
    <n v="202509"/>
    <n v="202301"/>
    <x v="1"/>
    <x v="11"/>
    <x v="11"/>
    <x v="1"/>
    <s v="No"/>
    <n v="29"/>
    <d v="2025-09-30T00:00:00"/>
    <d v="2025-09-30T00:00:00"/>
    <x v="2"/>
    <x v="5"/>
    <s v="Brasília"/>
    <s v="Education"/>
    <x v="0"/>
    <x v="11"/>
    <x v="6"/>
    <x v="14"/>
    <n v="780.59"/>
    <n v="631.57000000000005"/>
    <n v="815.10700000000008"/>
    <n v="1620.05"/>
    <s v="Medium"/>
    <n v="0"/>
    <n v="0"/>
    <n v="12"/>
    <n v="7578.84"/>
    <n v="9367.08"/>
    <n v="-1788.2399999999998"/>
    <n v="-0.23595167598207639"/>
  </r>
  <r>
    <x v="15"/>
    <m/>
    <x v="15"/>
    <d v="2453-11-19T00:00:00"/>
    <d v="2453-11-16T00:00:00"/>
    <x v="0"/>
    <x v="12"/>
    <x v="12"/>
    <x v="8"/>
    <s v="Yes"/>
    <d v="1899-12-30T00:00:00"/>
    <d v="2023-04-23T00:00:00"/>
    <d v="2023-04-22T00:00:00"/>
    <x v="0"/>
    <x v="0"/>
    <s v="Nairobi"/>
    <s v="Small Business"/>
    <x v="4"/>
    <x v="6"/>
    <x v="4"/>
    <x v="15"/>
    <n v="756.51"/>
    <n v="850.8"/>
    <n v="815.10700000000008"/>
    <n v="1620.05"/>
    <m/>
    <n v="7.3999999999999996E-2"/>
    <n v="0"/>
    <n v="9"/>
    <n v="7657.2"/>
    <n v="6808.59"/>
    <n v="848.60999999999967"/>
    <n v="0.11082510578279263"/>
  </r>
  <r>
    <x v="16"/>
    <m/>
    <x v="16"/>
    <d v="2454-03-07T00:00:00"/>
    <d v="2453-11-16T00:00:00"/>
    <x v="0"/>
    <x v="13"/>
    <x v="6"/>
    <x v="9"/>
    <s v="No"/>
    <d v="1900-01-28T00:00:00"/>
    <d v="2025-01-08T00:00:00"/>
    <d v="2025-01-08T00:00:00"/>
    <x v="3"/>
    <x v="7"/>
    <s v="Marseille"/>
    <s v="Small Business"/>
    <x v="0"/>
    <x v="11"/>
    <x v="1"/>
    <x v="16"/>
    <n v="891.08"/>
    <n v="1040.0999999999999"/>
    <n v="815.10700000000008"/>
    <n v="1620.05"/>
    <m/>
    <n v="0.109"/>
    <n v="0"/>
    <n v="28"/>
    <n v="29122.799999999996"/>
    <n v="24950.240000000002"/>
    <n v="4172.559999999994"/>
    <n v="0.14327468512642996"/>
  </r>
  <r>
    <x v="17"/>
    <m/>
    <x v="17"/>
    <d v="2454-06-12T00:00:00"/>
    <d v="2453-11-18T00:00:00"/>
    <x v="2"/>
    <x v="14"/>
    <x v="11"/>
    <x v="2"/>
    <s v="No"/>
    <d v="1900-01-07T00:00:00"/>
    <d v="2025-09-16T00:00:00"/>
    <d v="2025-09-16T00:00:00"/>
    <x v="1"/>
    <x v="2"/>
    <s v="Osaka"/>
    <s v="Corporate"/>
    <x v="3"/>
    <x v="0"/>
    <x v="3"/>
    <x v="17"/>
    <n v="1225.57"/>
    <n v="2705.57"/>
    <n v="815.10700000000008"/>
    <n v="1620.05"/>
    <m/>
    <n v="0.183"/>
    <n v="0"/>
    <n v="16"/>
    <n v="43289.120000000003"/>
    <n v="19609.12"/>
    <n v="23680.000000000004"/>
    <n v="0.54701966683545433"/>
  </r>
  <r>
    <x v="18"/>
    <n v="1"/>
    <x v="18"/>
    <n v="202507"/>
    <n v="202301"/>
    <x v="1"/>
    <x v="15"/>
    <x v="13"/>
    <x v="8"/>
    <s v="No"/>
    <n v="16"/>
    <d v="2025-08-05T00:00:00"/>
    <d v="2025-08-05T00:00:00"/>
    <x v="2"/>
    <x v="5"/>
    <s v="Brasília"/>
    <s v="Enterprise"/>
    <x v="2"/>
    <x v="3"/>
    <x v="6"/>
    <x v="18"/>
    <n v="1068.17"/>
    <n v="2375.37"/>
    <n v="815.10700000000008"/>
    <n v="1620.05"/>
    <s v="High"/>
    <n v="0.109"/>
    <n v="0"/>
    <n v="18"/>
    <n v="42756.659999999996"/>
    <n v="19227.060000000001"/>
    <n v="23529.599999999995"/>
    <n v="0.55031426683000961"/>
  </r>
  <r>
    <x v="19"/>
    <n v="1"/>
    <x v="9"/>
    <n v="202505"/>
    <n v="202301"/>
    <x v="1"/>
    <x v="8"/>
    <x v="8"/>
    <x v="8"/>
    <s v="Yes"/>
    <n v="0"/>
    <d v="2025-05-21T00:00:00"/>
    <d v="2025-05-19T00:00:00"/>
    <x v="3"/>
    <x v="8"/>
    <s v="Birmingham"/>
    <s v="Enterprise"/>
    <x v="1"/>
    <x v="12"/>
    <x v="4"/>
    <x v="19"/>
    <n v="1015.16"/>
    <n v="2148.14"/>
    <n v="815.10700000000008"/>
    <n v="1620.05"/>
    <s v="High"/>
    <n v="3.7999999999999999E-2"/>
    <n v="0"/>
    <n v="19"/>
    <n v="40814.659999999996"/>
    <n v="19288.04"/>
    <n v="21526.619999999995"/>
    <n v="0.52742372471067989"/>
  </r>
  <r>
    <x v="20"/>
    <m/>
    <x v="19"/>
    <d v="2454-03-02T00:00:00"/>
    <d v="2453-11-16T00:00:00"/>
    <x v="0"/>
    <x v="16"/>
    <x v="14"/>
    <x v="7"/>
    <s v="Yes"/>
    <d v="1899-12-30T00:00:00"/>
    <d v="2024-07-25T00:00:00"/>
    <d v="2024-07-24T00:00:00"/>
    <x v="0"/>
    <x v="0"/>
    <s v="Mombasa"/>
    <s v="Non-Profit"/>
    <x v="4"/>
    <x v="1"/>
    <x v="4"/>
    <x v="20"/>
    <n v="1494.4"/>
    <n v="3661.07"/>
    <n v="815.10700000000008"/>
    <n v="1620.05"/>
    <m/>
    <n v="7.1999999999999995E-2"/>
    <n v="0"/>
    <n v="7"/>
    <n v="25627.49"/>
    <n v="10460.800000000001"/>
    <n v="15166.69"/>
    <n v="0.59181332233472728"/>
  </r>
  <r>
    <x v="21"/>
    <n v="1"/>
    <x v="20"/>
    <n v="202305"/>
    <n v="202301"/>
    <x v="1"/>
    <x v="17"/>
    <x v="15"/>
    <x v="10"/>
    <s v="No"/>
    <n v="17"/>
    <d v="2023-05-28T00:00:00"/>
    <d v="2023-05-28T00:00:00"/>
    <x v="1"/>
    <x v="9"/>
    <s v="Shenzhen"/>
    <s v="Enterprise"/>
    <x v="2"/>
    <x v="6"/>
    <x v="2"/>
    <x v="21"/>
    <n v="1331.19"/>
    <n v="2903.09"/>
    <n v="815.10700000000008"/>
    <n v="1620.05"/>
    <s v="High"/>
    <n v="0.14299999999999999"/>
    <n v="0"/>
    <n v="8"/>
    <n v="23224.720000000001"/>
    <n v="10649.52"/>
    <n v="12575.2"/>
    <n v="0.5414575504031911"/>
  </r>
  <r>
    <x v="22"/>
    <n v="1"/>
    <x v="21"/>
    <n v="202506"/>
    <n v="202301"/>
    <x v="1"/>
    <x v="18"/>
    <x v="16"/>
    <x v="9"/>
    <s v="No"/>
    <n v="15"/>
    <d v="2025-06-29T00:00:00"/>
    <d v="2025-06-29T00:00:00"/>
    <x v="0"/>
    <x v="1"/>
    <s v="Port Harcourt"/>
    <s v="Consumer"/>
    <x v="2"/>
    <x v="12"/>
    <x v="6"/>
    <x v="22"/>
    <n v="730.99"/>
    <n v="1242.8399999999999"/>
    <n v="815.10700000000008"/>
    <n v="1620.05"/>
    <s v="High"/>
    <n v="0.12"/>
    <n v="0"/>
    <n v="10"/>
    <n v="12428.4"/>
    <n v="7309.9"/>
    <n v="5118.5"/>
    <n v="0.41183901387145572"/>
  </r>
  <r>
    <x v="23"/>
    <m/>
    <x v="22"/>
    <d v="2454-02-28T00:00:00"/>
    <d v="2453-11-16T00:00:00"/>
    <x v="0"/>
    <x v="19"/>
    <x v="7"/>
    <x v="7"/>
    <s v="Yes"/>
    <d v="1900-01-04T00:00:00"/>
    <d v="2024-05-23T00:00:00"/>
    <d v="2024-05-23T00:00:00"/>
    <x v="2"/>
    <x v="10"/>
    <s v="Chicago"/>
    <s v="Enterprise"/>
    <x v="0"/>
    <x v="10"/>
    <x v="4"/>
    <x v="23"/>
    <n v="1274.5899999999999"/>
    <n v="2553.69"/>
    <n v="815.10700000000008"/>
    <n v="1620.05"/>
    <m/>
    <n v="0.01"/>
    <n v="0"/>
    <n v="8"/>
    <n v="20429.52"/>
    <n v="10196.719999999999"/>
    <n v="10232.800000000001"/>
    <n v="0.50088303592056993"/>
  </r>
  <r>
    <x v="24"/>
    <n v="1"/>
    <x v="23"/>
    <n v="202302"/>
    <n v="202301"/>
    <x v="1"/>
    <x v="20"/>
    <x v="2"/>
    <x v="6"/>
    <s v="Yes"/>
    <n v="5"/>
    <d v="2023-02-12T00:00:00"/>
    <d v="2023-02-12T00:00:00"/>
    <x v="2"/>
    <x v="5"/>
    <s v="São Paulo"/>
    <s v="Education"/>
    <x v="1"/>
    <x v="13"/>
    <x v="0"/>
    <x v="24"/>
    <n v="948.55"/>
    <n v="2089.16"/>
    <n v="815.10700000000008"/>
    <n v="1620.05"/>
    <s v="High"/>
    <n v="7.0000000000000001E-3"/>
    <n v="0"/>
    <n v="12"/>
    <n v="25069.919999999998"/>
    <n v="11382.599999999999"/>
    <n v="13687.32"/>
    <n v="0.54596584273104987"/>
  </r>
  <r>
    <x v="25"/>
    <n v="1"/>
    <x v="24"/>
    <n v="202406"/>
    <n v="202301"/>
    <x v="1"/>
    <x v="21"/>
    <x v="17"/>
    <x v="3"/>
    <s v="No"/>
    <n v="14"/>
    <d v="2024-07-14T00:00:00"/>
    <d v="2024-07-14T00:00:00"/>
    <x v="2"/>
    <x v="5"/>
    <s v="Brasília"/>
    <s v="Education"/>
    <x v="0"/>
    <x v="0"/>
    <x v="6"/>
    <x v="25"/>
    <n v="1491.85"/>
    <n v="2583.02"/>
    <n v="815.10700000000008"/>
    <n v="1620.05"/>
    <s v="High"/>
    <n v="0.16800000000000001"/>
    <n v="0"/>
    <n v="4"/>
    <n v="10332.08"/>
    <n v="5967.4"/>
    <n v="4364.68"/>
    <n v="0.42243962493515347"/>
  </r>
  <r>
    <x v="26"/>
    <m/>
    <x v="25"/>
    <d v="2454-03-06T00:00:00"/>
    <d v="2453-11-16T00:00:00"/>
    <x v="0"/>
    <x v="10"/>
    <x v="18"/>
    <x v="6"/>
    <s v="No"/>
    <d v="1900-01-29T00:00:00"/>
    <d v="2024-12-30T00:00:00"/>
    <d v="2024-12-30T00:00:00"/>
    <x v="3"/>
    <x v="7"/>
    <s v="Marseille"/>
    <s v="Consumer"/>
    <x v="2"/>
    <x v="9"/>
    <x v="1"/>
    <x v="26"/>
    <n v="117.64"/>
    <n v="175.67"/>
    <n v="815.10700000000008"/>
    <n v="1620.05"/>
    <m/>
    <n v="0"/>
    <n v="0"/>
    <n v="10"/>
    <n v="1756.6999999999998"/>
    <n v="1176.4000000000001"/>
    <n v="580.29999999999973"/>
    <n v="0.33033528775545046"/>
  </r>
  <r>
    <x v="27"/>
    <m/>
    <x v="26"/>
    <d v="2454-03-02T00:00:00"/>
    <d v="2453-11-16T00:00:00"/>
    <x v="0"/>
    <x v="16"/>
    <x v="14"/>
    <x v="2"/>
    <s v="Yes"/>
    <d v="1899-12-30T00:00:00"/>
    <d v="2024-07-19T00:00:00"/>
    <d v="2024-07-19T00:00:00"/>
    <x v="0"/>
    <x v="0"/>
    <s v="Kisumu"/>
    <s v="Small Business"/>
    <x v="0"/>
    <x v="8"/>
    <x v="3"/>
    <x v="27"/>
    <n v="857.24"/>
    <n v="758.23"/>
    <n v="815.10700000000008"/>
    <n v="1620.05"/>
    <m/>
    <n v="0.125"/>
    <n v="0"/>
    <n v="6"/>
    <n v="4549.38"/>
    <n v="5143.4400000000005"/>
    <n v="-594.0600000000004"/>
    <n v="-0.13058043074001302"/>
  </r>
  <r>
    <x v="28"/>
    <m/>
    <x v="27"/>
    <d v="2453-11-19T00:00:00"/>
    <d v="2453-11-16T00:00:00"/>
    <x v="0"/>
    <x v="12"/>
    <x v="12"/>
    <x v="10"/>
    <s v="No"/>
    <d v="1900-01-29T00:00:00"/>
    <d v="2023-05-14T00:00:00"/>
    <d v="2023-05-14T00:00:00"/>
    <x v="0"/>
    <x v="0"/>
    <s v="Nakuru"/>
    <s v="Consumer"/>
    <x v="2"/>
    <x v="12"/>
    <x v="3"/>
    <x v="28"/>
    <n v="209.25"/>
    <n v="434.8"/>
    <n v="815.10700000000008"/>
    <n v="1620.05"/>
    <m/>
    <n v="0"/>
    <n v="0"/>
    <n v="9"/>
    <n v="3913.2000000000003"/>
    <n v="1883.25"/>
    <n v="2029.9500000000003"/>
    <n v="0.51874425022999082"/>
  </r>
  <r>
    <x v="29"/>
    <m/>
    <x v="28"/>
    <d v="2454-06-07T00:00:00"/>
    <d v="2453-11-16T00:00:00"/>
    <x v="0"/>
    <x v="22"/>
    <x v="19"/>
    <x v="9"/>
    <s v="Yes"/>
    <d v="1900-01-03T00:00:00"/>
    <d v="2025-04-11T00:00:00"/>
    <d v="2025-04-11T00:00:00"/>
    <x v="3"/>
    <x v="7"/>
    <s v="Lyon"/>
    <s v="Education"/>
    <x v="0"/>
    <x v="6"/>
    <x v="2"/>
    <x v="29"/>
    <n v="754.77"/>
    <n v="1666.18"/>
    <n v="815.10700000000008"/>
    <n v="1620.05"/>
    <m/>
    <n v="0.13900000000000001"/>
    <n v="0"/>
    <n v="14"/>
    <n v="23326.52"/>
    <n v="10566.779999999999"/>
    <n v="12759.740000000002"/>
    <n v="0.5470057256718962"/>
  </r>
  <r>
    <x v="30"/>
    <n v="1"/>
    <x v="6"/>
    <n v="202412"/>
    <n v="202302"/>
    <x v="3"/>
    <x v="6"/>
    <x v="6"/>
    <x v="7"/>
    <s v="No"/>
    <n v="19"/>
    <d v="2025-01-15T00:00:00"/>
    <d v="2025-01-15T00:00:00"/>
    <x v="1"/>
    <x v="4"/>
    <s v="Delhi"/>
    <s v="Non-Profit"/>
    <x v="3"/>
    <x v="3"/>
    <x v="0"/>
    <x v="30"/>
    <n v="495.59"/>
    <n v="631.78"/>
    <n v="815.10700000000008"/>
    <n v="1620.05"/>
    <s v="High"/>
    <n v="8.6999999999999994E-2"/>
    <n v="0"/>
    <n v="17"/>
    <n v="10740.26"/>
    <n v="8425.0299999999988"/>
    <n v="2315.2300000000014"/>
    <n v="0.21556554496818525"/>
  </r>
  <r>
    <x v="31"/>
    <n v="1"/>
    <x v="29"/>
    <n v="202302"/>
    <n v="202301"/>
    <x v="1"/>
    <x v="20"/>
    <x v="2"/>
    <x v="2"/>
    <s v="No"/>
    <n v="30"/>
    <d v="2023-03-25T00:00:00"/>
    <d v="2023-03-25T00:00:00"/>
    <x v="2"/>
    <x v="3"/>
    <s v="Montreal"/>
    <s v="Enterprise"/>
    <x v="1"/>
    <x v="14"/>
    <x v="3"/>
    <x v="31"/>
    <n v="1242.6600000000001"/>
    <n v="1794.07"/>
    <n v="815.10700000000008"/>
    <n v="1620.05"/>
    <s v="Low"/>
    <n v="8.8999999999999996E-2"/>
    <n v="0"/>
    <n v="16"/>
    <n v="28705.119999999999"/>
    <n v="19882.560000000001"/>
    <n v="8822.5599999999977"/>
    <n v="0.30735144113663337"/>
  </r>
  <r>
    <x v="32"/>
    <m/>
    <x v="30"/>
    <d v="2454-06-10T00:00:00"/>
    <d v="2453-11-16T00:00:00"/>
    <x v="0"/>
    <x v="14"/>
    <x v="13"/>
    <x v="3"/>
    <s v="No"/>
    <d v="1900-01-12T00:00:00"/>
    <d v="2025-08-06T00:00:00"/>
    <d v="2025-08-06T00:00:00"/>
    <x v="0"/>
    <x v="11"/>
    <s v="Johannesburg"/>
    <s v="Education"/>
    <x v="2"/>
    <x v="14"/>
    <x v="2"/>
    <x v="32"/>
    <n v="1463.9"/>
    <n v="2633.02"/>
    <n v="815.10700000000008"/>
    <n v="1620.05"/>
    <m/>
    <n v="8.4000000000000005E-2"/>
    <n v="0"/>
    <n v="4"/>
    <n v="10532.08"/>
    <n v="5855.6"/>
    <n v="4676.4799999999996"/>
    <n v="0.44402245330457035"/>
  </r>
  <r>
    <x v="33"/>
    <n v="1"/>
    <x v="31"/>
    <n v="202404"/>
    <n v="202301"/>
    <x v="1"/>
    <x v="23"/>
    <x v="20"/>
    <x v="8"/>
    <s v="No"/>
    <n v="20"/>
    <d v="2024-05-08T00:00:00"/>
    <d v="2024-05-08T00:00:00"/>
    <x v="3"/>
    <x v="8"/>
    <s v="London"/>
    <s v="Non-Profit"/>
    <x v="1"/>
    <x v="14"/>
    <x v="4"/>
    <x v="33"/>
    <n v="645.33000000000004"/>
    <n v="1321.85"/>
    <n v="815.10700000000008"/>
    <n v="1620.05"/>
    <s v="High"/>
    <n v="0"/>
    <n v="0"/>
    <n v="10"/>
    <n v="13218.5"/>
    <n v="6453.3"/>
    <n v="6765.2"/>
    <n v="0.51179785906116426"/>
  </r>
  <r>
    <x v="34"/>
    <m/>
    <x v="32"/>
    <d v="2454-03-03T00:00:00"/>
    <d v="2453-11-16T00:00:00"/>
    <x v="0"/>
    <x v="24"/>
    <x v="21"/>
    <x v="6"/>
    <s v="Yes"/>
    <d v="1899-12-30T00:00:00"/>
    <d v="2024-08-23T00:00:00"/>
    <d v="2024-08-21T00:00:00"/>
    <x v="0"/>
    <x v="11"/>
    <s v="Johannesburg"/>
    <s v="Education"/>
    <x v="0"/>
    <x v="6"/>
    <x v="0"/>
    <x v="34"/>
    <n v="1432.52"/>
    <n v="3036.87"/>
    <n v="815.10700000000008"/>
    <n v="1620.05"/>
    <m/>
    <n v="0"/>
    <n v="0"/>
    <n v="9"/>
    <n v="27331.829999999998"/>
    <n v="12892.68"/>
    <n v="14439.149999999998"/>
    <n v="0.52829064135112791"/>
  </r>
  <r>
    <x v="35"/>
    <n v="1"/>
    <x v="33"/>
    <n v="202303"/>
    <n v="202302"/>
    <x v="3"/>
    <x v="20"/>
    <x v="22"/>
    <x v="10"/>
    <s v="No"/>
    <n v="26"/>
    <d v="2023-04-22T00:00:00"/>
    <d v="2023-04-22T00:00:00"/>
    <x v="1"/>
    <x v="4"/>
    <s v="Delhi"/>
    <s v="Non-Profit"/>
    <x v="2"/>
    <x v="1"/>
    <x v="1"/>
    <x v="35"/>
    <n v="178.53"/>
    <n v="199.37"/>
    <n v="815.10700000000008"/>
    <n v="1620.05"/>
    <s v="High"/>
    <n v="0.10100000000000001"/>
    <n v="0"/>
    <n v="37"/>
    <n v="7376.6900000000005"/>
    <n v="6605.61"/>
    <n v="771.08000000000084"/>
    <n v="0.10452926719165381"/>
  </r>
  <r>
    <x v="36"/>
    <m/>
    <x v="34"/>
    <d v="2454-02-26T00:00:00"/>
    <d v="2453-11-16T00:00:00"/>
    <x v="0"/>
    <x v="0"/>
    <x v="0"/>
    <x v="3"/>
    <s v="No"/>
    <d v="1900-01-17T00:00:00"/>
    <d v="2024-03-25T00:00:00"/>
    <d v="2024-03-25T00:00:00"/>
    <x v="3"/>
    <x v="6"/>
    <s v="Munich"/>
    <s v="Corporate"/>
    <x v="1"/>
    <x v="5"/>
    <x v="0"/>
    <x v="36"/>
    <n v="712.84"/>
    <n v="927.51"/>
    <n v="815.10700000000008"/>
    <n v="1620.05"/>
    <m/>
    <n v="0.24299999999999999"/>
    <n v="1"/>
    <n v="27"/>
    <n v="25042.77"/>
    <n v="19246.68"/>
    <n v="5796.09"/>
    <n v="0.23144763937855117"/>
  </r>
  <r>
    <x v="37"/>
    <n v="1"/>
    <x v="35"/>
    <n v="202506"/>
    <n v="202301"/>
    <x v="1"/>
    <x v="18"/>
    <x v="16"/>
    <x v="1"/>
    <s v="No"/>
    <n v="16"/>
    <d v="2025-07-10T00:00:00"/>
    <d v="2025-07-10T00:00:00"/>
    <x v="1"/>
    <x v="9"/>
    <s v="Shanghai"/>
    <s v="Enterprise"/>
    <x v="4"/>
    <x v="13"/>
    <x v="0"/>
    <x v="37"/>
    <n v="757.19"/>
    <n v="1735.41"/>
    <n v="815.10700000000008"/>
    <n v="1620.05"/>
    <s v="Medium"/>
    <n v="0.13600000000000001"/>
    <n v="0"/>
    <n v="8"/>
    <n v="13883.28"/>
    <n v="6057.52"/>
    <n v="7825.76"/>
    <n v="0.56368235748324602"/>
  </r>
  <r>
    <x v="38"/>
    <n v="1"/>
    <x v="36"/>
    <n v="202404"/>
    <n v="202301"/>
    <x v="1"/>
    <x v="23"/>
    <x v="20"/>
    <x v="7"/>
    <s v="No"/>
    <n v="17"/>
    <d v="2024-05-06T00:00:00"/>
    <d v="2024-05-06T00:00:00"/>
    <x v="0"/>
    <x v="1"/>
    <s v="Port Harcourt"/>
    <s v="Non-Profit"/>
    <x v="1"/>
    <x v="8"/>
    <x v="1"/>
    <x v="38"/>
    <n v="865.33"/>
    <n v="1395.64"/>
    <n v="815.10700000000008"/>
    <n v="1620.05"/>
    <s v="High"/>
    <n v="0.17499999999999999"/>
    <n v="0"/>
    <n v="13"/>
    <n v="18143.32"/>
    <n v="11249.29"/>
    <n v="6894.0299999999988"/>
    <n v="0.37997621163050638"/>
  </r>
  <r>
    <x v="39"/>
    <m/>
    <x v="37"/>
    <d v="2453-11-21T00:00:00"/>
    <d v="2453-11-16T00:00:00"/>
    <x v="0"/>
    <x v="25"/>
    <x v="23"/>
    <x v="6"/>
    <s v="Yes"/>
    <d v="1900-01-06T00:00:00"/>
    <d v="2023-06-24T00:00:00"/>
    <d v="2023-06-24T00:00:00"/>
    <x v="2"/>
    <x v="10"/>
    <s v="San Francisco"/>
    <s v="Corporate"/>
    <x v="0"/>
    <x v="2"/>
    <x v="1"/>
    <x v="39"/>
    <n v="313.99"/>
    <n v="454.42"/>
    <n v="815.10700000000008"/>
    <n v="1620.05"/>
    <m/>
    <n v="0.129"/>
    <n v="0"/>
    <n v="9"/>
    <n v="4089.78"/>
    <n v="2825.91"/>
    <n v="1263.8700000000003"/>
    <n v="0.30903129263676782"/>
  </r>
  <r>
    <x v="40"/>
    <m/>
    <x v="38"/>
    <d v="2454-03-03T00:00:00"/>
    <d v="2453-11-16T00:00:00"/>
    <x v="0"/>
    <x v="24"/>
    <x v="21"/>
    <x v="9"/>
    <s v="No"/>
    <d v="1900-01-22T00:00:00"/>
    <d v="2024-09-19T00:00:00"/>
    <d v="2024-09-19T00:00:00"/>
    <x v="3"/>
    <x v="6"/>
    <s v="Berlin"/>
    <s v="Small Business"/>
    <x v="4"/>
    <x v="14"/>
    <x v="5"/>
    <x v="40"/>
    <n v="1024.01"/>
    <n v="1580.97"/>
    <n v="815.10700000000008"/>
    <n v="1620.05"/>
    <m/>
    <n v="3.6999999999999998E-2"/>
    <n v="0"/>
    <n v="27"/>
    <n v="42686.19"/>
    <n v="27648.27"/>
    <n v="15037.920000000002"/>
    <n v="0.35229004977956574"/>
  </r>
  <r>
    <x v="41"/>
    <m/>
    <x v="39"/>
    <d v="2454-02-24T00:00:00"/>
    <d v="2453-11-16T00:00:00"/>
    <x v="0"/>
    <x v="9"/>
    <x v="9"/>
    <x v="10"/>
    <s v="No"/>
    <d v="1900-01-21T00:00:00"/>
    <d v="2024-02-02T00:00:00"/>
    <d v="2024-02-02T00:00:00"/>
    <x v="0"/>
    <x v="11"/>
    <s v="Durban"/>
    <s v="Consumer"/>
    <x v="1"/>
    <x v="11"/>
    <x v="2"/>
    <x v="41"/>
    <n v="1206.2"/>
    <n v="1759.79"/>
    <n v="815.10700000000008"/>
    <n v="1620.05"/>
    <m/>
    <n v="0"/>
    <n v="0"/>
    <n v="6"/>
    <n v="10558.74"/>
    <n v="7237.2000000000007"/>
    <n v="3321.5399999999991"/>
    <n v="0.31457730751964713"/>
  </r>
  <r>
    <x v="42"/>
    <m/>
    <x v="40"/>
    <d v="2454-03-05T00:00:00"/>
    <d v="2453-11-16T00:00:00"/>
    <x v="0"/>
    <x v="26"/>
    <x v="1"/>
    <x v="1"/>
    <s v="No"/>
    <d v="1900-01-19T00:00:00"/>
    <d v="2024-11-14T00:00:00"/>
    <d v="2024-11-14T00:00:00"/>
    <x v="0"/>
    <x v="0"/>
    <s v="Mombasa"/>
    <s v="Corporate"/>
    <x v="4"/>
    <x v="10"/>
    <x v="1"/>
    <x v="42"/>
    <n v="1396.48"/>
    <n v="3204.5"/>
    <n v="815.10700000000008"/>
    <n v="1620.05"/>
    <m/>
    <n v="0.318"/>
    <n v="1"/>
    <n v="14"/>
    <n v="44863"/>
    <n v="19550.72"/>
    <n v="25312.28"/>
    <n v="0.56421282571383991"/>
  </r>
  <r>
    <x v="43"/>
    <m/>
    <x v="41"/>
    <d v="2454-06-08T00:00:00"/>
    <d v="2453-11-16T00:00:00"/>
    <x v="0"/>
    <x v="27"/>
    <x v="8"/>
    <x v="2"/>
    <s v="No"/>
    <d v="1900-01-21T00:00:00"/>
    <d v="2025-06-20T00:00:00"/>
    <d v="2025-06-20T00:00:00"/>
    <x v="3"/>
    <x v="6"/>
    <s v="Berlin"/>
    <s v="Corporate"/>
    <x v="4"/>
    <x v="8"/>
    <x v="1"/>
    <x v="43"/>
    <n v="483.47"/>
    <n v="1135.43"/>
    <n v="815.10700000000008"/>
    <n v="1620.05"/>
    <m/>
    <n v="0.14599999999999999"/>
    <n v="0"/>
    <n v="11"/>
    <n v="12489.730000000001"/>
    <n v="5318.17"/>
    <n v="7171.5600000000013"/>
    <n v="0.57419655989360863"/>
  </r>
  <r>
    <x v="44"/>
    <n v="1"/>
    <x v="42"/>
    <n v="202405"/>
    <n v="202301"/>
    <x v="1"/>
    <x v="7"/>
    <x v="7"/>
    <x v="7"/>
    <s v="No"/>
    <n v="13"/>
    <d v="2024-06-02T00:00:00"/>
    <d v="2024-06-02T00:00:00"/>
    <x v="2"/>
    <x v="3"/>
    <s v="Vancouver"/>
    <s v="Enterprise"/>
    <x v="2"/>
    <x v="11"/>
    <x v="0"/>
    <x v="44"/>
    <n v="675.43"/>
    <n v="996.36"/>
    <n v="815.10700000000008"/>
    <n v="1620.05"/>
    <s v="Medium"/>
    <n v="0.182"/>
    <n v="0"/>
    <n v="22"/>
    <n v="21919.920000000002"/>
    <n v="14859.46"/>
    <n v="7060.4600000000028"/>
    <n v="0.32210245292866041"/>
  </r>
  <r>
    <x v="45"/>
    <n v="1"/>
    <x v="43"/>
    <n v="202304"/>
    <n v="202302"/>
    <x v="3"/>
    <x v="28"/>
    <x v="12"/>
    <x v="6"/>
    <s v="No"/>
    <n v="11"/>
    <d v="2023-04-30T00:00:00"/>
    <d v="2023-04-30T00:00:00"/>
    <x v="1"/>
    <x v="4"/>
    <s v="Delhi"/>
    <s v="Small Business"/>
    <x v="0"/>
    <x v="8"/>
    <x v="2"/>
    <x v="45"/>
    <n v="826.55"/>
    <n v="1397.05"/>
    <n v="815.10700000000008"/>
    <n v="1620.05"/>
    <s v="Medium"/>
    <n v="0.16900000000000001"/>
    <n v="0"/>
    <n v="28"/>
    <n v="39117.4"/>
    <n v="23143.399999999998"/>
    <n v="15974.000000000004"/>
    <n v="0.40836047385562441"/>
  </r>
  <r>
    <x v="46"/>
    <n v="1"/>
    <x v="44"/>
    <n v="202306"/>
    <n v="202301"/>
    <x v="1"/>
    <x v="29"/>
    <x v="23"/>
    <x v="9"/>
    <s v="No"/>
    <n v="10"/>
    <d v="2023-07-03T00:00:00"/>
    <d v="2023-07-03T00:00:00"/>
    <x v="0"/>
    <x v="1"/>
    <s v="Abuja"/>
    <s v="Consumer"/>
    <x v="1"/>
    <x v="1"/>
    <x v="1"/>
    <x v="46"/>
    <n v="337.75"/>
    <n v="548.89"/>
    <n v="815.10700000000008"/>
    <n v="1620.05"/>
    <s v="Medium"/>
    <n v="0"/>
    <n v="0"/>
    <n v="13"/>
    <n v="7135.57"/>
    <n v="4390.75"/>
    <n v="2744.8199999999997"/>
    <n v="0.38466723751571352"/>
  </r>
  <r>
    <x v="47"/>
    <n v="1"/>
    <x v="45"/>
    <n v="202405"/>
    <n v="202301"/>
    <x v="1"/>
    <x v="7"/>
    <x v="7"/>
    <x v="9"/>
    <s v="No"/>
    <n v="14"/>
    <d v="2024-05-28T00:00:00"/>
    <d v="2024-05-28T00:00:00"/>
    <x v="3"/>
    <x v="8"/>
    <s v="Birmingham"/>
    <s v="Consumer"/>
    <x v="0"/>
    <x v="5"/>
    <x v="2"/>
    <x v="47"/>
    <n v="1421.14"/>
    <n v="3524"/>
    <n v="815.10700000000008"/>
    <n v="1620.05"/>
    <s v="Low"/>
    <n v="0"/>
    <n v="0"/>
    <n v="31"/>
    <n v="109244"/>
    <n v="44055.340000000004"/>
    <n v="65188.659999999996"/>
    <n v="0.59672531214528945"/>
  </r>
  <r>
    <x v="48"/>
    <n v="1"/>
    <x v="46"/>
    <n v="202410"/>
    <n v="202301"/>
    <x v="1"/>
    <x v="1"/>
    <x v="1"/>
    <x v="6"/>
    <s v="No"/>
    <n v="25"/>
    <d v="2024-11-08T00:00:00"/>
    <d v="2024-11-08T00:00:00"/>
    <x v="0"/>
    <x v="1"/>
    <s v="Null"/>
    <s v="Enterprise"/>
    <x v="1"/>
    <x v="7"/>
    <x v="2"/>
    <x v="48"/>
    <n v="859.35"/>
    <n v="1825.61"/>
    <n v="815.10700000000008"/>
    <n v="1620.05"/>
    <s v="High"/>
    <n v="0.187"/>
    <n v="0"/>
    <n v="24"/>
    <n v="43814.64"/>
    <n v="20624.400000000001"/>
    <n v="23190.239999999998"/>
    <n v="0.52928062401060461"/>
  </r>
  <r>
    <x v="49"/>
    <m/>
    <x v="47"/>
    <d v="2453-11-22T00:00:00"/>
    <d v="2453-11-16T00:00:00"/>
    <x v="0"/>
    <x v="30"/>
    <x v="24"/>
    <x v="2"/>
    <s v="No"/>
    <d v="1900-01-21T00:00:00"/>
    <d v="2023-08-01T00:00:00"/>
    <d v="2023-08-01T00:00:00"/>
    <x v="3"/>
    <x v="7"/>
    <s v="Marseille"/>
    <s v="Consumer"/>
    <x v="2"/>
    <x v="5"/>
    <x v="1"/>
    <x v="49"/>
    <n v="1303.56"/>
    <n v="1791.37"/>
    <n v="815.10700000000008"/>
    <n v="1620.05"/>
    <m/>
    <n v="0.126"/>
    <n v="0"/>
    <n v="22"/>
    <n v="39410.14"/>
    <n v="28678.32"/>
    <n v="10731.82"/>
    <n v="0.2723111361695239"/>
  </r>
  <r>
    <x v="50"/>
    <n v="1"/>
    <x v="48"/>
    <n v="202411"/>
    <n v="202301"/>
    <x v="1"/>
    <x v="6"/>
    <x v="18"/>
    <x v="11"/>
    <s v="No"/>
    <n v="16"/>
    <d v="2024-11-22T00:00:00"/>
    <d v="2024-11-22T00:00:00"/>
    <x v="2"/>
    <x v="3"/>
    <s v="Toronto"/>
    <s v="Non-Profit"/>
    <x v="3"/>
    <x v="14"/>
    <x v="6"/>
    <x v="50"/>
    <n v="1454.11"/>
    <n v="2629.75"/>
    <n v="815.10700000000008"/>
    <n v="1620.05"/>
    <s v="High"/>
    <n v="0.29199999999999998"/>
    <n v="1"/>
    <n v="8"/>
    <n v="21038"/>
    <n v="11632.88"/>
    <n v="9405.1200000000008"/>
    <n v="0.44705390246221127"/>
  </r>
  <r>
    <x v="51"/>
    <n v="1"/>
    <x v="49"/>
    <n v="202410"/>
    <n v="202302"/>
    <x v="3"/>
    <x v="31"/>
    <x v="1"/>
    <x v="2"/>
    <s v="No"/>
    <n v="20"/>
    <d v="2024-11-06T00:00:00"/>
    <d v="2024-11-06T00:00:00"/>
    <x v="1"/>
    <x v="4"/>
    <s v="Bengaluru"/>
    <s v="Enterprise"/>
    <x v="3"/>
    <x v="7"/>
    <x v="5"/>
    <x v="51"/>
    <n v="72.94"/>
    <n v="106.3"/>
    <n v="815.10700000000008"/>
    <n v="1620.05"/>
    <s v="High"/>
    <n v="0.29499999999999998"/>
    <n v="1"/>
    <n v="8"/>
    <n v="850.4"/>
    <n v="583.52"/>
    <n v="266.88"/>
    <n v="0.31382878645343371"/>
  </r>
  <r>
    <x v="52"/>
    <m/>
    <x v="50"/>
    <d v="2453-11-18T00:00:00"/>
    <d v="2453-11-16T00:00:00"/>
    <x v="0"/>
    <x v="32"/>
    <x v="22"/>
    <x v="2"/>
    <s v="Yes"/>
    <d v="1900-01-04T00:00:00"/>
    <d v="2023-04-05T00:00:00"/>
    <d v="2023-04-05T00:00:00"/>
    <x v="0"/>
    <x v="0"/>
    <s v="Nakuru"/>
    <s v="Education"/>
    <x v="2"/>
    <x v="5"/>
    <x v="4"/>
    <x v="52"/>
    <n v="533.26"/>
    <n v="385.72"/>
    <n v="815.10700000000008"/>
    <n v="1620.05"/>
    <m/>
    <n v="0"/>
    <n v="0"/>
    <n v="15"/>
    <n v="5785.8"/>
    <n v="7998.9"/>
    <n v="-2213.0999999999995"/>
    <n v="-0.38250544436378708"/>
  </r>
  <r>
    <x v="53"/>
    <m/>
    <x v="51"/>
    <d v="2454-06-04T00:00:00"/>
    <d v="2453-11-16T00:00:00"/>
    <x v="0"/>
    <x v="33"/>
    <x v="10"/>
    <x v="3"/>
    <s v="No"/>
    <d v="1900-01-25T00:00:00"/>
    <d v="2025-02-16T00:00:00"/>
    <d v="2025-02-16T00:00:00"/>
    <x v="3"/>
    <x v="7"/>
    <s v="Lyon"/>
    <s v="Corporate"/>
    <x v="3"/>
    <x v="7"/>
    <x v="4"/>
    <x v="53"/>
    <n v="204.11"/>
    <n v="236.87"/>
    <n v="815.10700000000008"/>
    <n v="1620.05"/>
    <m/>
    <n v="0.182"/>
    <n v="0"/>
    <n v="13"/>
    <n v="3079.31"/>
    <n v="2653.4300000000003"/>
    <n v="425.87999999999965"/>
    <n v="0.13830371089627211"/>
  </r>
  <r>
    <x v="54"/>
    <m/>
    <x v="52"/>
    <d v="2453-11-23T00:00:00"/>
    <d v="2453-11-16T00:00:00"/>
    <x v="0"/>
    <x v="34"/>
    <x v="25"/>
    <x v="4"/>
    <s v="Yes"/>
    <d v="1900-01-01T00:00:00"/>
    <d v="2023-09-01T00:00:00"/>
    <d v="2023-09-01T00:00:00"/>
    <x v="3"/>
    <x v="6"/>
    <s v="Munich"/>
    <s v="Corporate"/>
    <x v="4"/>
    <x v="13"/>
    <x v="2"/>
    <x v="54"/>
    <n v="44.42"/>
    <n v="41.9"/>
    <n v="815.10700000000008"/>
    <n v="1620.05"/>
    <m/>
    <n v="0.14399999999999999"/>
    <n v="0"/>
    <n v="6"/>
    <n v="251.39999999999998"/>
    <n v="266.52"/>
    <n v="-15.120000000000005"/>
    <n v="-6.014319809069215E-2"/>
  </r>
  <r>
    <x v="55"/>
    <n v="1"/>
    <x v="53"/>
    <n v="202504"/>
    <n v="202301"/>
    <x v="1"/>
    <x v="35"/>
    <x v="19"/>
    <x v="11"/>
    <s v="No"/>
    <n v="24"/>
    <d v="2025-04-30T00:00:00"/>
    <d v="2025-04-30T00:00:00"/>
    <x v="2"/>
    <x v="5"/>
    <s v="Brasília"/>
    <s v="Education"/>
    <x v="1"/>
    <x v="11"/>
    <x v="5"/>
    <x v="55"/>
    <n v="855.78"/>
    <n v="977.38"/>
    <n v="815.10700000000008"/>
    <n v="1620.05"/>
    <s v="Low"/>
    <n v="0.14699999999999999"/>
    <n v="0"/>
    <n v="38"/>
    <n v="37140.44"/>
    <n v="32519.64"/>
    <n v="4620.8000000000029"/>
    <n v="0.12441425034275315"/>
  </r>
  <r>
    <x v="56"/>
    <n v="1"/>
    <x v="54"/>
    <n v="202502"/>
    <n v="202301"/>
    <x v="1"/>
    <x v="36"/>
    <x v="26"/>
    <x v="7"/>
    <s v="No"/>
    <n v="20"/>
    <d v="2025-03-01T00:00:00"/>
    <d v="2025-03-01T00:00:00"/>
    <x v="2"/>
    <x v="5"/>
    <s v="São Paulo"/>
    <s v="Corporate"/>
    <x v="3"/>
    <x v="5"/>
    <x v="4"/>
    <x v="56"/>
    <n v="1154.6400000000001"/>
    <n v="2794.13"/>
    <n v="815.10700000000008"/>
    <n v="1620.05"/>
    <s v="Medium"/>
    <n v="3.5000000000000003E-2"/>
    <n v="0"/>
    <n v="11"/>
    <n v="30735.43"/>
    <n v="12701.04"/>
    <n v="18034.39"/>
    <n v="0.58676224799848253"/>
  </r>
  <r>
    <x v="57"/>
    <m/>
    <x v="55"/>
    <d v="2454-03-07T00:00:00"/>
    <d v="2453-11-16T00:00:00"/>
    <x v="0"/>
    <x v="13"/>
    <x v="6"/>
    <x v="4"/>
    <s v="Yes"/>
    <d v="1899-12-31T00:00:00"/>
    <d v="2024-12-18T00:00:00"/>
    <d v="2024-12-18T00:00:00"/>
    <x v="3"/>
    <x v="6"/>
    <s v="Munich"/>
    <s v="Education"/>
    <x v="0"/>
    <x v="4"/>
    <x v="6"/>
    <x v="57"/>
    <n v="346.82"/>
    <n v="701.95"/>
    <n v="815.10700000000008"/>
    <n v="1620.05"/>
    <m/>
    <n v="0.14699999999999999"/>
    <n v="0"/>
    <n v="8"/>
    <n v="5615.6"/>
    <n v="2774.56"/>
    <n v="2841.0400000000004"/>
    <n v="0.50591922501602682"/>
  </r>
  <r>
    <x v="58"/>
    <m/>
    <x v="56"/>
    <d v="2454-06-09T00:00:00"/>
    <d v="2453-11-16T00:00:00"/>
    <x v="0"/>
    <x v="37"/>
    <x v="16"/>
    <x v="2"/>
    <s v="No"/>
    <d v="1900-01-08T00:00:00"/>
    <d v="2025-06-18T00:00:00"/>
    <d v="2025-06-18T00:00:00"/>
    <x v="3"/>
    <x v="7"/>
    <s v="Marseille"/>
    <s v="Small Business"/>
    <x v="2"/>
    <x v="10"/>
    <x v="6"/>
    <x v="58"/>
    <n v="1225.5"/>
    <n v="5.27"/>
    <n v="815.10700000000008"/>
    <n v="1620.05"/>
    <m/>
    <n v="7.4999999999999997E-2"/>
    <n v="0"/>
    <n v="56"/>
    <n v="295.12"/>
    <n v="68628"/>
    <n v="-68332.88"/>
    <n v="-231.54269449715372"/>
  </r>
  <r>
    <x v="59"/>
    <m/>
    <x v="57"/>
    <d v="2454-06-08T00:00:00"/>
    <d v="2453-11-16T00:00:00"/>
    <x v="0"/>
    <x v="27"/>
    <x v="8"/>
    <x v="7"/>
    <s v="No"/>
    <d v="1900-01-10T00:00:00"/>
    <d v="2025-05-13T00:00:00"/>
    <d v="2025-05-13T00:00:00"/>
    <x v="0"/>
    <x v="0"/>
    <s v="Nakuru"/>
    <s v="Small Business"/>
    <x v="1"/>
    <x v="8"/>
    <x v="6"/>
    <x v="59"/>
    <n v="1057.5999999999999"/>
    <n v="1437.06"/>
    <n v="815.10700000000008"/>
    <n v="1620.05"/>
    <m/>
    <n v="0.20499999999999999"/>
    <n v="1"/>
    <n v="4"/>
    <n v="5748.24"/>
    <n v="4230.3999999999996"/>
    <n v="1517.8400000000001"/>
    <n v="0.2640529970912836"/>
  </r>
  <r>
    <x v="60"/>
    <m/>
    <x v="58"/>
    <d v="2454-02-26T00:00:00"/>
    <d v="2453-11-16T00:00:00"/>
    <x v="0"/>
    <x v="0"/>
    <x v="0"/>
    <x v="7"/>
    <s v="No"/>
    <d v="1900-01-29T00:00:00"/>
    <d v="2024-04-09T00:00:00"/>
    <d v="2024-04-09T00:00:00"/>
    <x v="3"/>
    <x v="7"/>
    <s v="Lyon"/>
    <s v="Corporate"/>
    <x v="4"/>
    <x v="2"/>
    <x v="0"/>
    <x v="60"/>
    <n v="1176.56"/>
    <n v="1911.89"/>
    <n v="815.10700000000008"/>
    <n v="1620.05"/>
    <m/>
    <n v="0.11899999999999999"/>
    <n v="0"/>
    <n v="20"/>
    <n v="38237.800000000003"/>
    <n v="23531.199999999997"/>
    <n v="14706.600000000006"/>
    <n v="0.38460894716746269"/>
  </r>
  <r>
    <x v="61"/>
    <m/>
    <x v="59"/>
    <d v="2454-06-12T00:00:00"/>
    <d v="2453-11-18T00:00:00"/>
    <x v="2"/>
    <x v="14"/>
    <x v="11"/>
    <x v="1"/>
    <s v="Yes"/>
    <d v="1900-01-01T00:00:00"/>
    <d v="2025-09-12T00:00:00"/>
    <d v="2025-09-12T00:00:00"/>
    <x v="1"/>
    <x v="2"/>
    <s v="Tokyo"/>
    <s v="Consumer"/>
    <x v="1"/>
    <x v="7"/>
    <x v="0"/>
    <x v="61"/>
    <n v="1470.15"/>
    <n v="2593.7800000000002"/>
    <n v="815.10700000000008"/>
    <n v="1620.05"/>
    <m/>
    <n v="0.11"/>
    <n v="0"/>
    <n v="12"/>
    <n v="31125.360000000001"/>
    <n v="17641.800000000003"/>
    <n v="13483.559999999998"/>
    <n v="0.43320173646184323"/>
  </r>
  <r>
    <x v="62"/>
    <m/>
    <x v="60"/>
    <d v="2454-06-07T00:00:00"/>
    <d v="2453-11-16T00:00:00"/>
    <x v="0"/>
    <x v="22"/>
    <x v="19"/>
    <x v="8"/>
    <s v="No"/>
    <d v="1900-01-27T00:00:00"/>
    <d v="2025-05-25T00:00:00"/>
    <d v="2025-05-25T00:00:00"/>
    <x v="3"/>
    <x v="7"/>
    <s v="Paris"/>
    <s v="Small Business"/>
    <x v="2"/>
    <x v="2"/>
    <x v="3"/>
    <x v="62"/>
    <n v="603.45000000000005"/>
    <n v="1244.08"/>
    <n v="815.10700000000008"/>
    <n v="1620.05"/>
    <m/>
    <n v="0.2"/>
    <n v="0"/>
    <n v="11"/>
    <n v="13684.88"/>
    <n v="6637.9500000000007"/>
    <n v="7046.9299999999985"/>
    <n v="0.5149427689537649"/>
  </r>
  <r>
    <x v="63"/>
    <n v="1"/>
    <x v="61"/>
    <n v="202411"/>
    <n v="202302"/>
    <x v="3"/>
    <x v="1"/>
    <x v="18"/>
    <x v="7"/>
    <s v="No"/>
    <n v="16"/>
    <d v="2024-11-18T00:00:00"/>
    <d v="2024-11-18T00:00:00"/>
    <x v="1"/>
    <x v="4"/>
    <s v="Mumbai"/>
    <s v="Small Business"/>
    <x v="3"/>
    <x v="7"/>
    <x v="5"/>
    <x v="63"/>
    <n v="1233.58"/>
    <n v="1912.51"/>
    <n v="815.10700000000008"/>
    <n v="1620.05"/>
    <s v="Medium"/>
    <n v="0.255"/>
    <n v="1"/>
    <n v="51"/>
    <n v="97538.01"/>
    <n v="62912.579999999994"/>
    <n v="34625.43"/>
    <n v="0.35499422225243271"/>
  </r>
  <r>
    <x v="64"/>
    <m/>
    <x v="62"/>
    <d v="2453-11-17T00:00:00"/>
    <d v="2453-11-16T00:00:00"/>
    <x v="0"/>
    <x v="2"/>
    <x v="2"/>
    <x v="2"/>
    <s v="No"/>
    <d v="1900-01-10T00:00:00"/>
    <d v="2023-02-26T00:00:00"/>
    <d v="2023-02-26T00:00:00"/>
    <x v="0"/>
    <x v="11"/>
    <s v="Johannesburg"/>
    <s v="Non-Profit"/>
    <x v="0"/>
    <x v="11"/>
    <x v="4"/>
    <x v="64"/>
    <n v="498.5"/>
    <n v="755.87"/>
    <n v="815.10700000000008"/>
    <n v="1620.05"/>
    <m/>
    <n v="0.13"/>
    <n v="0"/>
    <n v="40"/>
    <n v="30234.799999999999"/>
    <n v="19940"/>
    <n v="10294.799999999999"/>
    <n v="0.34049505867411062"/>
  </r>
  <r>
    <x v="65"/>
    <n v="1"/>
    <x v="63"/>
    <n v="202312"/>
    <n v="202301"/>
    <x v="1"/>
    <x v="38"/>
    <x v="4"/>
    <x v="3"/>
    <s v="No"/>
    <n v="23"/>
    <d v="2023-12-26T00:00:00"/>
    <d v="2023-12-26T00:00:00"/>
    <x v="2"/>
    <x v="5"/>
    <s v="Rio de Janeiro"/>
    <s v="Education"/>
    <x v="0"/>
    <x v="7"/>
    <x v="3"/>
    <x v="65"/>
    <n v="1303.1099999999999"/>
    <n v="1145.67"/>
    <n v="815.10700000000008"/>
    <n v="1620.05"/>
    <s v="Low"/>
    <n v="0.184"/>
    <n v="0"/>
    <n v="13"/>
    <n v="14893.710000000001"/>
    <n v="16940.43"/>
    <n v="-2046.7199999999993"/>
    <n v="-0.13742177066694591"/>
  </r>
  <r>
    <x v="66"/>
    <n v="1"/>
    <x v="64"/>
    <n v="202303"/>
    <n v="202301"/>
    <x v="1"/>
    <x v="28"/>
    <x v="22"/>
    <x v="5"/>
    <s v="No"/>
    <n v="21"/>
    <d v="2023-04-09T00:00:00"/>
    <d v="2023-04-09T00:00:00"/>
    <x v="3"/>
    <x v="8"/>
    <s v="Manchester"/>
    <s v="Consumer"/>
    <x v="0"/>
    <x v="4"/>
    <x v="6"/>
    <x v="66"/>
    <n v="1082.17"/>
    <n v="1234.0999999999999"/>
    <n v="815.10700000000008"/>
    <n v="1620.05"/>
    <s v="Medium"/>
    <n v="0.189"/>
    <n v="0"/>
    <n v="16"/>
    <n v="19745.599999999999"/>
    <n v="17314.72"/>
    <n v="2430.8799999999974"/>
    <n v="0.12310995867433745"/>
  </r>
  <r>
    <x v="67"/>
    <m/>
    <x v="65"/>
    <d v="2454-02-28T00:00:00"/>
    <d v="2453-11-18T00:00:00"/>
    <x v="2"/>
    <x v="0"/>
    <x v="7"/>
    <x v="3"/>
    <s v="No"/>
    <d v="1900-01-14T00:00:00"/>
    <d v="2024-06-06T00:00:00"/>
    <d v="2024-06-06T00:00:00"/>
    <x v="1"/>
    <x v="2"/>
    <s v="Nagoya"/>
    <s v="Corporate"/>
    <x v="3"/>
    <x v="0"/>
    <x v="5"/>
    <x v="67"/>
    <n v="673.88"/>
    <n v="1228.01"/>
    <n v="815.10700000000008"/>
    <n v="1620.05"/>
    <m/>
    <n v="0.105"/>
    <n v="0"/>
    <n v="13"/>
    <n v="15964.13"/>
    <n v="8760.44"/>
    <n v="7203.6899999999987"/>
    <n v="0.45124225372757543"/>
  </r>
  <r>
    <x v="68"/>
    <m/>
    <x v="66"/>
    <d v="2453-11-23T00:00:00"/>
    <d v="2453-11-16T00:00:00"/>
    <x v="0"/>
    <x v="34"/>
    <x v="25"/>
    <x v="6"/>
    <s v="No"/>
    <d v="1900-01-18T00:00:00"/>
    <d v="2023-09-07T00:00:00"/>
    <d v="2023-09-07T00:00:00"/>
    <x v="0"/>
    <x v="11"/>
    <s v="Johannesburg"/>
    <s v="Enterprise"/>
    <x v="0"/>
    <x v="14"/>
    <x v="5"/>
    <x v="68"/>
    <n v="494.61"/>
    <n v="605.23"/>
    <n v="815.10700000000008"/>
    <n v="1620.05"/>
    <m/>
    <n v="0.20399999999999999"/>
    <n v="1"/>
    <n v="18"/>
    <n v="10894.14"/>
    <n v="8902.98"/>
    <n v="1991.1599999999999"/>
    <n v="0.18277349106951077"/>
  </r>
  <r>
    <x v="69"/>
    <n v="1"/>
    <x v="67"/>
    <n v="202304"/>
    <n v="202301"/>
    <x v="1"/>
    <x v="39"/>
    <x v="12"/>
    <x v="11"/>
    <s v="No"/>
    <n v="19"/>
    <d v="2023-05-10T00:00:00"/>
    <d v="2023-05-10T00:00:00"/>
    <x v="1"/>
    <x v="9"/>
    <s v="Shanghai"/>
    <s v="Corporate"/>
    <x v="0"/>
    <x v="8"/>
    <x v="0"/>
    <x v="69"/>
    <n v="882.33"/>
    <n v="1880.15"/>
    <n v="815.10700000000008"/>
    <n v="1620.05"/>
    <s v="Low"/>
    <n v="0.05"/>
    <n v="0"/>
    <n v="5"/>
    <n v="9400.75"/>
    <n v="4411.6500000000005"/>
    <n v="4989.0999999999995"/>
    <n v="0.53071297502858805"/>
  </r>
  <r>
    <x v="70"/>
    <m/>
    <x v="68"/>
    <d v="2454-02-26T00:00:00"/>
    <d v="2453-11-16T00:00:00"/>
    <x v="0"/>
    <x v="0"/>
    <x v="0"/>
    <x v="9"/>
    <s v="Yes"/>
    <d v="1900-01-02T00:00:00"/>
    <d v="2024-03-21T00:00:00"/>
    <d v="2024-03-21T00:00:00"/>
    <x v="3"/>
    <x v="6"/>
    <s v="Munich"/>
    <s v="Small Business"/>
    <x v="1"/>
    <x v="12"/>
    <x v="6"/>
    <x v="70"/>
    <n v="910.63"/>
    <n v="1269.4000000000001"/>
    <n v="815.10700000000008"/>
    <n v="1620.05"/>
    <m/>
    <n v="6.8000000000000005E-2"/>
    <n v="0"/>
    <n v="9"/>
    <n v="11424.6"/>
    <n v="8195.67"/>
    <n v="3228.9300000000003"/>
    <n v="0.28262958878210181"/>
  </r>
  <r>
    <x v="71"/>
    <n v="1"/>
    <x v="69"/>
    <n v="202504"/>
    <n v="202301"/>
    <x v="1"/>
    <x v="35"/>
    <x v="19"/>
    <x v="1"/>
    <s v="No"/>
    <n v="27"/>
    <d v="2025-05-06T00:00:00"/>
    <d v="2025-05-06T00:00:00"/>
    <x v="2"/>
    <x v="5"/>
    <s v="Brasília"/>
    <s v="Enterprise"/>
    <x v="2"/>
    <x v="9"/>
    <x v="4"/>
    <x v="71"/>
    <n v="264.19"/>
    <n v="620.92999999999995"/>
    <n v="815.10700000000008"/>
    <n v="1620.05"/>
    <s v="Medium"/>
    <n v="0.14199999999999999"/>
    <n v="0"/>
    <n v="12"/>
    <n v="7451.16"/>
    <n v="3170.2799999999997"/>
    <n v="4280.88"/>
    <n v="0.57452530881097708"/>
  </r>
  <r>
    <x v="72"/>
    <m/>
    <x v="70"/>
    <d v="2454-02-27T00:00:00"/>
    <d v="2453-11-16T00:00:00"/>
    <x v="0"/>
    <x v="40"/>
    <x v="20"/>
    <x v="7"/>
    <s v="No"/>
    <d v="1900-01-24T00:00:00"/>
    <d v="2024-05-07T00:00:00"/>
    <d v="2024-05-07T00:00:00"/>
    <x v="0"/>
    <x v="11"/>
    <s v="Johannesburg"/>
    <s v="Education"/>
    <x v="3"/>
    <x v="8"/>
    <x v="4"/>
    <x v="72"/>
    <n v="1376.51"/>
    <n v="1455.91"/>
    <n v="815.10700000000008"/>
    <n v="1620.05"/>
    <m/>
    <n v="0.185"/>
    <n v="0"/>
    <n v="17"/>
    <n v="24750.47"/>
    <n v="23400.67"/>
    <n v="1349.8000000000029"/>
    <n v="5.4536338097822094E-2"/>
  </r>
  <r>
    <x v="73"/>
    <n v="1"/>
    <x v="71"/>
    <n v="202412"/>
    <n v="202301"/>
    <x v="1"/>
    <x v="41"/>
    <x v="6"/>
    <x v="6"/>
    <s v="Yes"/>
    <n v="5"/>
    <d v="2024-12-20T00:00:00"/>
    <d v="2024-12-20T00:00:00"/>
    <x v="1"/>
    <x v="9"/>
    <s v="Shenzhen"/>
    <s v="Small Business"/>
    <x v="4"/>
    <x v="1"/>
    <x v="2"/>
    <x v="73"/>
    <n v="717.55"/>
    <n v="546.42999999999995"/>
    <n v="815.10700000000008"/>
    <n v="1620.05"/>
    <s v="Medium"/>
    <n v="4.7E-2"/>
    <n v="0"/>
    <n v="18"/>
    <n v="9835.74"/>
    <n v="12915.9"/>
    <n v="-3080.16"/>
    <n v="-0.3131599655948612"/>
  </r>
  <r>
    <x v="74"/>
    <m/>
    <x v="72"/>
    <d v="2453-11-20T00:00:00"/>
    <d v="2453-11-16T00:00:00"/>
    <x v="0"/>
    <x v="42"/>
    <x v="15"/>
    <x v="2"/>
    <s v="Yes"/>
    <d v="1899-12-30T00:00:00"/>
    <d v="2023-05-20T00:00:00"/>
    <d v="2023-05-18T00:00:00"/>
    <x v="0"/>
    <x v="11"/>
    <s v="Durban"/>
    <s v="Corporate"/>
    <x v="3"/>
    <x v="8"/>
    <x v="0"/>
    <x v="74"/>
    <n v="917.88"/>
    <n v="1347.92"/>
    <n v="815.10700000000008"/>
    <n v="1620.05"/>
    <m/>
    <n v="0.34300000000000003"/>
    <n v="1"/>
    <n v="5"/>
    <n v="6739.6"/>
    <n v="4589.3999999999996"/>
    <n v="2150.2000000000007"/>
    <n v="0.3190397056205117"/>
  </r>
  <r>
    <x v="75"/>
    <n v="1"/>
    <x v="73"/>
    <n v="202309"/>
    <n v="202302"/>
    <x v="3"/>
    <x v="43"/>
    <x v="27"/>
    <x v="9"/>
    <s v="No"/>
    <n v="20"/>
    <d v="2023-10-08T00:00:00"/>
    <d v="2023-10-08T00:00:00"/>
    <x v="1"/>
    <x v="4"/>
    <s v="Delhi"/>
    <s v="Small Business"/>
    <x v="4"/>
    <x v="5"/>
    <x v="0"/>
    <x v="75"/>
    <n v="825.64"/>
    <n v="1108.43"/>
    <n v="815.10700000000008"/>
    <n v="1620.05"/>
    <s v="Medium"/>
    <n v="0.114"/>
    <n v="0"/>
    <n v="7"/>
    <n v="7759.01"/>
    <n v="5779.48"/>
    <n v="1979.5300000000007"/>
    <n v="0.2551266205353519"/>
  </r>
  <r>
    <x v="76"/>
    <n v="1"/>
    <x v="74"/>
    <n v="202408"/>
    <n v="202301"/>
    <x v="1"/>
    <x v="44"/>
    <x v="21"/>
    <x v="11"/>
    <s v="No"/>
    <n v="28"/>
    <d v="2024-09-25T00:00:00"/>
    <d v="2024-09-25T00:00:00"/>
    <x v="2"/>
    <x v="5"/>
    <s v="Rio de Janeiro"/>
    <s v="Non-Profit"/>
    <x v="1"/>
    <x v="15"/>
    <x v="6"/>
    <x v="76"/>
    <n v="1394.65"/>
    <n v="3144.1"/>
    <n v="815.10700000000008"/>
    <n v="1620.05"/>
    <s v="Medium"/>
    <n v="0.13400000000000001"/>
    <n v="0"/>
    <n v="13"/>
    <n v="40873.299999999996"/>
    <n v="18130.45"/>
    <n v="22742.849999999995"/>
    <n v="0.55642314175757757"/>
  </r>
  <r>
    <x v="77"/>
    <n v="1"/>
    <x v="24"/>
    <n v="202406"/>
    <n v="202301"/>
    <x v="1"/>
    <x v="21"/>
    <x v="17"/>
    <x v="10"/>
    <s v="Yes"/>
    <n v="0"/>
    <d v="2024-06-30T00:00:00"/>
    <d v="2024-06-28T00:00:00"/>
    <x v="2"/>
    <x v="5"/>
    <s v="Rio de Janeiro"/>
    <s v="Small Business"/>
    <x v="4"/>
    <x v="4"/>
    <x v="6"/>
    <x v="77"/>
    <n v="1112.98"/>
    <n v="2095.73"/>
    <n v="815.10700000000008"/>
    <n v="1620.05"/>
    <s v="High"/>
    <n v="7.1999999999999995E-2"/>
    <n v="0"/>
    <n v="17"/>
    <n v="35627.410000000003"/>
    <n v="18920.66"/>
    <n v="16706.750000000004"/>
    <n v="0.46892968082720587"/>
  </r>
  <r>
    <x v="78"/>
    <n v="1"/>
    <x v="75"/>
    <n v="202306"/>
    <n v="202301"/>
    <x v="1"/>
    <x v="29"/>
    <x v="23"/>
    <x v="6"/>
    <s v="Yes"/>
    <n v="2"/>
    <d v="2023-06-16T00:00:00"/>
    <d v="2023-06-16T00:00:00"/>
    <x v="3"/>
    <x v="8"/>
    <s v="Manchester"/>
    <s v="Non-Profit"/>
    <x v="4"/>
    <x v="11"/>
    <x v="0"/>
    <x v="78"/>
    <n v="357.36"/>
    <n v="703.62"/>
    <n v="815.10700000000008"/>
    <n v="1620.05"/>
    <s v="High"/>
    <n v="0.25700000000000001"/>
    <n v="1"/>
    <n v="20"/>
    <n v="14072.4"/>
    <n v="7147.2000000000007"/>
    <n v="6925.1999999999989"/>
    <n v="0.49211221966402313"/>
  </r>
  <r>
    <x v="79"/>
    <m/>
    <x v="76"/>
    <d v="2454-03-06T00:00:00"/>
    <d v="2453-11-16T00:00:00"/>
    <x v="0"/>
    <x v="10"/>
    <x v="18"/>
    <x v="9"/>
    <s v="No"/>
    <d v="1900-01-29T00:00:00"/>
    <d v="2024-12-21T00:00:00"/>
    <d v="2024-12-21T00:00:00"/>
    <x v="3"/>
    <x v="7"/>
    <s v="Marseille"/>
    <s v="Small Business"/>
    <x v="4"/>
    <x v="2"/>
    <x v="5"/>
    <x v="79"/>
    <n v="1122.68"/>
    <n v="1997.19"/>
    <n v="815.10700000000008"/>
    <n v="1620.05"/>
    <m/>
    <n v="0.186"/>
    <n v="0"/>
    <n v="3"/>
    <n v="5991.57"/>
    <n v="3368.04"/>
    <n v="2623.5299999999997"/>
    <n v="0.43787020764173662"/>
  </r>
  <r>
    <x v="80"/>
    <m/>
    <x v="77"/>
    <d v="2453-11-17T00:00:00"/>
    <d v="2453-11-16T00:00:00"/>
    <x v="0"/>
    <x v="2"/>
    <x v="2"/>
    <x v="2"/>
    <s v="Yes"/>
    <d v="1900-01-02T00:00:00"/>
    <d v="2023-02-11T00:00:00"/>
    <d v="2023-02-11T00:00:00"/>
    <x v="0"/>
    <x v="11"/>
    <s v="Cape Town"/>
    <s v="Corporate"/>
    <x v="4"/>
    <x v="12"/>
    <x v="2"/>
    <x v="80"/>
    <n v="1410.05"/>
    <n v="2763.95"/>
    <n v="815.10700000000008"/>
    <n v="1620.05"/>
    <m/>
    <n v="0.161"/>
    <n v="0"/>
    <n v="26"/>
    <n v="71862.7"/>
    <n v="36661.299999999996"/>
    <n v="35201.4"/>
    <n v="0.48984243564463903"/>
  </r>
  <r>
    <x v="81"/>
    <n v="1"/>
    <x v="66"/>
    <n v="202308"/>
    <n v="202301"/>
    <x v="1"/>
    <x v="43"/>
    <x v="25"/>
    <x v="3"/>
    <s v="No"/>
    <n v="24"/>
    <d v="2023-09-12T00:00:00"/>
    <d v="2023-09-12T00:00:00"/>
    <x v="2"/>
    <x v="3"/>
    <s v="Vancouver"/>
    <s v="Enterprise"/>
    <x v="0"/>
    <x v="2"/>
    <x v="1"/>
    <x v="81"/>
    <n v="1183.95"/>
    <n v="1503.53"/>
    <n v="815.10700000000008"/>
    <n v="1620.05"/>
    <s v="High"/>
    <n v="0.24099999999999999"/>
    <n v="1"/>
    <n v="16"/>
    <n v="24056.48"/>
    <n v="18943.2"/>
    <n v="5113.2799999999988"/>
    <n v="0.21255312497921552"/>
  </r>
  <r>
    <x v="82"/>
    <m/>
    <x v="78"/>
    <d v="2454-06-08T00:00:00"/>
    <d v="2453-11-16T00:00:00"/>
    <x v="0"/>
    <x v="27"/>
    <x v="8"/>
    <x v="11"/>
    <s v="No"/>
    <d v="1900-01-09T00:00:00"/>
    <d v="2025-05-24T00:00:00"/>
    <d v="2025-05-24T00:00:00"/>
    <x v="3"/>
    <x v="7"/>
    <s v="Paris"/>
    <s v="Small Business"/>
    <x v="2"/>
    <x v="11"/>
    <x v="0"/>
    <x v="82"/>
    <n v="170.39"/>
    <n v="388.04"/>
    <n v="815.10700000000008"/>
    <n v="1620.05"/>
    <m/>
    <n v="8.4000000000000005E-2"/>
    <n v="0"/>
    <n v="15"/>
    <n v="5820.6"/>
    <n v="2555.85"/>
    <n v="3264.7500000000005"/>
    <n v="0.56089578393980011"/>
  </r>
  <r>
    <x v="83"/>
    <m/>
    <x v="79"/>
    <d v="2454-06-07T00:00:00"/>
    <d v="2453-11-16T00:00:00"/>
    <x v="0"/>
    <x v="22"/>
    <x v="19"/>
    <x v="7"/>
    <s v="Yes"/>
    <d v="1899-12-30T00:00:00"/>
    <d v="2025-04-23T00:00:00"/>
    <d v="2025-04-22T00:00:00"/>
    <x v="2"/>
    <x v="10"/>
    <s v="San Francisco"/>
    <s v="Non-Profit"/>
    <x v="3"/>
    <x v="14"/>
    <x v="5"/>
    <x v="83"/>
    <n v="23.24"/>
    <n v="44.57"/>
    <n v="815.10700000000008"/>
    <n v="1620.05"/>
    <m/>
    <n v="0.215"/>
    <n v="1"/>
    <n v="15"/>
    <n v="668.55"/>
    <n v="348.59999999999997"/>
    <n v="319.95"/>
    <n v="0.47857303118689704"/>
  </r>
  <r>
    <x v="84"/>
    <n v="1"/>
    <x v="80"/>
    <n v="202503"/>
    <n v="202301"/>
    <x v="1"/>
    <x v="3"/>
    <x v="3"/>
    <x v="7"/>
    <s v="No"/>
    <n v="23"/>
    <d v="2025-04-17T00:00:00"/>
    <d v="2025-04-17T00:00:00"/>
    <x v="3"/>
    <x v="8"/>
    <s v="London"/>
    <s v="Consumer"/>
    <x v="0"/>
    <x v="10"/>
    <x v="2"/>
    <x v="84"/>
    <n v="1421.19"/>
    <n v="1808.26"/>
    <n v="815.10700000000008"/>
    <n v="1620.05"/>
    <s v="Low"/>
    <n v="0.104"/>
    <n v="0"/>
    <n v="13"/>
    <n v="23507.38"/>
    <n v="18475.47"/>
    <n v="5031.91"/>
    <n v="0.21405660690387443"/>
  </r>
  <r>
    <x v="85"/>
    <m/>
    <x v="81"/>
    <d v="2453-11-27T00:00:00"/>
    <d v="2453-11-16T00:00:00"/>
    <x v="0"/>
    <x v="45"/>
    <x v="4"/>
    <x v="4"/>
    <s v="Yes"/>
    <d v="1899-12-31T00:00:00"/>
    <d v="2023-12-23T00:00:00"/>
    <d v="2023-12-23T00:00:00"/>
    <x v="0"/>
    <x v="11"/>
    <s v="Cape Town"/>
    <s v="Non-Profit"/>
    <x v="2"/>
    <x v="14"/>
    <x v="0"/>
    <x v="85"/>
    <n v="1186.18"/>
    <n v="1285.0899999999999"/>
    <n v="815.10700000000008"/>
    <n v="1620.05"/>
    <m/>
    <n v="7.0000000000000007E-2"/>
    <n v="0"/>
    <n v="11"/>
    <n v="14135.99"/>
    <n v="13047.980000000001"/>
    <n v="1088.0099999999984"/>
    <n v="7.6967371935039455E-2"/>
  </r>
  <r>
    <x v="86"/>
    <n v="1"/>
    <x v="82"/>
    <n v="202404"/>
    <n v="202301"/>
    <x v="1"/>
    <x v="23"/>
    <x v="20"/>
    <x v="5"/>
    <s v="No"/>
    <n v="19"/>
    <d v="2024-04-25T00:00:00"/>
    <d v="2024-04-25T00:00:00"/>
    <x v="1"/>
    <x v="9"/>
    <s v="Shanghai"/>
    <s v="Corporate"/>
    <x v="0"/>
    <x v="11"/>
    <x v="0"/>
    <x v="86"/>
    <n v="1366.48"/>
    <n v="1678.14"/>
    <n v="815.10700000000008"/>
    <n v="1620.05"/>
    <s v="Medium"/>
    <n v="0.154"/>
    <n v="0"/>
    <n v="10"/>
    <n v="16781.400000000001"/>
    <n v="13664.8"/>
    <n v="3116.6000000000022"/>
    <n v="0.18571752058827046"/>
  </r>
  <r>
    <x v="87"/>
    <m/>
    <x v="83"/>
    <d v="2454-06-11T00:00:00"/>
    <d v="2453-11-16T00:00:00"/>
    <x v="0"/>
    <x v="46"/>
    <x v="28"/>
    <x v="6"/>
    <s v="No"/>
    <d v="1900-01-11T00:00:00"/>
    <d v="2025-08-19T00:00:00"/>
    <d v="2025-08-19T00:00:00"/>
    <x v="0"/>
    <x v="0"/>
    <s v="Nakuru"/>
    <s v="Corporate"/>
    <x v="1"/>
    <x v="12"/>
    <x v="0"/>
    <x v="87"/>
    <n v="601.51"/>
    <n v="679.35"/>
    <n v="815.10700000000008"/>
    <n v="1620.05"/>
    <m/>
    <n v="0.188"/>
    <n v="0"/>
    <n v="3"/>
    <n v="2038.0500000000002"/>
    <n v="1804.53"/>
    <n v="233.52000000000021"/>
    <n v="0.11458011334363739"/>
  </r>
  <r>
    <x v="88"/>
    <n v="1"/>
    <x v="84"/>
    <n v="202401"/>
    <n v="202302"/>
    <x v="3"/>
    <x v="38"/>
    <x v="9"/>
    <x v="8"/>
    <s v="Yes"/>
    <n v="4"/>
    <d v="2024-01-25T00:00:00"/>
    <d v="2024-01-25T00:00:00"/>
    <x v="1"/>
    <x v="4"/>
    <s v="Delhi"/>
    <s v="Consumer"/>
    <x v="4"/>
    <x v="0"/>
    <x v="5"/>
    <x v="88"/>
    <n v="523.70000000000005"/>
    <n v="1109.92"/>
    <n v="815.10700000000008"/>
    <n v="1620.05"/>
    <s v="Low"/>
    <n v="0.03"/>
    <n v="0"/>
    <n v="11"/>
    <n v="12209.12"/>
    <n v="5760.7000000000007"/>
    <n v="6448.42"/>
    <n v="0.5281641920138388"/>
  </r>
  <r>
    <x v="89"/>
    <m/>
    <x v="85"/>
    <d v="2453-11-21T00:00:00"/>
    <d v="2453-11-18T00:00:00"/>
    <x v="2"/>
    <x v="12"/>
    <x v="23"/>
    <x v="1"/>
    <s v="Yes"/>
    <d v="1900-01-02T00:00:00"/>
    <d v="2023-07-02T00:00:00"/>
    <d v="2023-07-02T00:00:00"/>
    <x v="1"/>
    <x v="2"/>
    <s v="Nagoya"/>
    <s v="Education"/>
    <x v="2"/>
    <x v="9"/>
    <x v="5"/>
    <x v="89"/>
    <n v="55.65"/>
    <n v="83.57"/>
    <n v="815.10700000000008"/>
    <n v="1620.05"/>
    <m/>
    <n v="6.6000000000000003E-2"/>
    <n v="0"/>
    <n v="8"/>
    <n v="668.56"/>
    <n v="445.2"/>
    <n v="223.35999999999996"/>
    <n v="0.3340911810458298"/>
  </r>
  <r>
    <x v="90"/>
    <m/>
    <x v="86"/>
    <d v="2454-06-07T00:00:00"/>
    <d v="2453-11-18T00:00:00"/>
    <x v="2"/>
    <x v="47"/>
    <x v="19"/>
    <x v="9"/>
    <s v="No"/>
    <d v="1900-01-16T00:00:00"/>
    <d v="2025-05-15T00:00:00"/>
    <d v="2025-05-15T00:00:00"/>
    <x v="1"/>
    <x v="2"/>
    <s v="Nagoya"/>
    <s v="Education"/>
    <x v="4"/>
    <x v="13"/>
    <x v="2"/>
    <x v="90"/>
    <n v="691.19"/>
    <n v="1284.3"/>
    <n v="815.10700000000008"/>
    <n v="1620.05"/>
    <m/>
    <n v="7.3999999999999996E-2"/>
    <n v="0"/>
    <n v="7"/>
    <n v="8990.1"/>
    <n v="4838.33"/>
    <n v="4151.7700000000004"/>
    <n v="0.46181577513042127"/>
  </r>
  <r>
    <x v="91"/>
    <n v="1"/>
    <x v="56"/>
    <n v="202506"/>
    <n v="202302"/>
    <x v="3"/>
    <x v="8"/>
    <x v="16"/>
    <x v="7"/>
    <s v="No"/>
    <n v="16"/>
    <d v="2025-06-25T00:00:00"/>
    <d v="2025-06-25T00:00:00"/>
    <x v="1"/>
    <x v="4"/>
    <s v="Hyderabad"/>
    <s v="Enterprise"/>
    <x v="3"/>
    <x v="12"/>
    <x v="3"/>
    <x v="91"/>
    <n v="527.33000000000004"/>
    <n v="911.72"/>
    <n v="815.10700000000008"/>
    <n v="1620.05"/>
    <s v="Medium"/>
    <n v="0.14399999999999999"/>
    <n v="0"/>
    <n v="25"/>
    <n v="22793"/>
    <n v="13183.250000000002"/>
    <n v="9609.7499999999982"/>
    <n v="0.42160970473390946"/>
  </r>
  <r>
    <x v="92"/>
    <n v="1"/>
    <x v="87"/>
    <n v="202306"/>
    <n v="202301"/>
    <x v="1"/>
    <x v="29"/>
    <x v="23"/>
    <x v="7"/>
    <s v="Yes"/>
    <n v="0"/>
    <d v="2023-06-24T00:00:00"/>
    <d v="2023-06-23T00:00:00"/>
    <x v="2"/>
    <x v="5"/>
    <s v="Rio de Janeiro"/>
    <s v="Non-Profit"/>
    <x v="0"/>
    <x v="6"/>
    <x v="1"/>
    <x v="92"/>
    <n v="804.01"/>
    <n v="1405.07"/>
    <n v="815.10700000000008"/>
    <n v="1620.05"/>
    <s v="Medium"/>
    <n v="9.6000000000000002E-2"/>
    <n v="0"/>
    <n v="8"/>
    <n v="11240.56"/>
    <n v="6432.08"/>
    <n v="4808.4799999999996"/>
    <n v="0.4277793988911584"/>
  </r>
  <r>
    <x v="93"/>
    <n v="1"/>
    <x v="88"/>
    <n v="202410"/>
    <n v="202301"/>
    <x v="1"/>
    <x v="1"/>
    <x v="1"/>
    <x v="9"/>
    <s v="No"/>
    <n v="29"/>
    <d v="2024-11-02T00:00:00"/>
    <d v="2024-11-02T00:00:00"/>
    <x v="0"/>
    <x v="1"/>
    <s v="Abuja"/>
    <s v="Corporate"/>
    <x v="3"/>
    <x v="9"/>
    <x v="6"/>
    <x v="93"/>
    <n v="412.09"/>
    <n v="968.94"/>
    <n v="815.10700000000008"/>
    <n v="1620.05"/>
    <s v="Medium"/>
    <n v="9.9000000000000005E-2"/>
    <n v="0"/>
    <n v="23"/>
    <n v="22285.620000000003"/>
    <n v="9478.07"/>
    <n v="12807.550000000003"/>
    <n v="0.57470018783412813"/>
  </r>
  <r>
    <x v="94"/>
    <m/>
    <x v="59"/>
    <d v="2454-06-12T00:00:00"/>
    <d v="2453-11-16T00:00:00"/>
    <x v="0"/>
    <x v="48"/>
    <x v="11"/>
    <x v="2"/>
    <s v="No"/>
    <d v="1900-01-19T00:00:00"/>
    <d v="2025-09-30T00:00:00"/>
    <d v="2025-09-30T00:00:00"/>
    <x v="0"/>
    <x v="0"/>
    <s v="Mombasa"/>
    <s v="Corporate"/>
    <x v="4"/>
    <x v="4"/>
    <x v="3"/>
    <x v="94"/>
    <n v="1009.48"/>
    <n v="1088.81"/>
    <n v="815.10700000000008"/>
    <n v="1620.05"/>
    <m/>
    <n v="0.16"/>
    <n v="0"/>
    <n v="6"/>
    <n v="6532.86"/>
    <n v="6056.88"/>
    <n v="475.97999999999956"/>
    <n v="7.2859360218954575E-2"/>
  </r>
  <r>
    <x v="95"/>
    <n v="1"/>
    <x v="89"/>
    <n v="202304"/>
    <n v="202301"/>
    <x v="1"/>
    <x v="39"/>
    <x v="12"/>
    <x v="8"/>
    <s v="No"/>
    <n v="21"/>
    <d v="2023-04-27T00:00:00"/>
    <d v="2023-04-27T00:00:00"/>
    <x v="3"/>
    <x v="8"/>
    <s v="Manchester"/>
    <s v="Enterprise"/>
    <x v="3"/>
    <x v="2"/>
    <x v="1"/>
    <x v="95"/>
    <n v="1084.79"/>
    <n v="2484.9899999999998"/>
    <n v="815.10700000000008"/>
    <n v="1620.05"/>
    <s v="Medium"/>
    <n v="3.4000000000000002E-2"/>
    <n v="0"/>
    <n v="18"/>
    <n v="44729.819999999992"/>
    <n v="19526.22"/>
    <n v="25203.599999999991"/>
    <n v="0.56346303204439441"/>
  </r>
  <r>
    <x v="96"/>
    <n v="1"/>
    <x v="90"/>
    <n v="202508"/>
    <n v="202302"/>
    <x v="3"/>
    <x v="15"/>
    <x v="28"/>
    <x v="9"/>
    <s v="No"/>
    <n v="15"/>
    <d v="2025-08-16T00:00:00"/>
    <d v="2025-08-16T00:00:00"/>
    <x v="1"/>
    <x v="4"/>
    <s v="Bengaluru"/>
    <s v="Enterprise"/>
    <x v="4"/>
    <x v="7"/>
    <x v="5"/>
    <x v="96"/>
    <n v="24.44"/>
    <n v="28.69"/>
    <n v="815.10700000000008"/>
    <n v="1620.05"/>
    <s v="High"/>
    <n v="0.14599999999999999"/>
    <n v="0"/>
    <n v="6"/>
    <n v="172.14000000000001"/>
    <n v="146.64000000000001"/>
    <n v="25.5"/>
    <n v="0.14813523875914952"/>
  </r>
  <r>
    <x v="97"/>
    <n v="1"/>
    <x v="91"/>
    <n v="202405"/>
    <n v="202301"/>
    <x v="1"/>
    <x v="7"/>
    <x v="7"/>
    <x v="8"/>
    <s v="Yes"/>
    <n v="0"/>
    <d v="2024-05-28T00:00:00"/>
    <d v="2024-05-26T00:00:00"/>
    <x v="0"/>
    <x v="1"/>
    <s v="Abuja"/>
    <s v="Enterprise"/>
    <x v="1"/>
    <x v="9"/>
    <x v="6"/>
    <x v="97"/>
    <n v="1227.08"/>
    <n v="1896.62"/>
    <n v="815.10700000000008"/>
    <n v="1620.05"/>
    <s v="Low"/>
    <n v="0"/>
    <n v="0"/>
    <n v="18"/>
    <n v="34139.159999999996"/>
    <n v="22087.439999999999"/>
    <n v="12051.719999999998"/>
    <n v="0.353017473189147"/>
  </r>
  <r>
    <x v="98"/>
    <n v="1"/>
    <x v="92"/>
    <n v="202507"/>
    <n v="202301"/>
    <x v="1"/>
    <x v="15"/>
    <x v="13"/>
    <x v="6"/>
    <s v="No"/>
    <n v="27"/>
    <d v="2025-08-18T00:00:00"/>
    <d v="2025-08-18T00:00:00"/>
    <x v="1"/>
    <x v="9"/>
    <s v="Shenzhen"/>
    <s v="Non-Profit"/>
    <x v="2"/>
    <x v="12"/>
    <x v="2"/>
    <x v="98"/>
    <n v="547.32000000000005"/>
    <n v="419.17"/>
    <n v="815.10700000000008"/>
    <n v="1620.05"/>
    <s v="High"/>
    <n v="9.1999999999999998E-2"/>
    <n v="0"/>
    <n v="14"/>
    <n v="5868.38"/>
    <n v="7662.4800000000005"/>
    <n v="-1794.1000000000004"/>
    <n v="-0.30572321492473226"/>
  </r>
  <r>
    <x v="99"/>
    <m/>
    <x v="2"/>
    <d v="2453-11-17T00:00:00"/>
    <d v="2453-11-16T00:00:00"/>
    <x v="0"/>
    <x v="2"/>
    <x v="2"/>
    <x v="8"/>
    <s v="No"/>
    <d v="1900-01-19T00:00:00"/>
    <d v="2023-03-20T00:00:00"/>
    <d v="2023-03-20T00:00:00"/>
    <x v="3"/>
    <x v="6"/>
    <s v="Berlin"/>
    <s v="Small Business"/>
    <x v="4"/>
    <x v="10"/>
    <x v="4"/>
    <x v="99"/>
    <n v="1200.78"/>
    <n v="2001.17"/>
    <n v="815.10700000000008"/>
    <n v="1620.05"/>
    <m/>
    <n v="0.29199999999999998"/>
    <n v="1"/>
    <n v="18"/>
    <n v="36021.06"/>
    <n v="21614.04"/>
    <n v="14407.019999999997"/>
    <n v="0.39996102280166096"/>
  </r>
  <r>
    <x v="100"/>
    <n v="1"/>
    <x v="93"/>
    <n v="202501"/>
    <n v="202301"/>
    <x v="1"/>
    <x v="49"/>
    <x v="10"/>
    <x v="3"/>
    <s v="No"/>
    <n v="19"/>
    <d v="2025-02-15T00:00:00"/>
    <d v="2025-02-15T00:00:00"/>
    <x v="1"/>
    <x v="9"/>
    <s v="Shenzhen"/>
    <s v="Non-Profit"/>
    <x v="4"/>
    <x v="4"/>
    <x v="3"/>
    <x v="100"/>
    <n v="1253.22"/>
    <n v="3104.71"/>
    <n v="815.10700000000008"/>
    <n v="1620.05"/>
    <s v="High"/>
    <n v="0"/>
    <n v="0"/>
    <n v="17"/>
    <n v="52780.07"/>
    <n v="21304.74"/>
    <n v="31475.329999999998"/>
    <n v="0.59634877331538205"/>
  </r>
  <r>
    <x v="101"/>
    <n v="1"/>
    <x v="94"/>
    <n v="202401"/>
    <n v="202302"/>
    <x v="3"/>
    <x v="38"/>
    <x v="9"/>
    <x v="4"/>
    <s v="No"/>
    <n v="9"/>
    <d v="2024-01-22T00:00:00"/>
    <d v="2024-01-22T00:00:00"/>
    <x v="1"/>
    <x v="4"/>
    <s v="Mumbai"/>
    <s v="Enterprise"/>
    <x v="2"/>
    <x v="1"/>
    <x v="0"/>
    <x v="101"/>
    <n v="313.60000000000002"/>
    <n v="334.28"/>
    <n v="815.10700000000008"/>
    <n v="1620.05"/>
    <s v="High"/>
    <n v="0.14000000000000001"/>
    <n v="0"/>
    <n v="22"/>
    <n v="7354.16"/>
    <n v="6899.2000000000007"/>
    <n v="454.95999999999913"/>
    <n v="6.1864305372741298E-2"/>
  </r>
  <r>
    <x v="102"/>
    <m/>
    <x v="95"/>
    <d v="2454-06-06T00:00:00"/>
    <d v="2453-11-16T00:00:00"/>
    <x v="0"/>
    <x v="50"/>
    <x v="3"/>
    <x v="1"/>
    <s v="Yes"/>
    <d v="1900-01-03T00:00:00"/>
    <d v="2025-04-04T00:00:00"/>
    <d v="2025-04-04T00:00:00"/>
    <x v="0"/>
    <x v="0"/>
    <s v="Nakuru"/>
    <s v="Corporate"/>
    <x v="4"/>
    <x v="0"/>
    <x v="4"/>
    <x v="102"/>
    <n v="862.08"/>
    <n v="1952.83"/>
    <n v="815.10700000000008"/>
    <n v="1620.05"/>
    <m/>
    <n v="0"/>
    <n v="0"/>
    <n v="7"/>
    <n v="13669.81"/>
    <n v="6034.56"/>
    <n v="7635.2499999999991"/>
    <n v="0.5585483631447693"/>
  </r>
  <r>
    <x v="103"/>
    <n v="1"/>
    <x v="96"/>
    <n v="202412"/>
    <n v="202301"/>
    <x v="1"/>
    <x v="41"/>
    <x v="6"/>
    <x v="4"/>
    <s v="No"/>
    <n v="23"/>
    <d v="2024-12-28T00:00:00"/>
    <d v="2024-12-28T00:00:00"/>
    <x v="2"/>
    <x v="3"/>
    <s v="Vancouver"/>
    <s v="Corporate"/>
    <x v="4"/>
    <x v="9"/>
    <x v="6"/>
    <x v="103"/>
    <n v="107.03"/>
    <n v="242.29"/>
    <n v="815.10700000000008"/>
    <n v="1620.05"/>
    <s v="High"/>
    <n v="0.18"/>
    <n v="0"/>
    <n v="30"/>
    <n v="7268.7"/>
    <n v="3210.9"/>
    <n v="4057.7999999999997"/>
    <n v="0.55825663461141606"/>
  </r>
  <r>
    <x v="104"/>
    <n v="1"/>
    <x v="97"/>
    <n v="202409"/>
    <n v="202301"/>
    <x v="1"/>
    <x v="31"/>
    <x v="29"/>
    <x v="2"/>
    <s v="No"/>
    <n v="21"/>
    <d v="2024-10-05T00:00:00"/>
    <d v="2024-10-05T00:00:00"/>
    <x v="1"/>
    <x v="9"/>
    <s v="Shanghai"/>
    <s v="Small Business"/>
    <x v="1"/>
    <x v="10"/>
    <x v="4"/>
    <x v="104"/>
    <n v="1405.56"/>
    <n v="2968.87"/>
    <n v="815.10700000000008"/>
    <n v="1620.05"/>
    <s v="Low"/>
    <n v="0.16900000000000001"/>
    <n v="0"/>
    <n v="5"/>
    <n v="14844.349999999999"/>
    <n v="7027.7999999999993"/>
    <n v="7816.5499999999993"/>
    <n v="0.52656734717249321"/>
  </r>
  <r>
    <x v="105"/>
    <m/>
    <x v="98"/>
    <d v="2454-02-28T00:00:00"/>
    <d v="2453-11-16T00:00:00"/>
    <x v="0"/>
    <x v="19"/>
    <x v="7"/>
    <x v="10"/>
    <s v="Yes"/>
    <d v="1900-01-05T00:00:00"/>
    <d v="2024-05-27T00:00:00"/>
    <d v="2024-05-27T00:00:00"/>
    <x v="0"/>
    <x v="11"/>
    <s v="Johannesburg"/>
    <s v="Non-Profit"/>
    <x v="1"/>
    <x v="12"/>
    <x v="0"/>
    <x v="105"/>
    <n v="1157.51"/>
    <n v="1394.3"/>
    <n v="815.10700000000008"/>
    <n v="1620.05"/>
    <m/>
    <n v="0.27800000000000002"/>
    <n v="1"/>
    <n v="12"/>
    <n v="16731.599999999999"/>
    <n v="13890.119999999999"/>
    <n v="2841.4799999999996"/>
    <n v="0.1698271534103134"/>
  </r>
  <r>
    <x v="106"/>
    <m/>
    <x v="20"/>
    <d v="2453-11-20T00:00:00"/>
    <d v="2453-11-16T00:00:00"/>
    <x v="0"/>
    <x v="42"/>
    <x v="15"/>
    <x v="6"/>
    <s v="No"/>
    <d v="1900-01-26T00:00:00"/>
    <d v="2023-06-07T00:00:00"/>
    <d v="2023-06-07T00:00:00"/>
    <x v="0"/>
    <x v="0"/>
    <s v="Mombasa"/>
    <s v="Corporate"/>
    <x v="1"/>
    <x v="1"/>
    <x v="3"/>
    <x v="106"/>
    <n v="12.85"/>
    <n v="15.41"/>
    <n v="815.10700000000008"/>
    <n v="1620.05"/>
    <m/>
    <n v="0.13700000000000001"/>
    <n v="0"/>
    <n v="39"/>
    <n v="600.99"/>
    <n v="501.15"/>
    <n v="99.840000000000032"/>
    <n v="0.16612589227774177"/>
  </r>
  <r>
    <x v="107"/>
    <n v="1"/>
    <x v="99"/>
    <n v="202408"/>
    <n v="202301"/>
    <x v="1"/>
    <x v="44"/>
    <x v="21"/>
    <x v="9"/>
    <s v="No"/>
    <n v="21"/>
    <d v="2024-09-04T00:00:00"/>
    <d v="2024-09-04T00:00:00"/>
    <x v="3"/>
    <x v="8"/>
    <s v="Null"/>
    <s v="Non-Profit"/>
    <x v="1"/>
    <x v="1"/>
    <x v="3"/>
    <x v="107"/>
    <n v="1138.8"/>
    <n v="2250.81"/>
    <n v="815.10700000000008"/>
    <n v="1620.05"/>
    <s v="Low"/>
    <n v="0.123"/>
    <n v="0"/>
    <n v="12"/>
    <n v="27009.72"/>
    <n v="13665.599999999999"/>
    <n v="13344.120000000003"/>
    <n v="0.49404880909539239"/>
  </r>
  <r>
    <x v="108"/>
    <m/>
    <x v="100"/>
    <d v="2454-03-05T00:00:00"/>
    <d v="2453-11-18T00:00:00"/>
    <x v="2"/>
    <x v="24"/>
    <x v="1"/>
    <x v="10"/>
    <s v="No"/>
    <d v="1900-01-22T00:00:00"/>
    <d v="2024-11-08T00:00:00"/>
    <d v="2024-11-08T00:00:00"/>
    <x v="1"/>
    <x v="2"/>
    <s v="Osaka"/>
    <s v="Small Business"/>
    <x v="0"/>
    <x v="1"/>
    <x v="2"/>
    <x v="108"/>
    <n v="82.14"/>
    <n v="166.04"/>
    <n v="815.10700000000008"/>
    <n v="1620.05"/>
    <m/>
    <n v="0"/>
    <n v="0"/>
    <n v="10"/>
    <n v="1660.3999999999999"/>
    <n v="821.4"/>
    <n v="838.99999999999989"/>
    <n v="0.50529992772825827"/>
  </r>
  <r>
    <x v="109"/>
    <m/>
    <x v="101"/>
    <d v="2454-03-01T00:00:00"/>
    <d v="2453-11-16T00:00:00"/>
    <x v="0"/>
    <x v="51"/>
    <x v="17"/>
    <x v="2"/>
    <s v="Yes"/>
    <d v="1900-01-05T00:00:00"/>
    <d v="2024-06-08T00:00:00"/>
    <d v="2024-06-08T00:00:00"/>
    <x v="0"/>
    <x v="0"/>
    <s v="Kisumu"/>
    <s v="Consumer"/>
    <x v="2"/>
    <x v="8"/>
    <x v="6"/>
    <x v="109"/>
    <n v="292.94"/>
    <n v="356.55"/>
    <n v="815.10700000000008"/>
    <n v="1620.05"/>
    <m/>
    <n v="0.22900000000000001"/>
    <n v="1"/>
    <n v="2"/>
    <n v="713.1"/>
    <n v="585.88"/>
    <n v="127.22000000000003"/>
    <n v="0.17840415089047823"/>
  </r>
  <r>
    <x v="110"/>
    <n v="1"/>
    <x v="102"/>
    <n v="202406"/>
    <n v="202301"/>
    <x v="1"/>
    <x v="21"/>
    <x v="17"/>
    <x v="6"/>
    <s v="No"/>
    <n v="28"/>
    <d v="2024-07-07T00:00:00"/>
    <d v="2024-07-07T00:00:00"/>
    <x v="1"/>
    <x v="9"/>
    <s v="Shenzhen"/>
    <s v="Corporate"/>
    <x v="1"/>
    <x v="1"/>
    <x v="0"/>
    <x v="110"/>
    <n v="550.22"/>
    <n v="1025.05"/>
    <n v="815.10700000000008"/>
    <n v="1620.05"/>
    <s v="Low"/>
    <n v="0"/>
    <n v="0"/>
    <n v="27"/>
    <n v="27676.35"/>
    <n v="14855.94"/>
    <n v="12820.409999999998"/>
    <n v="0.46322618408858102"/>
  </r>
  <r>
    <x v="111"/>
    <n v="1"/>
    <x v="103"/>
    <n v="202406"/>
    <n v="202301"/>
    <x v="1"/>
    <x v="21"/>
    <x v="17"/>
    <x v="6"/>
    <s v="Yes"/>
    <n v="1"/>
    <d v="2024-06-11T00:00:00"/>
    <d v="2024-06-11T00:00:00"/>
    <x v="3"/>
    <x v="8"/>
    <s v="Birmingham"/>
    <s v="Small Business"/>
    <x v="2"/>
    <x v="12"/>
    <x v="4"/>
    <x v="111"/>
    <n v="1187.1300000000001"/>
    <n v="1795.17"/>
    <n v="815.10700000000008"/>
    <n v="1620.05"/>
    <s v="Medium"/>
    <n v="1.2E-2"/>
    <n v="0"/>
    <n v="17"/>
    <n v="30517.89"/>
    <n v="20181.210000000003"/>
    <n v="10336.679999999997"/>
    <n v="0.33870886879794104"/>
  </r>
  <r>
    <x v="112"/>
    <m/>
    <x v="104"/>
    <d v="2454-03-01T00:00:00"/>
    <d v="2453-11-16T00:00:00"/>
    <x v="0"/>
    <x v="51"/>
    <x v="17"/>
    <x v="6"/>
    <s v="No"/>
    <d v="1900-01-26T00:00:00"/>
    <d v="2024-07-26T00:00:00"/>
    <d v="2024-07-26T00:00:00"/>
    <x v="0"/>
    <x v="11"/>
    <s v="Durban"/>
    <s v="Enterprise"/>
    <x v="3"/>
    <x v="5"/>
    <x v="2"/>
    <x v="112"/>
    <n v="5.36"/>
    <n v="4.37"/>
    <n v="815.10700000000008"/>
    <n v="1620.05"/>
    <m/>
    <n v="0.11799999999999999"/>
    <n v="0"/>
    <n v="9"/>
    <n v="39.33"/>
    <n v="48.24"/>
    <n v="-8.9100000000000037"/>
    <n v="-0.22654462242562939"/>
  </r>
  <r>
    <x v="113"/>
    <m/>
    <x v="105"/>
    <d v="2454-06-04T00:00:00"/>
    <d v="2453-11-16T00:00:00"/>
    <x v="0"/>
    <x v="33"/>
    <x v="10"/>
    <x v="6"/>
    <s v="Yes"/>
    <d v="1900-01-06T00:00:00"/>
    <d v="2025-01-24T00:00:00"/>
    <d v="2025-01-24T00:00:00"/>
    <x v="2"/>
    <x v="10"/>
    <s v="Austin"/>
    <s v="Enterprise"/>
    <x v="1"/>
    <x v="3"/>
    <x v="6"/>
    <x v="113"/>
    <n v="142.09"/>
    <n v="218.5"/>
    <n v="815.10700000000008"/>
    <n v="1620.05"/>
    <m/>
    <n v="0.11899999999999999"/>
    <n v="0"/>
    <n v="11"/>
    <n v="2403.5"/>
    <n v="1562.99"/>
    <n v="840.51"/>
    <n v="0.34970251716247142"/>
  </r>
  <r>
    <x v="114"/>
    <m/>
    <x v="106"/>
    <d v="2453-11-26T00:00:00"/>
    <d v="2453-11-18T00:00:00"/>
    <x v="2"/>
    <x v="52"/>
    <x v="30"/>
    <x v="4"/>
    <s v="No"/>
    <d v="1900-01-14T00:00:00"/>
    <d v="2023-12-05T00:00:00"/>
    <d v="2023-12-05T00:00:00"/>
    <x v="1"/>
    <x v="2"/>
    <s v="Tokyo"/>
    <s v="Enterprise"/>
    <x v="0"/>
    <x v="4"/>
    <x v="2"/>
    <x v="114"/>
    <n v="354.24"/>
    <n v="249.87"/>
    <n v="815.10700000000008"/>
    <n v="1620.05"/>
    <m/>
    <n v="0"/>
    <n v="0"/>
    <n v="6"/>
    <n v="1499.22"/>
    <n v="2125.44"/>
    <n v="-626.22"/>
    <n v="-0.41769720254532355"/>
  </r>
  <r>
    <x v="115"/>
    <n v="1"/>
    <x v="107"/>
    <n v="202303"/>
    <n v="202301"/>
    <x v="1"/>
    <x v="28"/>
    <x v="22"/>
    <x v="5"/>
    <s v="Yes"/>
    <n v="3"/>
    <d v="2023-03-05T00:00:00"/>
    <d v="2023-03-05T00:00:00"/>
    <x v="2"/>
    <x v="5"/>
    <s v="Brasília"/>
    <s v="Enterprise"/>
    <x v="4"/>
    <x v="3"/>
    <x v="5"/>
    <x v="115"/>
    <n v="1473.58"/>
    <n v="3436.52"/>
    <n v="815.10700000000008"/>
    <n v="1620.05"/>
    <s v="Low"/>
    <n v="0.108"/>
    <n v="0"/>
    <n v="8"/>
    <n v="27492.16"/>
    <n v="11788.64"/>
    <n v="15703.52"/>
    <n v="0.57119993481778075"/>
  </r>
  <r>
    <x v="116"/>
    <n v="1"/>
    <x v="108"/>
    <n v="202506"/>
    <n v="202301"/>
    <x v="1"/>
    <x v="18"/>
    <x v="16"/>
    <x v="3"/>
    <s v="Yes"/>
    <n v="7"/>
    <d v="2025-06-10T00:00:00"/>
    <d v="2025-06-10T00:00:00"/>
    <x v="2"/>
    <x v="3"/>
    <s v="Toronto"/>
    <s v="Consumer"/>
    <x v="3"/>
    <x v="7"/>
    <x v="1"/>
    <x v="116"/>
    <n v="75.180000000000007"/>
    <n v="53.45"/>
    <n v="815.10700000000008"/>
    <n v="1620.05"/>
    <s v="High"/>
    <n v="0.157"/>
    <n v="0"/>
    <n v="17"/>
    <n v="908.65000000000009"/>
    <n v="1278.0600000000002"/>
    <n v="-369.41000000000008"/>
    <n v="-0.40654817586529474"/>
  </r>
  <r>
    <x v="117"/>
    <m/>
    <x v="6"/>
    <d v="2454-03-07T00:00:00"/>
    <d v="2453-11-16T00:00:00"/>
    <x v="0"/>
    <x v="13"/>
    <x v="6"/>
    <x v="7"/>
    <s v="Yes"/>
    <d v="1900-01-05T00:00:00"/>
    <d v="2025-01-02T00:00:00"/>
    <d v="2025-01-02T00:00:00"/>
    <x v="3"/>
    <x v="6"/>
    <s v="Frankfurt"/>
    <s v="Education"/>
    <x v="4"/>
    <x v="9"/>
    <x v="4"/>
    <x v="117"/>
    <n v="1391.99"/>
    <n v="3469.7"/>
    <n v="815.10700000000008"/>
    <n v="1620.05"/>
    <m/>
    <n v="0.184"/>
    <n v="0"/>
    <n v="23"/>
    <n v="79803.099999999991"/>
    <n v="32015.77"/>
    <n v="47787.329999999987"/>
    <n v="0.59881545954981685"/>
  </r>
  <r>
    <x v="118"/>
    <n v="1"/>
    <x v="109"/>
    <n v="202306"/>
    <n v="202301"/>
    <x v="1"/>
    <x v="29"/>
    <x v="23"/>
    <x v="2"/>
    <s v="No"/>
    <n v="10"/>
    <d v="2023-06-19T00:00:00"/>
    <d v="2023-06-19T00:00:00"/>
    <x v="1"/>
    <x v="9"/>
    <s v="Beijing"/>
    <s v="Enterprise"/>
    <x v="0"/>
    <x v="9"/>
    <x v="5"/>
    <x v="118"/>
    <n v="339.61"/>
    <n v="621.02"/>
    <n v="815.10700000000008"/>
    <n v="1620.05"/>
    <s v="High"/>
    <n v="7.0999999999999994E-2"/>
    <n v="0"/>
    <n v="10"/>
    <n v="6210.2"/>
    <n v="3396.1000000000004"/>
    <n v="2814.0999999999995"/>
    <n v="0.45314160574538653"/>
  </r>
  <r>
    <x v="119"/>
    <n v="1"/>
    <x v="110"/>
    <n v="202507"/>
    <n v="202301"/>
    <x v="1"/>
    <x v="15"/>
    <x v="13"/>
    <x v="9"/>
    <s v="No"/>
    <n v="9"/>
    <d v="2025-07-18T00:00:00"/>
    <d v="2025-07-18T00:00:00"/>
    <x v="2"/>
    <x v="3"/>
    <s v="Vancouver"/>
    <s v="Education"/>
    <x v="3"/>
    <x v="2"/>
    <x v="4"/>
    <x v="119"/>
    <n v="57.96"/>
    <n v="88.51"/>
    <n v="815.10700000000008"/>
    <n v="1620.05"/>
    <s v="Low"/>
    <n v="4.2999999999999997E-2"/>
    <n v="0"/>
    <n v="7"/>
    <n v="619.57000000000005"/>
    <n v="405.72"/>
    <n v="213.85000000000002"/>
    <n v="0.34515873912552253"/>
  </r>
  <r>
    <x v="120"/>
    <n v="1"/>
    <x v="111"/>
    <n v="202506"/>
    <n v="202301"/>
    <x v="1"/>
    <x v="18"/>
    <x v="16"/>
    <x v="8"/>
    <s v="No"/>
    <n v="23"/>
    <d v="2025-07-12T00:00:00"/>
    <d v="2025-07-12T00:00:00"/>
    <x v="3"/>
    <x v="8"/>
    <s v="Manchester"/>
    <s v="Non-Profit"/>
    <x v="4"/>
    <x v="15"/>
    <x v="2"/>
    <x v="120"/>
    <n v="801.24"/>
    <n v="1959.09"/>
    <n v="815.10700000000008"/>
    <n v="1620.05"/>
    <s v="Low"/>
    <n v="0.123"/>
    <n v="0"/>
    <n v="23"/>
    <n v="45059.07"/>
    <n v="18428.52"/>
    <n v="26630.55"/>
    <n v="0.59101419536621591"/>
  </r>
  <r>
    <x v="121"/>
    <m/>
    <x v="112"/>
    <d v="2453-11-26T00:00:00"/>
    <d v="2453-11-16T00:00:00"/>
    <x v="0"/>
    <x v="53"/>
    <x v="30"/>
    <x v="7"/>
    <s v="No"/>
    <d v="1900-01-23T00:00:00"/>
    <d v="2023-12-13T00:00:00"/>
    <d v="2023-12-13T00:00:00"/>
    <x v="3"/>
    <x v="7"/>
    <s v="Lyon"/>
    <s v="Non-Profit"/>
    <x v="4"/>
    <x v="10"/>
    <x v="5"/>
    <x v="121"/>
    <n v="1297.42"/>
    <n v="2742.97"/>
    <n v="815.10700000000008"/>
    <n v="1620.05"/>
    <m/>
    <n v="6.9000000000000006E-2"/>
    <n v="0"/>
    <n v="9"/>
    <n v="24686.73"/>
    <n v="11676.78"/>
    <n v="13009.949999999999"/>
    <n v="0.52700175357368106"/>
  </r>
  <r>
    <x v="122"/>
    <m/>
    <x v="113"/>
    <d v="2453-11-27T00:00:00"/>
    <d v="2453-11-16T00:00:00"/>
    <x v="0"/>
    <x v="45"/>
    <x v="4"/>
    <x v="5"/>
    <s v="No"/>
    <d v="1900-01-21T00:00:00"/>
    <d v="2024-01-20T00:00:00"/>
    <d v="2024-01-20T00:00:00"/>
    <x v="0"/>
    <x v="0"/>
    <s v="Kisumu"/>
    <s v="Corporate"/>
    <x v="4"/>
    <x v="4"/>
    <x v="3"/>
    <x v="122"/>
    <n v="1395.49"/>
    <n v="1679.42"/>
    <n v="815.10700000000008"/>
    <n v="1620.05"/>
    <m/>
    <n v="0.20300000000000001"/>
    <n v="1"/>
    <n v="12"/>
    <n v="20153.04"/>
    <n v="16745.88"/>
    <n v="3407.16"/>
    <n v="0.16906431982470138"/>
  </r>
  <r>
    <x v="123"/>
    <n v="1"/>
    <x v="61"/>
    <n v="202411"/>
    <n v="202301"/>
    <x v="1"/>
    <x v="6"/>
    <x v="18"/>
    <x v="5"/>
    <s v="No"/>
    <n v="27"/>
    <d v="2024-11-29T00:00:00"/>
    <d v="2024-11-29T00:00:00"/>
    <x v="2"/>
    <x v="5"/>
    <s v="Brasília"/>
    <s v="Small Business"/>
    <x v="4"/>
    <x v="2"/>
    <x v="2"/>
    <x v="123"/>
    <n v="1363.51"/>
    <n v="1433.9"/>
    <n v="815.10700000000008"/>
    <n v="1620.05"/>
    <s v="High"/>
    <n v="5.7000000000000002E-2"/>
    <n v="0"/>
    <n v="8"/>
    <n v="11471.2"/>
    <n v="10908.08"/>
    <n v="563.1200000000008"/>
    <n v="4.9089894692795941E-2"/>
  </r>
  <r>
    <x v="124"/>
    <n v="1"/>
    <x v="114"/>
    <n v="202308"/>
    <n v="202301"/>
    <x v="1"/>
    <x v="43"/>
    <x v="25"/>
    <x v="2"/>
    <s v="No"/>
    <n v="14"/>
    <d v="2023-09-04T00:00:00"/>
    <d v="2023-09-04T00:00:00"/>
    <x v="2"/>
    <x v="3"/>
    <s v="Montreal"/>
    <s v="Education"/>
    <x v="3"/>
    <x v="9"/>
    <x v="0"/>
    <x v="124"/>
    <n v="178.19"/>
    <n v="284.43"/>
    <n v="815.10700000000008"/>
    <n v="1620.05"/>
    <s v="Medium"/>
    <n v="8.8999999999999996E-2"/>
    <n v="0"/>
    <n v="8"/>
    <n v="2275.44"/>
    <n v="1425.52"/>
    <n v="849.92000000000007"/>
    <n v="0.37351896776008159"/>
  </r>
  <r>
    <x v="125"/>
    <n v="1"/>
    <x v="115"/>
    <n v="202308"/>
    <n v="202301"/>
    <x v="1"/>
    <x v="43"/>
    <x v="25"/>
    <x v="11"/>
    <s v="No"/>
    <n v="25"/>
    <d v="2023-09-06T00:00:00"/>
    <d v="2023-09-06T00:00:00"/>
    <x v="1"/>
    <x v="9"/>
    <s v="Shanghai"/>
    <s v="Small Business"/>
    <x v="0"/>
    <x v="5"/>
    <x v="0"/>
    <x v="125"/>
    <n v="950.77"/>
    <n v="694.78"/>
    <n v="815.10700000000008"/>
    <n v="1620.05"/>
    <s v="Low"/>
    <n v="8.4000000000000005E-2"/>
    <n v="0"/>
    <n v="14"/>
    <n v="9726.92"/>
    <n v="13310.779999999999"/>
    <n v="-3583.8599999999988"/>
    <n v="-0.36844756613604296"/>
  </r>
  <r>
    <x v="126"/>
    <m/>
    <x v="116"/>
    <d v="2454-03-01T00:00:00"/>
    <d v="2453-11-16T00:00:00"/>
    <x v="0"/>
    <x v="51"/>
    <x v="17"/>
    <x v="11"/>
    <s v="No"/>
    <d v="1900-01-18T00:00:00"/>
    <d v="2024-06-26T00:00:00"/>
    <d v="2024-06-26T00:00:00"/>
    <x v="3"/>
    <x v="6"/>
    <s v="Berlin"/>
    <s v="Non-Profit"/>
    <x v="2"/>
    <x v="12"/>
    <x v="0"/>
    <x v="126"/>
    <n v="1064.32"/>
    <n v="1848.39"/>
    <n v="815.10700000000008"/>
    <n v="1620.05"/>
    <m/>
    <n v="7.2999999999999995E-2"/>
    <n v="0"/>
    <n v="38"/>
    <n v="70238.820000000007"/>
    <n v="40444.159999999996"/>
    <n v="29794.660000000011"/>
    <n v="0.42419078224833517"/>
  </r>
  <r>
    <x v="127"/>
    <n v="1"/>
    <x v="117"/>
    <n v="202508"/>
    <n v="202301"/>
    <x v="1"/>
    <x v="54"/>
    <x v="28"/>
    <x v="6"/>
    <s v="No"/>
    <n v="9"/>
    <d v="2025-08-14T00:00:00"/>
    <d v="2025-08-14T00:00:00"/>
    <x v="3"/>
    <x v="8"/>
    <s v="London"/>
    <s v="Non-Profit"/>
    <x v="4"/>
    <x v="6"/>
    <x v="0"/>
    <x v="127"/>
    <n v="41.76"/>
    <n v="45.19"/>
    <n v="815.10700000000008"/>
    <n v="1620.05"/>
    <s v="High"/>
    <n v="0.17899999999999999"/>
    <n v="0"/>
    <n v="23"/>
    <n v="1039.3699999999999"/>
    <n v="960.4799999999999"/>
    <n v="78.889999999999986"/>
    <n v="7.5901748174374853E-2"/>
  </r>
  <r>
    <x v="128"/>
    <m/>
    <x v="118"/>
    <d v="2454-02-28T00:00:00"/>
    <d v="2453-11-16T00:00:00"/>
    <x v="0"/>
    <x v="19"/>
    <x v="7"/>
    <x v="8"/>
    <s v="No"/>
    <d v="1900-01-13T00:00:00"/>
    <d v="2024-06-13T00:00:00"/>
    <d v="2024-06-13T00:00:00"/>
    <x v="2"/>
    <x v="10"/>
    <s v="San Francisco"/>
    <s v="Small Business"/>
    <x v="0"/>
    <x v="9"/>
    <x v="3"/>
    <x v="128"/>
    <n v="157.78"/>
    <n v="361.1"/>
    <n v="815.10700000000008"/>
    <n v="1620.05"/>
    <m/>
    <n v="0.187"/>
    <n v="0"/>
    <n v="9"/>
    <n v="3249.9"/>
    <n v="1420.02"/>
    <n v="1829.88"/>
    <n v="0.56305732484076432"/>
  </r>
  <r>
    <x v="129"/>
    <m/>
    <x v="119"/>
    <d v="2453-11-16T00:00:00"/>
    <d v="2453-11-16T00:00:00"/>
    <x v="0"/>
    <x v="55"/>
    <x v="5"/>
    <x v="6"/>
    <s v="No"/>
    <d v="1900-01-07T00:00:00"/>
    <d v="2023-01-30T00:00:00"/>
    <d v="2023-01-30T00:00:00"/>
    <x v="2"/>
    <x v="10"/>
    <s v="San Francisco"/>
    <s v="Small Business"/>
    <x v="1"/>
    <x v="8"/>
    <x v="2"/>
    <x v="129"/>
    <n v="413.52"/>
    <n v="1004.34"/>
    <n v="815.10700000000008"/>
    <n v="1620.05"/>
    <m/>
    <n v="0.111"/>
    <n v="0"/>
    <n v="18"/>
    <n v="18078.12"/>
    <n v="7443.36"/>
    <n v="10634.759999999998"/>
    <n v="0.5882669215604277"/>
  </r>
  <r>
    <x v="130"/>
    <n v="1"/>
    <x v="120"/>
    <n v="202502"/>
    <n v="202301"/>
    <x v="1"/>
    <x v="36"/>
    <x v="26"/>
    <x v="3"/>
    <s v="No"/>
    <n v="16"/>
    <d v="2025-02-28T00:00:00"/>
    <d v="2025-02-28T00:00:00"/>
    <x v="2"/>
    <x v="5"/>
    <s v="São Paulo"/>
    <s v="Non-Profit"/>
    <x v="4"/>
    <x v="5"/>
    <x v="5"/>
    <x v="130"/>
    <n v="414.95"/>
    <n v="1027.73"/>
    <n v="815.10700000000008"/>
    <n v="1620.05"/>
    <s v="Medium"/>
    <n v="6.3E-2"/>
    <n v="0"/>
    <n v="8"/>
    <n v="8221.84"/>
    <n v="3319.6"/>
    <n v="4902.24"/>
    <n v="0.59624609576445176"/>
  </r>
  <r>
    <x v="131"/>
    <n v="1"/>
    <x v="121"/>
    <n v="202503"/>
    <n v="202301"/>
    <x v="1"/>
    <x v="3"/>
    <x v="3"/>
    <x v="4"/>
    <s v="No"/>
    <n v="21"/>
    <d v="2025-03-24T00:00:00"/>
    <d v="2025-03-24T00:00:00"/>
    <x v="0"/>
    <x v="1"/>
    <s v="Abuja"/>
    <s v="Enterprise"/>
    <x v="4"/>
    <x v="10"/>
    <x v="6"/>
    <x v="131"/>
    <n v="555.95000000000005"/>
    <n v="468.09"/>
    <n v="815.10700000000008"/>
    <n v="1620.05"/>
    <s v="Medium"/>
    <n v="0.14199999999999999"/>
    <n v="0"/>
    <n v="11"/>
    <n v="5148.99"/>
    <n v="6115.4500000000007"/>
    <n v="-966.46000000000095"/>
    <n v="-0.18769894678373836"/>
  </r>
  <r>
    <x v="132"/>
    <n v="1"/>
    <x v="122"/>
    <n v="202301"/>
    <n v="202301"/>
    <x v="1"/>
    <x v="5"/>
    <x v="5"/>
    <x v="4"/>
    <s v="Yes"/>
    <n v="4"/>
    <d v="2023-01-31T00:00:00"/>
    <d v="2023-01-31T00:00:00"/>
    <x v="3"/>
    <x v="8"/>
    <s v="Manchester"/>
    <s v="Enterprise"/>
    <x v="1"/>
    <x v="13"/>
    <x v="4"/>
    <x v="132"/>
    <n v="941.2"/>
    <n v="668.02"/>
    <n v="815.10700000000008"/>
    <n v="1620.05"/>
    <s v="Low"/>
    <n v="0.22"/>
    <n v="1"/>
    <n v="16"/>
    <n v="10688.32"/>
    <n v="15059.2"/>
    <n v="-4370.880000000001"/>
    <n v="-0.40893985210023664"/>
  </r>
  <r>
    <x v="133"/>
    <n v="1"/>
    <x v="123"/>
    <n v="202501"/>
    <n v="202301"/>
    <x v="1"/>
    <x v="49"/>
    <x v="10"/>
    <x v="3"/>
    <s v="Yes"/>
    <n v="6"/>
    <d v="2025-01-15T00:00:00"/>
    <d v="2025-01-15T00:00:00"/>
    <x v="1"/>
    <x v="9"/>
    <s v="Beijing"/>
    <s v="Education"/>
    <x v="1"/>
    <x v="0"/>
    <x v="3"/>
    <x v="133"/>
    <n v="304.77999999999997"/>
    <n v="537.27"/>
    <n v="815.10700000000008"/>
    <n v="1620.05"/>
    <s v="Low"/>
    <n v="0.187"/>
    <n v="0"/>
    <n v="8"/>
    <n v="4298.16"/>
    <n v="2438.2399999999998"/>
    <n v="1859.92"/>
    <n v="0.43272470080220377"/>
  </r>
  <r>
    <x v="134"/>
    <m/>
    <x v="124"/>
    <d v="2454-03-07T00:00:00"/>
    <d v="2453-11-16T00:00:00"/>
    <x v="0"/>
    <x v="13"/>
    <x v="6"/>
    <x v="4"/>
    <s v="Yes"/>
    <d v="1900-01-04T00:00:00"/>
    <d v="2024-12-26T00:00:00"/>
    <d v="2024-12-26T00:00:00"/>
    <x v="2"/>
    <x v="10"/>
    <s v="San Francisco"/>
    <s v="Consumer"/>
    <x v="2"/>
    <x v="12"/>
    <x v="1"/>
    <x v="134"/>
    <n v="699.57"/>
    <n v="572.71"/>
    <n v="815.10700000000008"/>
    <n v="1620.05"/>
    <m/>
    <n v="0.192"/>
    <n v="0"/>
    <n v="26"/>
    <n v="14890.460000000001"/>
    <n v="18188.82"/>
    <n v="-3298.3599999999988"/>
    <n v="-0.22150826770966098"/>
  </r>
  <r>
    <x v="135"/>
    <m/>
    <x v="125"/>
    <d v="2453-11-19T00:00:00"/>
    <d v="2453-11-16T00:00:00"/>
    <x v="0"/>
    <x v="12"/>
    <x v="12"/>
    <x v="2"/>
    <s v="Yes"/>
    <d v="1900-01-04T00:00:00"/>
    <d v="2023-04-17T00:00:00"/>
    <d v="2023-04-17T00:00:00"/>
    <x v="3"/>
    <x v="7"/>
    <s v="Lyon"/>
    <s v="Enterprise"/>
    <x v="4"/>
    <x v="6"/>
    <x v="5"/>
    <x v="135"/>
    <n v="1087.81"/>
    <n v="2323.87"/>
    <n v="815.10700000000008"/>
    <n v="1620.05"/>
    <m/>
    <n v="9.4E-2"/>
    <n v="0"/>
    <n v="13"/>
    <n v="30210.309999999998"/>
    <n v="14141.529999999999"/>
    <n v="16068.779999999999"/>
    <n v="0.53189722316652821"/>
  </r>
  <r>
    <x v="136"/>
    <n v="1"/>
    <x v="126"/>
    <n v="202412"/>
    <n v="202301"/>
    <x v="1"/>
    <x v="41"/>
    <x v="6"/>
    <x v="9"/>
    <s v="No"/>
    <n v="29"/>
    <d v="2025-01-12T00:00:00"/>
    <d v="2025-01-12T00:00:00"/>
    <x v="1"/>
    <x v="9"/>
    <s v="Shenzhen"/>
    <s v="Education"/>
    <x v="1"/>
    <x v="1"/>
    <x v="0"/>
    <x v="136"/>
    <n v="1412.15"/>
    <n v="1631.04"/>
    <n v="815.10700000000008"/>
    <n v="1620.05"/>
    <s v="High"/>
    <n v="8.9999999999999993E-3"/>
    <n v="0"/>
    <n v="6"/>
    <n v="9786.24"/>
    <n v="8472.9000000000015"/>
    <n v="1313.3399999999983"/>
    <n v="0.13420271728467709"/>
  </r>
  <r>
    <x v="137"/>
    <m/>
    <x v="50"/>
    <d v="2453-11-18T00:00:00"/>
    <d v="2453-11-16T00:00:00"/>
    <x v="0"/>
    <x v="32"/>
    <x v="22"/>
    <x v="2"/>
    <s v="No"/>
    <d v="1900-01-11T00:00:00"/>
    <d v="2023-04-12T00:00:00"/>
    <d v="2023-04-12T00:00:00"/>
    <x v="0"/>
    <x v="0"/>
    <s v="Mombasa"/>
    <s v="Small Business"/>
    <x v="1"/>
    <x v="0"/>
    <x v="3"/>
    <x v="137"/>
    <n v="304.22000000000003"/>
    <n v="393.31"/>
    <n v="815.10700000000008"/>
    <n v="1620.05"/>
    <m/>
    <n v="0.26500000000000001"/>
    <n v="1"/>
    <n v="15"/>
    <n v="5899.65"/>
    <n v="4563.3"/>
    <n v="1336.3499999999995"/>
    <n v="0.22651343723780215"/>
  </r>
  <r>
    <x v="138"/>
    <m/>
    <x v="127"/>
    <d v="2454-03-06T00:00:00"/>
    <d v="2453-11-16T00:00:00"/>
    <x v="0"/>
    <x v="10"/>
    <x v="18"/>
    <x v="3"/>
    <s v="No"/>
    <d v="1900-01-24T00:00:00"/>
    <d v="2024-12-15T00:00:00"/>
    <d v="2024-12-15T00:00:00"/>
    <x v="3"/>
    <x v="7"/>
    <s v="Paris"/>
    <s v="Corporate"/>
    <x v="1"/>
    <x v="3"/>
    <x v="1"/>
    <x v="138"/>
    <n v="1203.58"/>
    <n v="1856.16"/>
    <n v="815.10700000000008"/>
    <n v="1620.05"/>
    <m/>
    <n v="0.129"/>
    <n v="0"/>
    <n v="22"/>
    <n v="40835.520000000004"/>
    <n v="26478.76"/>
    <n v="14356.760000000006"/>
    <n v="0.35157529523316966"/>
  </r>
  <r>
    <x v="139"/>
    <n v="1"/>
    <x v="128"/>
    <n v="202402"/>
    <n v="202301"/>
    <x v="1"/>
    <x v="56"/>
    <x v="31"/>
    <x v="2"/>
    <s v="Yes"/>
    <n v="0"/>
    <d v="2024-02-14T00:00:00"/>
    <d v="2024-02-14T00:00:00"/>
    <x v="1"/>
    <x v="9"/>
    <s v="Beijing"/>
    <s v="Corporate"/>
    <x v="3"/>
    <x v="4"/>
    <x v="6"/>
    <x v="139"/>
    <n v="65.930000000000007"/>
    <n v="84.9"/>
    <n v="815.10700000000008"/>
    <n v="1620.05"/>
    <s v="High"/>
    <n v="0.25900000000000001"/>
    <n v="1"/>
    <n v="23"/>
    <n v="1952.7"/>
    <n v="1516.39"/>
    <n v="436.30999999999995"/>
    <n v="0.22343934040047111"/>
  </r>
  <r>
    <x v="140"/>
    <n v="1"/>
    <x v="129"/>
    <n v="202305"/>
    <n v="202302"/>
    <x v="3"/>
    <x v="39"/>
    <x v="15"/>
    <x v="1"/>
    <s v="No"/>
    <n v="16"/>
    <d v="2023-05-18T00:00:00"/>
    <d v="2023-05-18T00:00:00"/>
    <x v="1"/>
    <x v="4"/>
    <s v="Delhi"/>
    <s v="Small Business"/>
    <x v="2"/>
    <x v="11"/>
    <x v="5"/>
    <x v="140"/>
    <n v="1463.92"/>
    <n v="2252.2399999999998"/>
    <n v="815.10700000000008"/>
    <n v="1620.05"/>
    <s v="Low"/>
    <n v="0.11799999999999999"/>
    <n v="0"/>
    <n v="44"/>
    <n v="99098.559999999998"/>
    <n v="64412.480000000003"/>
    <n v="34686.079999999994"/>
    <n v="0.35001598408695339"/>
  </r>
  <r>
    <x v="141"/>
    <m/>
    <x v="130"/>
    <d v="2454-03-07T00:00:00"/>
    <d v="2453-11-16T00:00:00"/>
    <x v="0"/>
    <x v="13"/>
    <x v="6"/>
    <x v="9"/>
    <s v="No"/>
    <d v="1900-01-18T00:00:00"/>
    <d v="2025-01-11T00:00:00"/>
    <d v="2025-01-11T00:00:00"/>
    <x v="3"/>
    <x v="6"/>
    <s v="Berlin"/>
    <s v="Education"/>
    <x v="0"/>
    <x v="11"/>
    <x v="3"/>
    <x v="141"/>
    <n v="501.81"/>
    <n v="921.62"/>
    <n v="815.10700000000008"/>
    <n v="1620.05"/>
    <m/>
    <n v="0.01"/>
    <n v="0"/>
    <n v="9"/>
    <n v="8294.58"/>
    <n v="4516.29"/>
    <n v="3778.29"/>
    <n v="0.45551311820490009"/>
  </r>
  <r>
    <x v="142"/>
    <m/>
    <x v="131"/>
    <d v="2453-11-22T00:00:00"/>
    <d v="2453-11-16T00:00:00"/>
    <x v="0"/>
    <x v="30"/>
    <x v="24"/>
    <x v="2"/>
    <s v="No"/>
    <d v="1900-01-29T00:00:00"/>
    <d v="2023-08-25T00:00:00"/>
    <d v="2023-08-25T00:00:00"/>
    <x v="2"/>
    <x v="10"/>
    <s v="New York"/>
    <s v="Consumer"/>
    <x v="0"/>
    <x v="12"/>
    <x v="6"/>
    <x v="142"/>
    <n v="1261.48"/>
    <n v="1643.18"/>
    <n v="815.10700000000008"/>
    <n v="1620.05"/>
    <m/>
    <n v="0.151"/>
    <n v="0"/>
    <n v="23"/>
    <n v="37793.14"/>
    <n v="29014.04"/>
    <n v="8779.0999999999985"/>
    <n v="0.2322934797161601"/>
  </r>
  <r>
    <x v="143"/>
    <n v="1"/>
    <x v="132"/>
    <n v="202406"/>
    <n v="202301"/>
    <x v="1"/>
    <x v="21"/>
    <x v="17"/>
    <x v="11"/>
    <s v="No"/>
    <n v="21"/>
    <d v="2024-07-06T00:00:00"/>
    <d v="2024-07-06T00:00:00"/>
    <x v="2"/>
    <x v="3"/>
    <s v="Toronto"/>
    <s v="Enterprise"/>
    <x v="3"/>
    <x v="4"/>
    <x v="1"/>
    <x v="143"/>
    <n v="817.23"/>
    <n v="1467.17"/>
    <n v="815.10700000000008"/>
    <n v="1620.05"/>
    <s v="High"/>
    <n v="0.245"/>
    <n v="1"/>
    <n v="9"/>
    <n v="13204.53"/>
    <n v="7355.07"/>
    <n v="5849.4600000000009"/>
    <n v="0.44298888336048314"/>
  </r>
  <r>
    <x v="144"/>
    <n v="1"/>
    <x v="133"/>
    <n v="202307"/>
    <n v="202301"/>
    <x v="1"/>
    <x v="57"/>
    <x v="24"/>
    <x v="6"/>
    <s v="No"/>
    <n v="9"/>
    <d v="2023-07-14T00:00:00"/>
    <d v="2023-07-14T00:00:00"/>
    <x v="2"/>
    <x v="5"/>
    <s v="Brasília"/>
    <s v="Enterprise"/>
    <x v="4"/>
    <x v="5"/>
    <x v="2"/>
    <x v="144"/>
    <n v="578.85"/>
    <n v="998.76"/>
    <n v="815.10700000000008"/>
    <n v="1620.05"/>
    <s v="Medium"/>
    <n v="8.2000000000000003E-2"/>
    <n v="0"/>
    <n v="28"/>
    <n v="27965.279999999999"/>
    <n v="16207.800000000001"/>
    <n v="11757.479999999998"/>
    <n v="0.42043133485522038"/>
  </r>
  <r>
    <x v="145"/>
    <m/>
    <x v="134"/>
    <d v="2453-11-26T00:00:00"/>
    <d v="2453-11-16T00:00:00"/>
    <x v="0"/>
    <x v="53"/>
    <x v="30"/>
    <x v="11"/>
    <s v="Yes"/>
    <d v="1899-12-30T00:00:00"/>
    <d v="2023-11-30T00:00:00"/>
    <d v="2023-11-29T00:00:00"/>
    <x v="0"/>
    <x v="11"/>
    <s v="Durban"/>
    <s v="Small Business"/>
    <x v="2"/>
    <x v="6"/>
    <x v="4"/>
    <x v="145"/>
    <n v="275.56"/>
    <n v="630.72"/>
    <n v="815.10700000000008"/>
    <n v="1620.05"/>
    <m/>
    <n v="0.107"/>
    <n v="0"/>
    <n v="23"/>
    <n v="14506.560000000001"/>
    <n v="6337.88"/>
    <n v="8168.6800000000012"/>
    <n v="0.56310248604769153"/>
  </r>
  <r>
    <x v="146"/>
    <m/>
    <x v="135"/>
    <d v="2454-06-12T00:00:00"/>
    <d v="2453-11-16T00:00:00"/>
    <x v="0"/>
    <x v="48"/>
    <x v="11"/>
    <x v="5"/>
    <s v="No"/>
    <d v="1900-01-16T00:00:00"/>
    <d v="2025-09-28T00:00:00"/>
    <d v="2025-09-28T00:00:00"/>
    <x v="0"/>
    <x v="0"/>
    <s v="Nairobi"/>
    <s v="Non-Profit"/>
    <x v="3"/>
    <x v="1"/>
    <x v="4"/>
    <x v="146"/>
    <n v="891.46"/>
    <n v="728.61"/>
    <n v="815.10700000000008"/>
    <n v="1620.05"/>
    <m/>
    <n v="0.185"/>
    <n v="0"/>
    <n v="6"/>
    <n v="4371.66"/>
    <n v="5348.76"/>
    <n v="-977.10000000000036"/>
    <n v="-0.22350777507857436"/>
  </r>
  <r>
    <x v="147"/>
    <m/>
    <x v="136"/>
    <d v="2454-02-27T00:00:00"/>
    <d v="2453-11-16T00:00:00"/>
    <x v="0"/>
    <x v="40"/>
    <x v="20"/>
    <x v="8"/>
    <s v="No"/>
    <d v="1900-01-19T00:00:00"/>
    <d v="2024-04-24T00:00:00"/>
    <d v="2024-04-24T00:00:00"/>
    <x v="3"/>
    <x v="6"/>
    <s v="Frankfurt"/>
    <s v="Non-Profit"/>
    <x v="4"/>
    <x v="7"/>
    <x v="6"/>
    <x v="147"/>
    <n v="683.42"/>
    <n v="951.51"/>
    <n v="815.10700000000008"/>
    <n v="1620.05"/>
    <m/>
    <n v="0"/>
    <n v="0"/>
    <n v="14"/>
    <n v="13321.14"/>
    <n v="9567.8799999999992"/>
    <n v="3753.26"/>
    <n v="0.28175216235247136"/>
  </r>
  <r>
    <x v="148"/>
    <m/>
    <x v="137"/>
    <d v="2453-11-24T00:00:00"/>
    <d v="2453-11-16T00:00:00"/>
    <x v="0"/>
    <x v="52"/>
    <x v="27"/>
    <x v="6"/>
    <s v="Yes"/>
    <d v="1900-01-01T00:00:00"/>
    <d v="2023-09-16T00:00:00"/>
    <d v="2023-09-16T00:00:00"/>
    <x v="3"/>
    <x v="7"/>
    <s v="Lyon"/>
    <s v="Non-Profit"/>
    <x v="4"/>
    <x v="5"/>
    <x v="1"/>
    <x v="148"/>
    <n v="376.83"/>
    <n v="732.88"/>
    <n v="815.10700000000008"/>
    <n v="1620.05"/>
    <m/>
    <n v="0.188"/>
    <n v="0"/>
    <n v="25"/>
    <n v="18322"/>
    <n v="9420.75"/>
    <n v="8901.25"/>
    <n v="0.48582305425171923"/>
  </r>
  <r>
    <x v="149"/>
    <n v="1"/>
    <x v="138"/>
    <n v="202409"/>
    <n v="202301"/>
    <x v="1"/>
    <x v="31"/>
    <x v="29"/>
    <x v="11"/>
    <s v="No"/>
    <n v="25"/>
    <d v="2024-10-18T00:00:00"/>
    <d v="2024-10-18T00:00:00"/>
    <x v="2"/>
    <x v="3"/>
    <s v="Vancouver"/>
    <s v="Small Business"/>
    <x v="1"/>
    <x v="13"/>
    <x v="3"/>
    <x v="149"/>
    <n v="1297"/>
    <n v="2411.52"/>
    <n v="815.10700000000008"/>
    <n v="1620.05"/>
    <s v="Low"/>
    <n v="2.1000000000000001E-2"/>
    <n v="0"/>
    <n v="18"/>
    <n v="43407.360000000001"/>
    <n v="23346"/>
    <n v="20061.36"/>
    <n v="0.46216494161358812"/>
  </r>
  <r>
    <x v="150"/>
    <n v="1"/>
    <x v="139"/>
    <n v="202504"/>
    <n v="202301"/>
    <x v="1"/>
    <x v="35"/>
    <x v="19"/>
    <x v="10"/>
    <s v="No"/>
    <n v="30"/>
    <d v="2025-05-16T00:00:00"/>
    <d v="2025-05-16T00:00:00"/>
    <x v="2"/>
    <x v="3"/>
    <s v="Montreal"/>
    <s v="Enterprise"/>
    <x v="3"/>
    <x v="11"/>
    <x v="1"/>
    <x v="150"/>
    <n v="763.32"/>
    <n v="568.29"/>
    <n v="815.10700000000008"/>
    <n v="1620.05"/>
    <s v="High"/>
    <n v="0.13100000000000001"/>
    <n v="0"/>
    <n v="16"/>
    <n v="9092.64"/>
    <n v="12213.12"/>
    <n v="-3120.4800000000014"/>
    <n v="-0.34318745710816678"/>
  </r>
  <r>
    <x v="151"/>
    <m/>
    <x v="140"/>
    <d v="2453-11-22T00:00:00"/>
    <d v="2453-11-16T00:00:00"/>
    <x v="0"/>
    <x v="30"/>
    <x v="24"/>
    <x v="7"/>
    <s v="No"/>
    <d v="1900-01-19T00:00:00"/>
    <d v="2023-07-23T00:00:00"/>
    <d v="2023-07-23T00:00:00"/>
    <x v="0"/>
    <x v="11"/>
    <s v="Johannesburg"/>
    <s v="Small Business"/>
    <x v="3"/>
    <x v="9"/>
    <x v="4"/>
    <x v="151"/>
    <n v="1001.96"/>
    <n v="1254.95"/>
    <n v="815.10700000000008"/>
    <n v="1620.05"/>
    <m/>
    <n v="4.4999999999999998E-2"/>
    <n v="0"/>
    <n v="18"/>
    <n v="22589.100000000002"/>
    <n v="18035.28"/>
    <n v="4553.8200000000033"/>
    <n v="0.20159368899159341"/>
  </r>
  <r>
    <x v="152"/>
    <m/>
    <x v="141"/>
    <d v="2453-11-27T00:00:00"/>
    <d v="2453-11-18T00:00:00"/>
    <x v="2"/>
    <x v="4"/>
    <x v="4"/>
    <x v="11"/>
    <s v="Yes"/>
    <d v="1899-12-30T00:00:00"/>
    <d v="2023-12-07T00:00:00"/>
    <d v="2023-12-05T00:00:00"/>
    <x v="1"/>
    <x v="2"/>
    <s v="Tokyo"/>
    <s v="Non-Profit"/>
    <x v="2"/>
    <x v="10"/>
    <x v="1"/>
    <x v="152"/>
    <n v="1097.5899999999999"/>
    <n v="845.55"/>
    <n v="815.10700000000008"/>
    <n v="1620.05"/>
    <m/>
    <n v="0.184"/>
    <n v="0"/>
    <n v="6"/>
    <n v="5073.2999999999993"/>
    <n v="6585.5399999999991"/>
    <n v="-1512.2399999999998"/>
    <n v="-0.29807817396960556"/>
  </r>
  <r>
    <x v="153"/>
    <m/>
    <x v="142"/>
    <d v="2454-02-25T00:00:00"/>
    <d v="2453-11-16T00:00:00"/>
    <x v="0"/>
    <x v="58"/>
    <x v="31"/>
    <x v="5"/>
    <s v="No"/>
    <d v="1900-01-14T00:00:00"/>
    <d v="2024-03-04T00:00:00"/>
    <d v="2024-03-04T00:00:00"/>
    <x v="0"/>
    <x v="0"/>
    <s v="Kisumu"/>
    <s v="Education"/>
    <x v="4"/>
    <x v="11"/>
    <x v="1"/>
    <x v="153"/>
    <n v="928.68"/>
    <n v="2145.17"/>
    <n v="815.10700000000008"/>
    <n v="1620.05"/>
    <m/>
    <n v="0.13600000000000001"/>
    <n v="0"/>
    <n v="16"/>
    <n v="34322.720000000001"/>
    <n v="14858.88"/>
    <n v="19463.840000000004"/>
    <n v="0.56708326146645727"/>
  </r>
  <r>
    <x v="154"/>
    <m/>
    <x v="143"/>
    <d v="2453-11-25T00:00:00"/>
    <d v="2453-11-16T00:00:00"/>
    <x v="0"/>
    <x v="4"/>
    <x v="32"/>
    <x v="1"/>
    <s v="Yes"/>
    <d v="1900-01-01T00:00:00"/>
    <d v="2023-11-02T00:00:00"/>
    <d v="2023-11-02T00:00:00"/>
    <x v="0"/>
    <x v="0"/>
    <s v="Kisumu"/>
    <s v="Education"/>
    <x v="0"/>
    <x v="7"/>
    <x v="6"/>
    <x v="154"/>
    <n v="867.89"/>
    <n v="1349.94"/>
    <n v="815.10700000000008"/>
    <n v="1620.05"/>
    <m/>
    <n v="0.184"/>
    <n v="0"/>
    <n v="10"/>
    <n v="13499.400000000001"/>
    <n v="8678.9"/>
    <n v="4820.5000000000018"/>
    <n v="0.35708994473828476"/>
  </r>
  <r>
    <x v="155"/>
    <m/>
    <x v="144"/>
    <d v="2454-03-03T00:00:00"/>
    <d v="2453-11-18T00:00:00"/>
    <x v="2"/>
    <x v="51"/>
    <x v="21"/>
    <x v="5"/>
    <s v="No"/>
    <d v="1900-01-09T00:00:00"/>
    <d v="2024-08-17T00:00:00"/>
    <d v="2024-08-17T00:00:00"/>
    <x v="1"/>
    <x v="2"/>
    <s v="Osaka"/>
    <s v="Consumer"/>
    <x v="1"/>
    <x v="11"/>
    <x v="2"/>
    <x v="155"/>
    <n v="436.58"/>
    <n v="527.48"/>
    <n v="815.10700000000008"/>
    <n v="1620.05"/>
    <m/>
    <n v="0.111"/>
    <n v="0"/>
    <n v="19"/>
    <n v="10022.120000000001"/>
    <n v="8295.02"/>
    <n v="1727.1000000000004"/>
    <n v="0.17232880867521047"/>
  </r>
  <r>
    <x v="156"/>
    <m/>
    <x v="145"/>
    <d v="2454-02-25T00:00:00"/>
    <d v="2453-11-16T00:00:00"/>
    <x v="0"/>
    <x v="58"/>
    <x v="31"/>
    <x v="10"/>
    <s v="No"/>
    <d v="1900-01-19T00:00:00"/>
    <d v="2024-02-21T00:00:00"/>
    <d v="2024-02-21T00:00:00"/>
    <x v="3"/>
    <x v="7"/>
    <s v="Paris"/>
    <s v="Small Business"/>
    <x v="2"/>
    <x v="8"/>
    <x v="2"/>
    <x v="156"/>
    <n v="656.2"/>
    <n v="1467.17"/>
    <n v="815.10700000000008"/>
    <n v="1620.05"/>
    <m/>
    <n v="1.7999999999999999E-2"/>
    <n v="0"/>
    <n v="5"/>
    <n v="7335.85"/>
    <n v="3281"/>
    <n v="4054.8500000000004"/>
    <n v="0.55274439908122441"/>
  </r>
  <r>
    <x v="157"/>
    <n v="1"/>
    <x v="38"/>
    <n v="202408"/>
    <n v="202302"/>
    <x v="3"/>
    <x v="59"/>
    <x v="21"/>
    <x v="1"/>
    <s v="No"/>
    <n v="22"/>
    <d v="2024-09-18T00:00:00"/>
    <d v="2024-09-18T00:00:00"/>
    <x v="1"/>
    <x v="4"/>
    <s v="Delhi"/>
    <s v="Consumer"/>
    <x v="4"/>
    <x v="5"/>
    <x v="0"/>
    <x v="157"/>
    <n v="896.75"/>
    <n v="1651.14"/>
    <n v="815.10700000000008"/>
    <n v="1620.05"/>
    <s v="Medium"/>
    <n v="2.5000000000000001E-2"/>
    <n v="0"/>
    <n v="15"/>
    <n v="24767.100000000002"/>
    <n v="13451.25"/>
    <n v="11315.850000000002"/>
    <n v="0.45689039088145167"/>
  </r>
  <r>
    <x v="158"/>
    <m/>
    <x v="146"/>
    <d v="2454-06-05T00:00:00"/>
    <d v="2453-11-16T00:00:00"/>
    <x v="0"/>
    <x v="47"/>
    <x v="26"/>
    <x v="10"/>
    <s v="Yes"/>
    <d v="1899-12-30T00:00:00"/>
    <d v="2025-02-15T00:00:00"/>
    <d v="2025-02-15T00:00:00"/>
    <x v="3"/>
    <x v="6"/>
    <s v="Frankfurt"/>
    <s v="Small Business"/>
    <x v="2"/>
    <x v="4"/>
    <x v="6"/>
    <x v="158"/>
    <n v="815.83"/>
    <n v="1982.18"/>
    <n v="815.10700000000008"/>
    <n v="1620.05"/>
    <m/>
    <n v="0.127"/>
    <n v="0"/>
    <n v="6"/>
    <n v="11893.08"/>
    <n v="4894.9800000000005"/>
    <n v="6998.0999999999995"/>
    <n v="0.58841780262135623"/>
  </r>
  <r>
    <x v="159"/>
    <n v="1"/>
    <x v="90"/>
    <n v="202508"/>
    <n v="202301"/>
    <x v="1"/>
    <x v="54"/>
    <x v="28"/>
    <x v="4"/>
    <s v="No"/>
    <n v="20"/>
    <d v="2025-08-21T00:00:00"/>
    <d v="2025-08-21T00:00:00"/>
    <x v="1"/>
    <x v="9"/>
    <s v="Shanghai"/>
    <s v="Corporate"/>
    <x v="4"/>
    <x v="2"/>
    <x v="3"/>
    <x v="159"/>
    <n v="1220.4100000000001"/>
    <n v="2552.2199999999998"/>
    <n v="815.10700000000008"/>
    <n v="1620.05"/>
    <s v="High"/>
    <n v="0.18099999999999999"/>
    <n v="0"/>
    <n v="14"/>
    <n v="35731.079999999994"/>
    <n v="17085.740000000002"/>
    <n v="18645.339999999993"/>
    <n v="0.52182413741762057"/>
  </r>
  <r>
    <x v="160"/>
    <n v="1"/>
    <x v="147"/>
    <n v="202302"/>
    <n v="202302"/>
    <x v="3"/>
    <x v="5"/>
    <x v="2"/>
    <x v="8"/>
    <s v="No"/>
    <n v="12"/>
    <d v="2023-03-04T00:00:00"/>
    <d v="2023-03-04T00:00:00"/>
    <x v="1"/>
    <x v="4"/>
    <s v="Delhi"/>
    <s v="Consumer"/>
    <x v="3"/>
    <x v="12"/>
    <x v="5"/>
    <x v="160"/>
    <n v="299.75"/>
    <n v="523.01"/>
    <n v="815.10700000000008"/>
    <n v="1620.05"/>
    <s v="High"/>
    <n v="0.157"/>
    <n v="0"/>
    <n v="50"/>
    <n v="26150.5"/>
    <n v="14987.5"/>
    <n v="11163"/>
    <n v="0.42687520315099137"/>
  </r>
  <r>
    <x v="161"/>
    <n v="1"/>
    <x v="148"/>
    <n v="202410"/>
    <n v="202301"/>
    <x v="1"/>
    <x v="1"/>
    <x v="1"/>
    <x v="3"/>
    <s v="No"/>
    <n v="25"/>
    <d v="2024-11-24T00:00:00"/>
    <d v="2024-11-24T00:00:00"/>
    <x v="1"/>
    <x v="9"/>
    <s v="Shenzhen"/>
    <s v="Small Business"/>
    <x v="1"/>
    <x v="6"/>
    <x v="0"/>
    <x v="161"/>
    <n v="811.05"/>
    <n v="1217.71"/>
    <n v="815.10700000000008"/>
    <n v="1620.05"/>
    <s v="Low"/>
    <n v="7.1999999999999995E-2"/>
    <n v="0"/>
    <n v="5"/>
    <n v="6088.55"/>
    <n v="4055.25"/>
    <n v="2033.3000000000002"/>
    <n v="0.33395471828267814"/>
  </r>
  <r>
    <x v="162"/>
    <n v="1"/>
    <x v="149"/>
    <n v="202404"/>
    <n v="202301"/>
    <x v="1"/>
    <x v="23"/>
    <x v="20"/>
    <x v="2"/>
    <s v="Yes"/>
    <n v="4"/>
    <d v="2024-04-07T00:00:00"/>
    <d v="2024-04-07T00:00:00"/>
    <x v="2"/>
    <x v="5"/>
    <s v="Brasília"/>
    <s v="Non-Profit"/>
    <x v="4"/>
    <x v="13"/>
    <x v="3"/>
    <x v="162"/>
    <n v="1023.27"/>
    <n v="1343.64"/>
    <n v="815.10700000000008"/>
    <n v="1620.05"/>
    <s v="Medium"/>
    <n v="0.13300000000000001"/>
    <n v="0"/>
    <n v="7"/>
    <n v="9405.4800000000014"/>
    <n v="7162.8899999999994"/>
    <n v="2242.590000000002"/>
    <n v="0.23843440207198374"/>
  </r>
  <r>
    <x v="163"/>
    <m/>
    <x v="150"/>
    <d v="2453-11-18T00:00:00"/>
    <d v="2453-11-18T00:00:00"/>
    <x v="2"/>
    <x v="55"/>
    <x v="22"/>
    <x v="6"/>
    <s v="Yes"/>
    <d v="1899-12-31T00:00:00"/>
    <d v="2023-03-26T00:00:00"/>
    <d v="2023-03-26T00:00:00"/>
    <x v="1"/>
    <x v="2"/>
    <s v="Osaka"/>
    <s v="Small Business"/>
    <x v="3"/>
    <x v="2"/>
    <x v="5"/>
    <x v="163"/>
    <n v="135.12"/>
    <n v="301.7"/>
    <n v="815.10700000000008"/>
    <n v="1620.05"/>
    <m/>
    <n v="0.14000000000000001"/>
    <n v="0"/>
    <n v="47"/>
    <n v="14179.9"/>
    <n v="6350.64"/>
    <n v="7829.2599999999993"/>
    <n v="0.55213788531653962"/>
  </r>
  <r>
    <x v="164"/>
    <n v="1"/>
    <x v="151"/>
    <n v="202406"/>
    <n v="202301"/>
    <x v="1"/>
    <x v="21"/>
    <x v="17"/>
    <x v="3"/>
    <s v="No"/>
    <n v="12"/>
    <d v="2024-06-16T00:00:00"/>
    <d v="2024-06-16T00:00:00"/>
    <x v="1"/>
    <x v="9"/>
    <s v="Shanghai"/>
    <s v="Corporate"/>
    <x v="0"/>
    <x v="1"/>
    <x v="1"/>
    <x v="164"/>
    <n v="918.42"/>
    <n v="1511.71"/>
    <n v="815.10700000000008"/>
    <n v="1620.05"/>
    <s v="Low"/>
    <n v="0.02"/>
    <n v="0"/>
    <n v="8"/>
    <n v="12093.68"/>
    <n v="7347.36"/>
    <n v="4746.3200000000006"/>
    <n v="0.39246284009499183"/>
  </r>
  <r>
    <x v="165"/>
    <m/>
    <x v="152"/>
    <d v="2453-11-17T00:00:00"/>
    <d v="2453-11-16T00:00:00"/>
    <x v="0"/>
    <x v="2"/>
    <x v="2"/>
    <x v="6"/>
    <s v="No"/>
    <d v="1900-01-20T00:00:00"/>
    <d v="2023-03-12T00:00:00"/>
    <d v="2023-03-12T00:00:00"/>
    <x v="3"/>
    <x v="6"/>
    <s v="Berlin"/>
    <s v="Small Business"/>
    <x v="4"/>
    <x v="4"/>
    <x v="5"/>
    <x v="165"/>
    <n v="1234.81"/>
    <n v="2055.2399999999998"/>
    <n v="815.10700000000008"/>
    <n v="1620.05"/>
    <m/>
    <n v="5.2999999999999999E-2"/>
    <n v="0"/>
    <n v="44"/>
    <n v="90430.56"/>
    <n v="54331.64"/>
    <n v="36098.92"/>
    <n v="0.39918938907378215"/>
  </r>
  <r>
    <x v="166"/>
    <n v="1"/>
    <x v="153"/>
    <n v="202304"/>
    <n v="202301"/>
    <x v="1"/>
    <x v="39"/>
    <x v="12"/>
    <x v="3"/>
    <s v="No"/>
    <n v="30"/>
    <d v="2023-05-18T00:00:00"/>
    <d v="2023-05-18T00:00:00"/>
    <x v="1"/>
    <x v="9"/>
    <s v="Shenzhen"/>
    <s v="Non-Profit"/>
    <x v="0"/>
    <x v="10"/>
    <x v="4"/>
    <x v="166"/>
    <n v="329.03"/>
    <n v="391.15"/>
    <n v="815.10700000000008"/>
    <n v="1620.05"/>
    <s v="High"/>
    <n v="0.19700000000000001"/>
    <n v="0"/>
    <n v="46"/>
    <n v="17992.899999999998"/>
    <n v="15135.38"/>
    <n v="2857.5199999999986"/>
    <n v="0.15881375431420167"/>
  </r>
  <r>
    <x v="167"/>
    <m/>
    <x v="154"/>
    <d v="2454-02-28T00:00:00"/>
    <d v="2453-11-16T00:00:00"/>
    <x v="0"/>
    <x v="19"/>
    <x v="7"/>
    <x v="9"/>
    <s v="No"/>
    <d v="1900-01-21T00:00:00"/>
    <d v="2024-06-14T00:00:00"/>
    <d v="2024-06-14T00:00:00"/>
    <x v="3"/>
    <x v="7"/>
    <s v="Marseille"/>
    <s v="Small Business"/>
    <x v="1"/>
    <x v="13"/>
    <x v="5"/>
    <x v="167"/>
    <n v="1481.74"/>
    <n v="1848.97"/>
    <n v="815.10700000000008"/>
    <n v="1620.05"/>
    <m/>
    <n v="0.254"/>
    <n v="1"/>
    <n v="9"/>
    <n v="16640.73"/>
    <n v="13335.66"/>
    <n v="3305.0699999999997"/>
    <n v="0.19861328198943193"/>
  </r>
  <r>
    <x v="168"/>
    <n v="1"/>
    <x v="155"/>
    <n v="202310"/>
    <n v="202302"/>
    <x v="3"/>
    <x v="60"/>
    <x v="32"/>
    <x v="6"/>
    <s v="No"/>
    <n v="16"/>
    <d v="2023-10-23T00:00:00"/>
    <d v="2023-10-23T00:00:00"/>
    <x v="1"/>
    <x v="4"/>
    <s v="Hyderabad"/>
    <s v="Consumer"/>
    <x v="0"/>
    <x v="3"/>
    <x v="5"/>
    <x v="168"/>
    <n v="906.81"/>
    <n v="1395.56"/>
    <n v="815.10700000000008"/>
    <n v="1620.05"/>
    <s v="High"/>
    <n v="0.185"/>
    <n v="0"/>
    <n v="6"/>
    <n v="8373.36"/>
    <n v="5440.86"/>
    <n v="2932.5000000000009"/>
    <n v="0.35021783370116666"/>
  </r>
  <r>
    <x v="169"/>
    <n v="1"/>
    <x v="156"/>
    <n v="202410"/>
    <n v="202301"/>
    <x v="1"/>
    <x v="1"/>
    <x v="1"/>
    <x v="5"/>
    <s v="No"/>
    <n v="30"/>
    <d v="2024-11-08T00:00:00"/>
    <d v="2024-11-08T00:00:00"/>
    <x v="3"/>
    <x v="8"/>
    <s v="Manchester"/>
    <s v="Small Business"/>
    <x v="3"/>
    <x v="1"/>
    <x v="0"/>
    <x v="169"/>
    <n v="343.85"/>
    <n v="538.04"/>
    <n v="815.10700000000008"/>
    <n v="1620.05"/>
    <s v="Medium"/>
    <n v="0.13900000000000001"/>
    <n v="0"/>
    <n v="5"/>
    <n v="2690.2"/>
    <n v="1719.25"/>
    <n v="970.94999999999982"/>
    <n v="0.36092112110623742"/>
  </r>
  <r>
    <x v="170"/>
    <m/>
    <x v="157"/>
    <d v="2454-03-02T00:00:00"/>
    <d v="2453-11-18T00:00:00"/>
    <x v="2"/>
    <x v="19"/>
    <x v="14"/>
    <x v="2"/>
    <s v="Yes"/>
    <d v="1899-12-30T00:00:00"/>
    <d v="2024-07-15T00:00:00"/>
    <d v="2024-07-15T00:00:00"/>
    <x v="1"/>
    <x v="2"/>
    <s v="Tokyo"/>
    <s v="Small Business"/>
    <x v="2"/>
    <x v="3"/>
    <x v="6"/>
    <x v="170"/>
    <n v="801.77"/>
    <n v="1218.92"/>
    <n v="815.10700000000008"/>
    <n v="1620.05"/>
    <m/>
    <n v="0.254"/>
    <n v="1"/>
    <n v="16"/>
    <n v="19502.72"/>
    <n v="12828.32"/>
    <n v="6674.4000000000015"/>
    <n v="0.34222918649296102"/>
  </r>
  <r>
    <x v="171"/>
    <m/>
    <x v="158"/>
    <d v="2453-11-24T00:00:00"/>
    <d v="2453-11-18T00:00:00"/>
    <x v="2"/>
    <x v="30"/>
    <x v="27"/>
    <x v="10"/>
    <s v="No"/>
    <d v="1900-01-18T00:00:00"/>
    <d v="2023-10-10T00:00:00"/>
    <d v="2023-10-10T00:00:00"/>
    <x v="1"/>
    <x v="2"/>
    <s v="Tokyo"/>
    <s v="Education"/>
    <x v="1"/>
    <x v="14"/>
    <x v="0"/>
    <x v="171"/>
    <n v="845.63"/>
    <n v="2062.12"/>
    <n v="815.10700000000008"/>
    <n v="1620.05"/>
    <m/>
    <n v="0.13400000000000001"/>
    <n v="0"/>
    <n v="5"/>
    <n v="10310.599999999999"/>
    <n v="4228.1499999999996"/>
    <n v="6082.4499999999989"/>
    <n v="0.58992202199678001"/>
  </r>
  <r>
    <x v="172"/>
    <m/>
    <x v="159"/>
    <d v="2453-11-17T00:00:00"/>
    <d v="2453-11-16T00:00:00"/>
    <x v="0"/>
    <x v="2"/>
    <x v="2"/>
    <x v="11"/>
    <s v="No"/>
    <d v="1900-01-12T00:00:00"/>
    <d v="2023-03-09T00:00:00"/>
    <d v="2023-03-09T00:00:00"/>
    <x v="2"/>
    <x v="10"/>
    <s v="New York"/>
    <s v="Enterprise"/>
    <x v="1"/>
    <x v="12"/>
    <x v="0"/>
    <x v="172"/>
    <n v="6.85"/>
    <n v="10.18"/>
    <n v="815.10700000000008"/>
    <n v="1620.05"/>
    <m/>
    <n v="4.7E-2"/>
    <n v="0"/>
    <n v="10"/>
    <n v="101.8"/>
    <n v="68.5"/>
    <n v="33.299999999999997"/>
    <n v="0.32711198428290766"/>
  </r>
  <r>
    <x v="173"/>
    <m/>
    <x v="9"/>
    <d v="2454-06-08T00:00:00"/>
    <d v="2453-11-16T00:00:00"/>
    <x v="0"/>
    <x v="27"/>
    <x v="8"/>
    <x v="3"/>
    <s v="Yes"/>
    <d v="1899-12-30T00:00:00"/>
    <d v="2025-05-21T00:00:00"/>
    <d v="2025-05-19T00:00:00"/>
    <x v="0"/>
    <x v="11"/>
    <s v="Johannesburg"/>
    <s v="Non-Profit"/>
    <x v="3"/>
    <x v="7"/>
    <x v="4"/>
    <x v="173"/>
    <n v="1263.8399999999999"/>
    <n v="2281.7199999999998"/>
    <n v="815.10700000000008"/>
    <n v="1620.05"/>
    <m/>
    <n v="7.8E-2"/>
    <n v="0"/>
    <n v="15"/>
    <n v="34225.799999999996"/>
    <n v="18957.599999999999"/>
    <n v="15268.199999999997"/>
    <n v="0.44610206335571406"/>
  </r>
  <r>
    <x v="174"/>
    <m/>
    <x v="154"/>
    <d v="2454-02-28T00:00:00"/>
    <d v="2453-11-16T00:00:00"/>
    <x v="0"/>
    <x v="19"/>
    <x v="7"/>
    <x v="7"/>
    <s v="No"/>
    <d v="1900-01-10T00:00:00"/>
    <d v="2024-06-03T00:00:00"/>
    <d v="2024-06-03T00:00:00"/>
    <x v="0"/>
    <x v="11"/>
    <s v="Johannesburg"/>
    <s v="Small Business"/>
    <x v="3"/>
    <x v="9"/>
    <x v="1"/>
    <x v="174"/>
    <n v="180.89"/>
    <n v="249.57"/>
    <n v="815.10700000000008"/>
    <n v="1620.05"/>
    <m/>
    <n v="2.1999999999999999E-2"/>
    <n v="0"/>
    <n v="8"/>
    <n v="1996.56"/>
    <n v="1447.12"/>
    <n v="549.44000000000005"/>
    <n v="0.27519333253195499"/>
  </r>
  <r>
    <x v="175"/>
    <n v="1"/>
    <x v="160"/>
    <n v="202504"/>
    <n v="202301"/>
    <x v="1"/>
    <x v="35"/>
    <x v="19"/>
    <x v="6"/>
    <s v="No"/>
    <n v="20"/>
    <d v="2025-05-04T00:00:00"/>
    <d v="2025-05-04T00:00:00"/>
    <x v="3"/>
    <x v="8"/>
    <s v="Birmingham"/>
    <s v="Enterprise"/>
    <x v="2"/>
    <x v="11"/>
    <x v="5"/>
    <x v="175"/>
    <n v="1413.87"/>
    <n v="3275"/>
    <n v="815.10700000000008"/>
    <n v="1620.05"/>
    <s v="Low"/>
    <n v="0.255"/>
    <n v="1"/>
    <n v="38"/>
    <n v="124450"/>
    <n v="53727.06"/>
    <n v="70722.94"/>
    <n v="0.56828396946564885"/>
  </r>
  <r>
    <x v="176"/>
    <n v="1"/>
    <x v="161"/>
    <n v="202308"/>
    <n v="202301"/>
    <x v="1"/>
    <x v="43"/>
    <x v="25"/>
    <x v="7"/>
    <s v="No"/>
    <n v="15"/>
    <d v="2023-09-11T00:00:00"/>
    <d v="2023-09-11T00:00:00"/>
    <x v="3"/>
    <x v="8"/>
    <s v="London"/>
    <s v="Consumer"/>
    <x v="2"/>
    <x v="13"/>
    <x v="1"/>
    <x v="176"/>
    <n v="943.79"/>
    <n v="1913.76"/>
    <n v="815.10700000000008"/>
    <n v="1620.05"/>
    <s v="High"/>
    <n v="9.0999999999999998E-2"/>
    <n v="0"/>
    <n v="9"/>
    <n v="17223.84"/>
    <n v="8494.11"/>
    <n v="8729.73"/>
    <n v="0.50683993813226313"/>
  </r>
  <r>
    <x v="177"/>
    <m/>
    <x v="162"/>
    <d v="2454-02-25T00:00:00"/>
    <d v="2453-11-16T00:00:00"/>
    <x v="0"/>
    <x v="58"/>
    <x v="31"/>
    <x v="11"/>
    <s v="No"/>
    <d v="1900-01-17T00:00:00"/>
    <d v="2024-02-21T00:00:00"/>
    <d v="2024-02-21T00:00:00"/>
    <x v="3"/>
    <x v="6"/>
    <s v="Frankfurt"/>
    <s v="Corporate"/>
    <x v="0"/>
    <x v="10"/>
    <x v="0"/>
    <x v="177"/>
    <n v="39.229999999999997"/>
    <n v="30.09"/>
    <n v="815.10700000000008"/>
    <n v="1620.05"/>
    <m/>
    <n v="0.17699999999999999"/>
    <n v="0"/>
    <n v="13"/>
    <n v="391.17"/>
    <n v="509.98999999999995"/>
    <n v="-118.81999999999994"/>
    <n v="-0.30375540046527066"/>
  </r>
  <r>
    <x v="178"/>
    <n v="1"/>
    <x v="163"/>
    <n v="202304"/>
    <n v="202301"/>
    <x v="1"/>
    <x v="39"/>
    <x v="12"/>
    <x v="1"/>
    <s v="No"/>
    <n v="11"/>
    <d v="2023-04-16T00:00:00"/>
    <d v="2023-04-16T00:00:00"/>
    <x v="2"/>
    <x v="3"/>
    <s v="Vancouver"/>
    <s v="Non-Profit"/>
    <x v="1"/>
    <x v="7"/>
    <x v="5"/>
    <x v="178"/>
    <n v="213.1"/>
    <n v="501.31"/>
    <n v="815.10700000000008"/>
    <n v="1620.05"/>
    <s v="Low"/>
    <n v="5.6000000000000001E-2"/>
    <n v="0"/>
    <n v="15"/>
    <n v="7519.65"/>
    <n v="3196.5"/>
    <n v="4323.1499999999996"/>
    <n v="0.57491372603778101"/>
  </r>
  <r>
    <x v="179"/>
    <n v="1"/>
    <x v="164"/>
    <n v="202508"/>
    <n v="202301"/>
    <x v="1"/>
    <x v="54"/>
    <x v="28"/>
    <x v="9"/>
    <s v="No"/>
    <n v="22"/>
    <d v="2025-09-12T00:00:00"/>
    <d v="2025-09-12T00:00:00"/>
    <x v="1"/>
    <x v="9"/>
    <s v="Shenzhen"/>
    <s v="Education"/>
    <x v="0"/>
    <x v="5"/>
    <x v="1"/>
    <x v="179"/>
    <n v="352.66"/>
    <n v="411.18"/>
    <n v="815.10700000000008"/>
    <n v="1620.05"/>
    <s v="Low"/>
    <n v="0.17299999999999999"/>
    <n v="0"/>
    <n v="13"/>
    <n v="5345.34"/>
    <n v="4584.58"/>
    <n v="760.76000000000022"/>
    <n v="0.1423220973782772"/>
  </r>
  <r>
    <x v="180"/>
    <n v="1"/>
    <x v="165"/>
    <n v="202509"/>
    <n v="202301"/>
    <x v="1"/>
    <x v="11"/>
    <x v="11"/>
    <x v="8"/>
    <s v="Yes"/>
    <n v="3"/>
    <d v="2025-09-18T00:00:00"/>
    <d v="2025-09-18T00:00:00"/>
    <x v="2"/>
    <x v="5"/>
    <s v="Rio de Janeiro"/>
    <s v="Non-Profit"/>
    <x v="4"/>
    <x v="4"/>
    <x v="6"/>
    <x v="180"/>
    <n v="5.5"/>
    <n v="5.92"/>
    <n v="815.10700000000008"/>
    <n v="1620.05"/>
    <s v="Low"/>
    <n v="0.21199999999999999"/>
    <n v="1"/>
    <n v="4"/>
    <n v="23.68"/>
    <n v="22"/>
    <n v="1.6799999999999997"/>
    <n v="7.0945945945945929E-2"/>
  </r>
  <r>
    <x v="181"/>
    <n v="1"/>
    <x v="166"/>
    <n v="202410"/>
    <n v="202301"/>
    <x v="1"/>
    <x v="1"/>
    <x v="1"/>
    <x v="8"/>
    <s v="No"/>
    <n v="8"/>
    <d v="2024-10-11T00:00:00"/>
    <d v="2024-10-11T00:00:00"/>
    <x v="1"/>
    <x v="9"/>
    <s v="Beijing"/>
    <s v="Enterprise"/>
    <x v="4"/>
    <x v="5"/>
    <x v="3"/>
    <x v="181"/>
    <n v="1132.6099999999999"/>
    <n v="2206.63"/>
    <n v="815.10700000000008"/>
    <n v="1620.05"/>
    <s v="Low"/>
    <n v="6.3E-2"/>
    <n v="0"/>
    <n v="20"/>
    <n v="44132.600000000006"/>
    <n v="22652.199999999997"/>
    <n v="21480.400000000009"/>
    <n v="0.48672409964516039"/>
  </r>
  <r>
    <x v="182"/>
    <m/>
    <x v="167"/>
    <d v="2454-06-05T00:00:00"/>
    <d v="2453-11-18T00:00:00"/>
    <x v="2"/>
    <x v="13"/>
    <x v="26"/>
    <x v="2"/>
    <s v="No"/>
    <d v="1900-01-29T00:00:00"/>
    <d v="2025-03-04T00:00:00"/>
    <d v="2025-03-04T00:00:00"/>
    <x v="1"/>
    <x v="2"/>
    <s v="Osaka"/>
    <s v="Education"/>
    <x v="3"/>
    <x v="4"/>
    <x v="6"/>
    <x v="182"/>
    <n v="766.59"/>
    <n v="1912.8"/>
    <n v="815.10700000000008"/>
    <n v="1620.05"/>
    <m/>
    <n v="0.19600000000000001"/>
    <n v="0"/>
    <n v="5"/>
    <n v="9564"/>
    <n v="3832.9500000000003"/>
    <n v="5731.0499999999993"/>
    <n v="0.5992314930991216"/>
  </r>
  <r>
    <x v="183"/>
    <n v="1"/>
    <x v="66"/>
    <n v="202308"/>
    <n v="202301"/>
    <x v="1"/>
    <x v="43"/>
    <x v="25"/>
    <x v="4"/>
    <s v="Yes"/>
    <n v="4"/>
    <d v="2023-08-23T00:00:00"/>
    <d v="2023-08-23T00:00:00"/>
    <x v="0"/>
    <x v="1"/>
    <s v="Abuja"/>
    <s v="Small Business"/>
    <x v="1"/>
    <x v="1"/>
    <x v="5"/>
    <x v="183"/>
    <n v="790.63"/>
    <n v="1382.31"/>
    <n v="815.10700000000008"/>
    <n v="1620.05"/>
    <s v="High"/>
    <n v="0.10100000000000001"/>
    <n v="0"/>
    <n v="7"/>
    <n v="9676.17"/>
    <n v="5534.41"/>
    <n v="4141.76"/>
    <n v="0.42803712625966683"/>
  </r>
  <r>
    <x v="184"/>
    <n v="1"/>
    <x v="168"/>
    <n v="202410"/>
    <n v="202301"/>
    <x v="1"/>
    <x v="1"/>
    <x v="1"/>
    <x v="11"/>
    <s v="Yes"/>
    <n v="7"/>
    <d v="2024-10-29T00:00:00"/>
    <d v="2024-10-29T00:00:00"/>
    <x v="0"/>
    <x v="1"/>
    <s v="Port Harcourt"/>
    <s v="Enterprise"/>
    <x v="3"/>
    <x v="12"/>
    <x v="5"/>
    <x v="184"/>
    <n v="1023.06"/>
    <n v="1355.61"/>
    <n v="815.10700000000008"/>
    <n v="1620.05"/>
    <s v="Medium"/>
    <n v="0.153"/>
    <n v="0"/>
    <n v="23"/>
    <n v="31179.03"/>
    <n v="23530.379999999997"/>
    <n v="7648.6500000000015"/>
    <n v="0.24531391771969821"/>
  </r>
  <r>
    <x v="185"/>
    <m/>
    <x v="169"/>
    <d v="2453-11-21T00:00:00"/>
    <d v="2453-11-16T00:00:00"/>
    <x v="0"/>
    <x v="25"/>
    <x v="23"/>
    <x v="2"/>
    <s v="No"/>
    <d v="1900-01-28T00:00:00"/>
    <d v="2023-07-21T00:00:00"/>
    <d v="2023-07-21T00:00:00"/>
    <x v="3"/>
    <x v="7"/>
    <s v="Lyon"/>
    <s v="Corporate"/>
    <x v="0"/>
    <x v="1"/>
    <x v="6"/>
    <x v="185"/>
    <n v="734.34"/>
    <n v="887.9"/>
    <n v="815.10700000000008"/>
    <n v="1620.05"/>
    <m/>
    <n v="2.5000000000000001E-2"/>
    <n v="0"/>
    <n v="12"/>
    <n v="10654.8"/>
    <n v="8812.08"/>
    <n v="1842.7199999999993"/>
    <n v="0.17294740398693542"/>
  </r>
  <r>
    <x v="186"/>
    <m/>
    <x v="170"/>
    <d v="2454-06-04T00:00:00"/>
    <d v="2453-11-16T00:00:00"/>
    <x v="0"/>
    <x v="33"/>
    <x v="10"/>
    <x v="9"/>
    <s v="No"/>
    <d v="1900-01-25T00:00:00"/>
    <d v="2025-02-08T00:00:00"/>
    <d v="2025-02-08T00:00:00"/>
    <x v="3"/>
    <x v="7"/>
    <s v="Paris"/>
    <s v="Non-Profit"/>
    <x v="1"/>
    <x v="6"/>
    <x v="5"/>
    <x v="186"/>
    <n v="594.74"/>
    <n v="1020.69"/>
    <n v="815.10700000000008"/>
    <n v="1620.05"/>
    <m/>
    <n v="0.21099999999999999"/>
    <n v="1"/>
    <n v="6"/>
    <n v="6124.14"/>
    <n v="3568.44"/>
    <n v="2555.7000000000003"/>
    <n v="0.417315737393332"/>
  </r>
  <r>
    <x v="187"/>
    <n v="1"/>
    <x v="171"/>
    <n v="202307"/>
    <n v="202301"/>
    <x v="1"/>
    <x v="57"/>
    <x v="24"/>
    <x v="4"/>
    <s v="No"/>
    <n v="12"/>
    <d v="2023-07-31T00:00:00"/>
    <d v="2023-07-31T00:00:00"/>
    <x v="2"/>
    <x v="5"/>
    <s v="Rio de Janeiro"/>
    <s v="Corporate"/>
    <x v="0"/>
    <x v="0"/>
    <x v="5"/>
    <x v="187"/>
    <n v="1334.64"/>
    <n v="2273.42"/>
    <n v="815.10700000000008"/>
    <n v="1620.05"/>
    <s v="Medium"/>
    <n v="0.11799999999999999"/>
    <n v="0"/>
    <n v="14"/>
    <n v="31827.88"/>
    <n v="18684.960000000003"/>
    <n v="13142.919999999998"/>
    <n v="0.41293733669977384"/>
  </r>
  <r>
    <x v="188"/>
    <n v="1"/>
    <x v="172"/>
    <n v="202405"/>
    <n v="202301"/>
    <x v="1"/>
    <x v="7"/>
    <x v="7"/>
    <x v="11"/>
    <s v="No"/>
    <n v="20"/>
    <d v="2024-06-08T00:00:00"/>
    <d v="2024-06-08T00:00:00"/>
    <x v="2"/>
    <x v="5"/>
    <s v="Brasília"/>
    <s v="Small Business"/>
    <x v="0"/>
    <x v="6"/>
    <x v="5"/>
    <x v="188"/>
    <n v="1075.9000000000001"/>
    <n v="1242.1500000000001"/>
    <n v="815.10700000000008"/>
    <n v="1620.05"/>
    <s v="High"/>
    <n v="1.2E-2"/>
    <n v="0"/>
    <n v="7"/>
    <n v="8695.0500000000011"/>
    <n v="7531.3000000000011"/>
    <n v="1163.75"/>
    <n v="0.13384051845590306"/>
  </r>
  <r>
    <x v="189"/>
    <n v="1"/>
    <x v="162"/>
    <n v="202402"/>
    <n v="202301"/>
    <x v="1"/>
    <x v="56"/>
    <x v="31"/>
    <x v="6"/>
    <s v="No"/>
    <n v="16"/>
    <d v="2024-02-19T00:00:00"/>
    <d v="2024-02-19T00:00:00"/>
    <x v="1"/>
    <x v="9"/>
    <s v="Shenzhen"/>
    <s v="Small Business"/>
    <x v="1"/>
    <x v="10"/>
    <x v="4"/>
    <x v="189"/>
    <n v="993.75"/>
    <n v="1310.29"/>
    <n v="815.10700000000008"/>
    <n v="1620.05"/>
    <s v="Medium"/>
    <n v="0.215"/>
    <n v="1"/>
    <n v="19"/>
    <n v="24895.51"/>
    <n v="18881.25"/>
    <n v="6014.2599999999984"/>
    <n v="0.24158010822031759"/>
  </r>
  <r>
    <x v="190"/>
    <n v="1"/>
    <x v="173"/>
    <n v="202308"/>
    <n v="202301"/>
    <x v="1"/>
    <x v="43"/>
    <x v="25"/>
    <x v="1"/>
    <s v="No"/>
    <n v="14"/>
    <d v="2023-08-22T00:00:00"/>
    <d v="2023-08-22T00:00:00"/>
    <x v="3"/>
    <x v="8"/>
    <s v="Birmingham"/>
    <s v="Non-Profit"/>
    <x v="4"/>
    <x v="13"/>
    <x v="5"/>
    <x v="190"/>
    <n v="446.69"/>
    <n v="967.25"/>
    <n v="815.10700000000008"/>
    <n v="1620.05"/>
    <s v="Medium"/>
    <n v="9.4E-2"/>
    <n v="0"/>
    <n v="10"/>
    <n v="9672.5"/>
    <n v="4466.8999999999996"/>
    <n v="5205.6000000000004"/>
    <n v="0.53818557766864827"/>
  </r>
  <r>
    <x v="191"/>
    <m/>
    <x v="174"/>
    <d v="2454-03-03T00:00:00"/>
    <d v="2453-11-16T00:00:00"/>
    <x v="0"/>
    <x v="24"/>
    <x v="21"/>
    <x v="11"/>
    <s v="No"/>
    <d v="1900-01-21T00:00:00"/>
    <d v="2024-09-03T00:00:00"/>
    <d v="2024-09-03T00:00:00"/>
    <x v="2"/>
    <x v="10"/>
    <s v="Austin"/>
    <s v="Consumer"/>
    <x v="3"/>
    <x v="2"/>
    <x v="4"/>
    <x v="191"/>
    <n v="797.8"/>
    <n v="886.22"/>
    <n v="815.10700000000008"/>
    <n v="1620.05"/>
    <m/>
    <n v="0.23599999999999999"/>
    <n v="1"/>
    <n v="36"/>
    <n v="31903.920000000002"/>
    <n v="28720.799999999999"/>
    <n v="3183.1200000000026"/>
    <n v="9.9772065627045284E-2"/>
  </r>
  <r>
    <x v="192"/>
    <n v="1"/>
    <x v="175"/>
    <n v="202310"/>
    <n v="202301"/>
    <x v="1"/>
    <x v="61"/>
    <x v="32"/>
    <x v="10"/>
    <s v="No"/>
    <n v="29"/>
    <d v="2023-11-13T00:00:00"/>
    <d v="2023-11-13T00:00:00"/>
    <x v="1"/>
    <x v="9"/>
    <s v="Shenzhen"/>
    <s v="Non-Profit"/>
    <x v="3"/>
    <x v="1"/>
    <x v="1"/>
    <x v="192"/>
    <n v="986.44"/>
    <n v="790.61"/>
    <n v="815.10700000000008"/>
    <n v="1620.05"/>
    <s v="Medium"/>
    <n v="7.1999999999999995E-2"/>
    <n v="0"/>
    <n v="6"/>
    <n v="4743.66"/>
    <n v="5918.64"/>
    <n v="-1174.9800000000005"/>
    <n v="-0.24769481792539949"/>
  </r>
  <r>
    <x v="193"/>
    <m/>
    <x v="176"/>
    <d v="2453-11-20T00:00:00"/>
    <d v="2453-11-16T00:00:00"/>
    <x v="0"/>
    <x v="42"/>
    <x v="15"/>
    <x v="5"/>
    <s v="No"/>
    <d v="1900-01-21T00:00:00"/>
    <d v="2023-05-26T00:00:00"/>
    <d v="2023-05-26T00:00:00"/>
    <x v="2"/>
    <x v="10"/>
    <s v="San Francisco"/>
    <s v="Enterprise"/>
    <x v="1"/>
    <x v="1"/>
    <x v="2"/>
    <x v="193"/>
    <n v="249.71"/>
    <n v="361.33"/>
    <n v="815.10700000000008"/>
    <n v="1620.05"/>
    <m/>
    <n v="9.4E-2"/>
    <n v="0"/>
    <n v="12"/>
    <n v="4335.96"/>
    <n v="2996.52"/>
    <n v="1339.44"/>
    <n v="0.30891428887720368"/>
  </r>
  <r>
    <x v="194"/>
    <n v="1"/>
    <x v="177"/>
    <n v="202409"/>
    <n v="202301"/>
    <x v="1"/>
    <x v="31"/>
    <x v="29"/>
    <x v="9"/>
    <s v="No"/>
    <n v="9"/>
    <d v="2024-10-01T00:00:00"/>
    <d v="2024-10-01T00:00:00"/>
    <x v="2"/>
    <x v="5"/>
    <s v="São Paulo"/>
    <s v="Non-Profit"/>
    <x v="1"/>
    <x v="11"/>
    <x v="5"/>
    <x v="194"/>
    <n v="1378.8"/>
    <n v="1952.04"/>
    <n v="815.10700000000008"/>
    <n v="1620.05"/>
    <s v="Low"/>
    <n v="0.159"/>
    <n v="0"/>
    <n v="19"/>
    <n v="37088.76"/>
    <n v="26197.200000000001"/>
    <n v="10891.560000000001"/>
    <n v="0.29366201512264095"/>
  </r>
  <r>
    <x v="195"/>
    <m/>
    <x v="1"/>
    <d v="2454-03-05T00:00:00"/>
    <d v="2453-11-18T00:00:00"/>
    <x v="2"/>
    <x v="24"/>
    <x v="1"/>
    <x v="10"/>
    <s v="No"/>
    <d v="1900-01-21T00:00:00"/>
    <d v="2024-11-14T00:00:00"/>
    <d v="2024-11-14T00:00:00"/>
    <x v="1"/>
    <x v="2"/>
    <s v="Osaka"/>
    <s v="Non-Profit"/>
    <x v="4"/>
    <x v="5"/>
    <x v="3"/>
    <x v="195"/>
    <n v="1406.4"/>
    <n v="1564.76"/>
    <n v="815.10700000000008"/>
    <n v="1620.05"/>
    <m/>
    <n v="0.185"/>
    <n v="0"/>
    <n v="17"/>
    <n v="26600.92"/>
    <n v="23908.800000000003"/>
    <n v="2692.1199999999953"/>
    <n v="0.10120401850763039"/>
  </r>
  <r>
    <x v="196"/>
    <m/>
    <x v="178"/>
    <d v="2454-02-25T00:00:00"/>
    <d v="2453-11-16T00:00:00"/>
    <x v="0"/>
    <x v="58"/>
    <x v="31"/>
    <x v="2"/>
    <s v="No"/>
    <d v="1900-01-20T00:00:00"/>
    <d v="2024-03-03T00:00:00"/>
    <d v="2024-03-03T00:00:00"/>
    <x v="0"/>
    <x v="0"/>
    <s v="Kisumu"/>
    <s v="Enterprise"/>
    <x v="1"/>
    <x v="5"/>
    <x v="3"/>
    <x v="196"/>
    <n v="516.86"/>
    <n v="852.54"/>
    <n v="815.10700000000008"/>
    <n v="1620.05"/>
    <m/>
    <n v="5.0999999999999997E-2"/>
    <n v="0"/>
    <n v="14"/>
    <n v="11935.56"/>
    <n v="7236.04"/>
    <n v="4699.5199999999995"/>
    <n v="0.39374105613812838"/>
  </r>
  <r>
    <x v="197"/>
    <m/>
    <x v="179"/>
    <d v="2453-11-16T00:00:00"/>
    <d v="2453-11-16T00:00:00"/>
    <x v="0"/>
    <x v="55"/>
    <x v="5"/>
    <x v="1"/>
    <s v="No"/>
    <d v="1900-01-21T00:00:00"/>
    <d v="2023-02-21T00:00:00"/>
    <d v="2023-02-21T00:00:00"/>
    <x v="3"/>
    <x v="6"/>
    <s v="Munich"/>
    <s v="Small Business"/>
    <x v="2"/>
    <x v="3"/>
    <x v="2"/>
    <x v="197"/>
    <n v="1142.8800000000001"/>
    <n v="1465.29"/>
    <n v="815.10700000000008"/>
    <n v="1620.05"/>
    <m/>
    <n v="0.186"/>
    <n v="0"/>
    <n v="7"/>
    <n v="10257.029999999999"/>
    <n v="8000.1600000000008"/>
    <n v="2256.8699999999981"/>
    <n v="0.22003152959482408"/>
  </r>
  <r>
    <x v="198"/>
    <m/>
    <x v="27"/>
    <d v="2453-11-19T00:00:00"/>
    <d v="2453-11-16T00:00:00"/>
    <x v="0"/>
    <x v="12"/>
    <x v="12"/>
    <x v="3"/>
    <s v="No"/>
    <d v="1900-01-28T00:00:00"/>
    <d v="2023-05-13T00:00:00"/>
    <d v="2023-05-13T00:00:00"/>
    <x v="3"/>
    <x v="6"/>
    <s v="Frankfurt"/>
    <s v="Consumer"/>
    <x v="4"/>
    <x v="1"/>
    <x v="1"/>
    <x v="198"/>
    <n v="1320.33"/>
    <n v="2645.23"/>
    <n v="815.10700000000008"/>
    <n v="1620.05"/>
    <m/>
    <n v="0.155"/>
    <n v="0"/>
    <n v="25"/>
    <n v="66130.75"/>
    <n v="33008.25"/>
    <n v="33122.5"/>
    <n v="0.50086381902518873"/>
  </r>
  <r>
    <x v="199"/>
    <m/>
    <x v="180"/>
    <d v="2453-11-16T00:00:00"/>
    <d v="2453-11-16T00:00:00"/>
    <x v="0"/>
    <x v="55"/>
    <x v="5"/>
    <x v="9"/>
    <s v="Yes"/>
    <d v="1900-01-05T00:00:00"/>
    <d v="2023-01-19T00:00:00"/>
    <d v="2023-01-19T00:00:00"/>
    <x v="2"/>
    <x v="10"/>
    <s v="Chicago"/>
    <s v="Corporate"/>
    <x v="4"/>
    <x v="10"/>
    <x v="3"/>
    <x v="199"/>
    <n v="833.57"/>
    <n v="881.57"/>
    <n v="815.10700000000008"/>
    <n v="1620.05"/>
    <m/>
    <n v="5.7000000000000002E-2"/>
    <n v="0"/>
    <n v="18"/>
    <n v="15868.26"/>
    <n v="15004.26"/>
    <n v="864"/>
    <n v="5.4448313803781886E-2"/>
  </r>
  <r>
    <x v="200"/>
    <m/>
    <x v="181"/>
    <d v="2454-02-24T00:00:00"/>
    <d v="2453-11-16T00:00:00"/>
    <x v="0"/>
    <x v="9"/>
    <x v="9"/>
    <x v="3"/>
    <s v="No"/>
    <d v="1900-01-16T00:00:00"/>
    <d v="2024-01-29T00:00:00"/>
    <d v="2024-01-29T00:00:00"/>
    <x v="2"/>
    <x v="10"/>
    <s v="Chicago"/>
    <s v="Education"/>
    <x v="3"/>
    <x v="8"/>
    <x v="1"/>
    <x v="200"/>
    <n v="493.76"/>
    <n v="625.04"/>
    <n v="815.10700000000008"/>
    <n v="1620.05"/>
    <m/>
    <n v="0.25800000000000001"/>
    <n v="1"/>
    <n v="10"/>
    <n v="6250.4"/>
    <n v="4937.6000000000004"/>
    <n v="1312.7999999999993"/>
    <n v="0.21003455778830143"/>
  </r>
  <r>
    <x v="201"/>
    <m/>
    <x v="182"/>
    <d v="2453-11-23T00:00:00"/>
    <d v="2453-11-16T00:00:00"/>
    <x v="0"/>
    <x v="34"/>
    <x v="25"/>
    <x v="1"/>
    <s v="No"/>
    <d v="1900-01-22T00:00:00"/>
    <d v="2023-09-07T00:00:00"/>
    <d v="2023-09-07T00:00:00"/>
    <x v="2"/>
    <x v="10"/>
    <s v="New York"/>
    <s v="Enterprise"/>
    <x v="1"/>
    <x v="11"/>
    <x v="3"/>
    <x v="201"/>
    <n v="590.33000000000004"/>
    <n v="973.04"/>
    <n v="815.10700000000008"/>
    <n v="1620.05"/>
    <m/>
    <n v="0"/>
    <n v="0"/>
    <n v="26"/>
    <n v="25299.040000000001"/>
    <n v="15348.580000000002"/>
    <n v="9950.4599999999991"/>
    <n v="0.39331373838691108"/>
  </r>
  <r>
    <x v="202"/>
    <m/>
    <x v="183"/>
    <d v="2453-11-16T00:00:00"/>
    <d v="2453-11-16T00:00:00"/>
    <x v="0"/>
    <x v="55"/>
    <x v="5"/>
    <x v="11"/>
    <s v="No"/>
    <d v="1900-01-13T00:00:00"/>
    <d v="2023-02-03T00:00:00"/>
    <d v="2023-02-03T00:00:00"/>
    <x v="0"/>
    <x v="0"/>
    <s v="Kisumu"/>
    <s v="Corporate"/>
    <x v="0"/>
    <x v="12"/>
    <x v="2"/>
    <x v="202"/>
    <n v="884.36"/>
    <n v="1545.34"/>
    <n v="815.10700000000008"/>
    <n v="1620.05"/>
    <m/>
    <n v="0.24299999999999999"/>
    <n v="1"/>
    <n v="41"/>
    <n v="63358.939999999995"/>
    <n v="36258.76"/>
    <n v="27100.179999999993"/>
    <n v="0.42772464312060771"/>
  </r>
  <r>
    <x v="203"/>
    <n v="1"/>
    <x v="184"/>
    <n v="202502"/>
    <n v="202301"/>
    <x v="1"/>
    <x v="36"/>
    <x v="26"/>
    <x v="3"/>
    <s v="No"/>
    <n v="21"/>
    <d v="2025-02-25T00:00:00"/>
    <d v="2025-02-25T00:00:00"/>
    <x v="3"/>
    <x v="8"/>
    <s v="Birmingham"/>
    <s v="Corporate"/>
    <x v="2"/>
    <x v="14"/>
    <x v="5"/>
    <x v="203"/>
    <n v="1016.32"/>
    <n v="2253.42"/>
    <n v="815.10700000000008"/>
    <n v="1620.05"/>
    <s v="Medium"/>
    <n v="5.5E-2"/>
    <n v="0"/>
    <n v="12"/>
    <n v="27041.040000000001"/>
    <n v="12195.84"/>
    <n v="14845.2"/>
    <n v="0.54898776082576706"/>
  </r>
  <r>
    <x v="204"/>
    <m/>
    <x v="43"/>
    <d v="2453-11-19T00:00:00"/>
    <d v="2453-11-16T00:00:00"/>
    <x v="0"/>
    <x v="12"/>
    <x v="12"/>
    <x v="4"/>
    <s v="No"/>
    <d v="1900-01-08T00:00:00"/>
    <d v="2023-04-28T00:00:00"/>
    <d v="2023-04-28T00:00:00"/>
    <x v="3"/>
    <x v="6"/>
    <s v="Berlin"/>
    <s v="Education"/>
    <x v="1"/>
    <x v="6"/>
    <x v="5"/>
    <x v="204"/>
    <n v="1178.42"/>
    <n v="2446.56"/>
    <n v="815.10700000000008"/>
    <n v="1620.05"/>
    <m/>
    <n v="2.9000000000000001E-2"/>
    <n v="0"/>
    <n v="11"/>
    <n v="26912.16"/>
    <n v="12962.62"/>
    <n v="13949.539999999999"/>
    <n v="0.51833594925119353"/>
  </r>
  <r>
    <x v="205"/>
    <n v="1"/>
    <x v="185"/>
    <n v="202307"/>
    <n v="202301"/>
    <x v="1"/>
    <x v="57"/>
    <x v="24"/>
    <x v="9"/>
    <s v="No"/>
    <n v="30"/>
    <d v="2023-08-01T00:00:00"/>
    <d v="2023-08-01T00:00:00"/>
    <x v="3"/>
    <x v="8"/>
    <s v="Birmingham"/>
    <s v="Small Business"/>
    <x v="0"/>
    <x v="5"/>
    <x v="0"/>
    <x v="205"/>
    <n v="137.46"/>
    <n v="188.3"/>
    <n v="815.10700000000008"/>
    <n v="1620.05"/>
    <s v="High"/>
    <n v="3.7999999999999999E-2"/>
    <n v="0"/>
    <n v="37"/>
    <n v="6967.1"/>
    <n v="5086.0200000000004"/>
    <n v="1881.08"/>
    <n v="0.26999468932554432"/>
  </r>
  <r>
    <x v="206"/>
    <m/>
    <x v="51"/>
    <d v="2454-06-04T00:00:00"/>
    <d v="2453-11-16T00:00:00"/>
    <x v="0"/>
    <x v="33"/>
    <x v="10"/>
    <x v="11"/>
    <s v="No"/>
    <d v="1900-01-23T00:00:00"/>
    <d v="2025-02-14T00:00:00"/>
    <d v="2025-02-14T00:00:00"/>
    <x v="0"/>
    <x v="0"/>
    <s v="Nairobi"/>
    <s v="Small Business"/>
    <x v="0"/>
    <x v="1"/>
    <x v="6"/>
    <x v="206"/>
    <n v="1030.44"/>
    <n v="2562.84"/>
    <n v="815.10700000000008"/>
    <n v="1620.05"/>
    <m/>
    <n v="0.14799999999999999"/>
    <n v="0"/>
    <n v="13"/>
    <n v="33316.92"/>
    <n v="13395.720000000001"/>
    <n v="19921.199999999997"/>
    <n v="0.5979304209392704"/>
  </r>
  <r>
    <x v="207"/>
    <m/>
    <x v="186"/>
    <d v="2454-03-04T00:00:00"/>
    <d v="2453-11-16T00:00:00"/>
    <x v="0"/>
    <x v="62"/>
    <x v="29"/>
    <x v="4"/>
    <s v="No"/>
    <d v="1900-01-26T00:00:00"/>
    <d v="2024-10-07T00:00:00"/>
    <d v="2024-10-07T00:00:00"/>
    <x v="0"/>
    <x v="0"/>
    <s v="Kisumu"/>
    <s v="Consumer"/>
    <x v="0"/>
    <x v="4"/>
    <x v="1"/>
    <x v="207"/>
    <n v="1248.3900000000001"/>
    <n v="1805.11"/>
    <n v="815.10700000000008"/>
    <n v="1620.05"/>
    <m/>
    <n v="0.20300000000000001"/>
    <n v="1"/>
    <n v="11"/>
    <n v="19856.21"/>
    <n v="13732.29"/>
    <n v="6123.9199999999983"/>
    <n v="0.30841333769133178"/>
  </r>
  <r>
    <x v="208"/>
    <n v="1"/>
    <x v="187"/>
    <n v="202507"/>
    <n v="202301"/>
    <x v="1"/>
    <x v="15"/>
    <x v="13"/>
    <x v="10"/>
    <s v="No"/>
    <n v="17"/>
    <d v="2025-08-07T00:00:00"/>
    <d v="2025-08-07T00:00:00"/>
    <x v="0"/>
    <x v="1"/>
    <s v="Lagos"/>
    <s v="Enterprise"/>
    <x v="4"/>
    <x v="12"/>
    <x v="6"/>
    <x v="208"/>
    <n v="1204.95"/>
    <n v="2065.73"/>
    <n v="815.10700000000008"/>
    <n v="1620.05"/>
    <s v="High"/>
    <n v="0.13600000000000001"/>
    <n v="0"/>
    <n v="10"/>
    <n v="20657.3"/>
    <n v="12049.5"/>
    <n v="8607.7999999999993"/>
    <n v="0.41669530868022442"/>
  </r>
  <r>
    <x v="209"/>
    <m/>
    <x v="188"/>
    <d v="2454-03-05T00:00:00"/>
    <d v="2453-11-16T00:00:00"/>
    <x v="0"/>
    <x v="26"/>
    <x v="1"/>
    <x v="8"/>
    <s v="No"/>
    <d v="1900-01-20T00:00:00"/>
    <d v="2024-10-23T00:00:00"/>
    <d v="2024-10-23T00:00:00"/>
    <x v="0"/>
    <x v="11"/>
    <s v="Durban"/>
    <s v="Corporate"/>
    <x v="2"/>
    <x v="8"/>
    <x v="0"/>
    <x v="209"/>
    <n v="1095.6099999999999"/>
    <n v="2366.5100000000002"/>
    <n v="815.10700000000008"/>
    <n v="1620.05"/>
    <m/>
    <n v="0.152"/>
    <n v="0"/>
    <n v="9"/>
    <n v="21298.590000000004"/>
    <n v="9860.49"/>
    <n v="11438.100000000004"/>
    <n v="0.53703555024064986"/>
  </r>
  <r>
    <x v="210"/>
    <n v="1"/>
    <x v="189"/>
    <n v="202507"/>
    <n v="202301"/>
    <x v="1"/>
    <x v="15"/>
    <x v="13"/>
    <x v="2"/>
    <s v="No"/>
    <n v="21"/>
    <d v="2025-08-04T00:00:00"/>
    <d v="2025-08-04T00:00:00"/>
    <x v="2"/>
    <x v="3"/>
    <s v="Montreal"/>
    <s v="Consumer"/>
    <x v="1"/>
    <x v="10"/>
    <x v="5"/>
    <x v="210"/>
    <n v="90.3"/>
    <n v="131.76"/>
    <n v="815.10700000000008"/>
    <n v="1620.05"/>
    <s v="High"/>
    <n v="0.10199999999999999"/>
    <n v="0"/>
    <n v="15"/>
    <n v="1976.3999999999999"/>
    <n v="1354.5"/>
    <n v="621.89999999999986"/>
    <n v="0.31466302367941706"/>
  </r>
  <r>
    <x v="211"/>
    <n v="1"/>
    <x v="190"/>
    <n v="202409"/>
    <n v="202301"/>
    <x v="1"/>
    <x v="31"/>
    <x v="29"/>
    <x v="8"/>
    <s v="No"/>
    <n v="22"/>
    <d v="2024-10-01T00:00:00"/>
    <d v="2024-10-01T00:00:00"/>
    <x v="1"/>
    <x v="9"/>
    <s v="Shenzhen"/>
    <s v="Consumer"/>
    <x v="4"/>
    <x v="4"/>
    <x v="1"/>
    <x v="211"/>
    <n v="1166.18"/>
    <n v="1335.02"/>
    <n v="815.10700000000008"/>
    <n v="1620.05"/>
    <s v="Low"/>
    <n v="0.128"/>
    <n v="0"/>
    <n v="6"/>
    <n v="8010.12"/>
    <n v="6997.08"/>
    <n v="1013.04"/>
    <n v="0.12647001543048045"/>
  </r>
  <r>
    <x v="212"/>
    <m/>
    <x v="191"/>
    <d v="2454-06-04T00:00:00"/>
    <d v="2453-11-16T00:00:00"/>
    <x v="0"/>
    <x v="33"/>
    <x v="10"/>
    <x v="10"/>
    <s v="No"/>
    <d v="1900-01-07T00:00:00"/>
    <d v="2025-02-06T00:00:00"/>
    <d v="2025-02-06T00:00:00"/>
    <x v="0"/>
    <x v="0"/>
    <s v="Kisumu"/>
    <s v="Education"/>
    <x v="0"/>
    <x v="5"/>
    <x v="3"/>
    <x v="212"/>
    <n v="1445.27"/>
    <n v="2691.45"/>
    <n v="815.10700000000008"/>
    <n v="1620.05"/>
    <m/>
    <n v="0"/>
    <n v="0"/>
    <n v="9"/>
    <n v="24223.05"/>
    <n v="13007.43"/>
    <n v="11215.619999999999"/>
    <n v="0.46301436028906351"/>
  </r>
  <r>
    <x v="213"/>
    <n v="1"/>
    <x v="192"/>
    <n v="202311"/>
    <n v="202301"/>
    <x v="1"/>
    <x v="63"/>
    <x v="30"/>
    <x v="4"/>
    <s v="No"/>
    <n v="18"/>
    <d v="2023-11-28T00:00:00"/>
    <d v="2023-11-28T00:00:00"/>
    <x v="2"/>
    <x v="5"/>
    <s v="Brasília"/>
    <s v="Education"/>
    <x v="2"/>
    <x v="4"/>
    <x v="6"/>
    <x v="213"/>
    <n v="388.51"/>
    <n v="776.46"/>
    <n v="815.10700000000008"/>
    <n v="1620.05"/>
    <s v="High"/>
    <n v="0.157"/>
    <n v="0"/>
    <n v="12"/>
    <n v="9317.52"/>
    <n v="4662.12"/>
    <n v="4655.4000000000005"/>
    <n v="0.49963938902197153"/>
  </r>
  <r>
    <x v="214"/>
    <m/>
    <x v="193"/>
    <d v="2454-02-25T00:00:00"/>
    <d v="2453-11-18T00:00:00"/>
    <x v="2"/>
    <x v="45"/>
    <x v="31"/>
    <x v="5"/>
    <s v="No"/>
    <d v="1900-01-29T00:00:00"/>
    <d v="2024-03-30T00:00:00"/>
    <d v="2024-03-30T00:00:00"/>
    <x v="1"/>
    <x v="2"/>
    <s v="Nagoya"/>
    <s v="Small Business"/>
    <x v="4"/>
    <x v="2"/>
    <x v="2"/>
    <x v="214"/>
    <n v="231.11"/>
    <n v="318.17"/>
    <n v="815.10700000000008"/>
    <n v="1620.05"/>
    <m/>
    <n v="0.20100000000000001"/>
    <n v="1"/>
    <n v="60"/>
    <n v="19090.2"/>
    <n v="13866.6"/>
    <n v="5223.6000000000004"/>
    <n v="0.27362730615708586"/>
  </r>
  <r>
    <x v="215"/>
    <n v="1"/>
    <x v="194"/>
    <n v="202312"/>
    <n v="202302"/>
    <x v="3"/>
    <x v="63"/>
    <x v="4"/>
    <x v="1"/>
    <s v="No"/>
    <n v="25"/>
    <d v="2024-01-14T00:00:00"/>
    <d v="2024-01-14T00:00:00"/>
    <x v="1"/>
    <x v="4"/>
    <s v="Mumbai"/>
    <s v="Non-Profit"/>
    <x v="2"/>
    <x v="4"/>
    <x v="5"/>
    <x v="215"/>
    <n v="1085.6099999999999"/>
    <n v="1246.4100000000001"/>
    <n v="815.10700000000008"/>
    <n v="1620.05"/>
    <s v="Low"/>
    <n v="0.113"/>
    <n v="0"/>
    <n v="7"/>
    <n v="8724.8700000000008"/>
    <n v="7599.2699999999995"/>
    <n v="1125.6000000000013"/>
    <n v="0.12901051820829434"/>
  </r>
  <r>
    <x v="216"/>
    <m/>
    <x v="119"/>
    <d v="2453-11-16T00:00:00"/>
    <d v="2453-11-16T00:00:00"/>
    <x v="0"/>
    <x v="55"/>
    <x v="5"/>
    <x v="5"/>
    <s v="Yes"/>
    <d v="1899-12-30T00:00:00"/>
    <d v="2023-01-22T00:00:00"/>
    <d v="2023-01-21T00:00:00"/>
    <x v="3"/>
    <x v="6"/>
    <s v="Munich"/>
    <s v="Corporate"/>
    <x v="4"/>
    <x v="9"/>
    <x v="5"/>
    <x v="216"/>
    <n v="150.86000000000001"/>
    <n v="346.96"/>
    <n v="815.10700000000008"/>
    <n v="1620.05"/>
    <m/>
    <n v="0.19600000000000001"/>
    <n v="0"/>
    <n v="8"/>
    <n v="2775.68"/>
    <n v="1206.8800000000001"/>
    <n v="1568.7999999999997"/>
    <n v="0.56519483513949731"/>
  </r>
  <r>
    <x v="217"/>
    <n v="1"/>
    <x v="195"/>
    <n v="202410"/>
    <n v="202301"/>
    <x v="1"/>
    <x v="1"/>
    <x v="1"/>
    <x v="3"/>
    <s v="No"/>
    <n v="29"/>
    <d v="2024-11-09T00:00:00"/>
    <d v="2024-11-09T00:00:00"/>
    <x v="1"/>
    <x v="9"/>
    <s v="Shanghai"/>
    <s v="Non-Profit"/>
    <x v="1"/>
    <x v="9"/>
    <x v="1"/>
    <x v="217"/>
    <n v="391.64"/>
    <n v="504.76"/>
    <n v="815.10700000000008"/>
    <n v="1620.05"/>
    <s v="Low"/>
    <n v="4.0000000000000001E-3"/>
    <n v="0"/>
    <n v="13"/>
    <n v="6561.88"/>
    <n v="5091.32"/>
    <n v="1470.5600000000004"/>
    <n v="0.22410650606228708"/>
  </r>
  <r>
    <x v="218"/>
    <n v="1"/>
    <x v="196"/>
    <n v="202409"/>
    <n v="202301"/>
    <x v="1"/>
    <x v="31"/>
    <x v="29"/>
    <x v="2"/>
    <s v="No"/>
    <n v="25"/>
    <d v="2024-10-14T00:00:00"/>
    <d v="2024-10-14T00:00:00"/>
    <x v="2"/>
    <x v="5"/>
    <s v="Rio de Janeiro"/>
    <s v="Small Business"/>
    <x v="0"/>
    <x v="11"/>
    <x v="1"/>
    <x v="218"/>
    <n v="386.96"/>
    <n v="937.46"/>
    <n v="815.10700000000008"/>
    <n v="1620.05"/>
    <s v="Low"/>
    <n v="0.26600000000000001"/>
    <n v="1"/>
    <n v="41"/>
    <n v="38435.86"/>
    <n v="15865.359999999999"/>
    <n v="22570.5"/>
    <n v="0.58722505493567723"/>
  </r>
  <r>
    <x v="219"/>
    <m/>
    <x v="197"/>
    <d v="2454-06-11T00:00:00"/>
    <d v="2453-11-16T00:00:00"/>
    <x v="0"/>
    <x v="46"/>
    <x v="28"/>
    <x v="10"/>
    <s v="No"/>
    <d v="1900-01-29T00:00:00"/>
    <d v="2025-09-24T00:00:00"/>
    <d v="2025-09-24T00:00:00"/>
    <x v="0"/>
    <x v="0"/>
    <s v="Nairobi"/>
    <s v="Consumer"/>
    <x v="4"/>
    <x v="5"/>
    <x v="0"/>
    <x v="219"/>
    <n v="589.14"/>
    <n v="1300.58"/>
    <n v="815.10700000000008"/>
    <n v="1620.05"/>
    <m/>
    <n v="5.5E-2"/>
    <n v="0"/>
    <n v="11"/>
    <n v="14306.38"/>
    <n v="6480.54"/>
    <n v="7825.8399999999992"/>
    <n v="0.54701748450691223"/>
  </r>
  <r>
    <x v="220"/>
    <m/>
    <x v="198"/>
    <d v="2453-11-24T00:00:00"/>
    <d v="2453-11-16T00:00:00"/>
    <x v="0"/>
    <x v="52"/>
    <x v="27"/>
    <x v="8"/>
    <s v="Yes"/>
    <d v="1900-01-06T00:00:00"/>
    <d v="2023-10-02T00:00:00"/>
    <d v="2023-10-02T00:00:00"/>
    <x v="2"/>
    <x v="10"/>
    <s v="New York"/>
    <s v="Education"/>
    <x v="2"/>
    <x v="2"/>
    <x v="6"/>
    <x v="220"/>
    <n v="145.58000000000001"/>
    <n v="228.15"/>
    <n v="815.10700000000008"/>
    <n v="1620.05"/>
    <m/>
    <n v="0.20399999999999999"/>
    <n v="1"/>
    <n v="5"/>
    <n v="1140.75"/>
    <n v="727.90000000000009"/>
    <n v="412.84999999999991"/>
    <n v="0.36191102344948489"/>
  </r>
  <r>
    <x v="221"/>
    <m/>
    <x v="199"/>
    <d v="2453-11-23T00:00:00"/>
    <d v="2453-11-16T00:00:00"/>
    <x v="0"/>
    <x v="34"/>
    <x v="25"/>
    <x v="11"/>
    <s v="No"/>
    <d v="1900-01-14T00:00:00"/>
    <d v="2023-09-10T00:00:00"/>
    <d v="2023-09-10T00:00:00"/>
    <x v="0"/>
    <x v="11"/>
    <s v="Cape Town"/>
    <s v="Non-Profit"/>
    <x v="4"/>
    <x v="13"/>
    <x v="0"/>
    <x v="221"/>
    <n v="241.14"/>
    <n v="496.52"/>
    <n v="815.10700000000008"/>
    <n v="1620.05"/>
    <m/>
    <n v="9.2999999999999999E-2"/>
    <n v="0"/>
    <n v="10"/>
    <n v="4965.2"/>
    <n v="2411.3999999999996"/>
    <n v="2553.8000000000002"/>
    <n v="0.51433980504310006"/>
  </r>
  <r>
    <x v="222"/>
    <m/>
    <x v="200"/>
    <d v="2454-06-10T00:00:00"/>
    <d v="2453-11-16T00:00:00"/>
    <x v="0"/>
    <x v="14"/>
    <x v="13"/>
    <x v="11"/>
    <s v="Yes"/>
    <d v="1899-12-31T00:00:00"/>
    <d v="2025-07-17T00:00:00"/>
    <d v="2025-07-17T00:00:00"/>
    <x v="0"/>
    <x v="11"/>
    <s v="Durban"/>
    <s v="Small Business"/>
    <x v="3"/>
    <x v="5"/>
    <x v="2"/>
    <x v="222"/>
    <n v="1198.9000000000001"/>
    <n v="2941.2"/>
    <n v="815.10700000000008"/>
    <n v="1620.05"/>
    <m/>
    <n v="5.0999999999999997E-2"/>
    <n v="0"/>
    <n v="24"/>
    <n v="70588.799999999988"/>
    <n v="28773.600000000002"/>
    <n v="41815.199999999983"/>
    <n v="0.59237726098191201"/>
  </r>
  <r>
    <x v="223"/>
    <n v="1"/>
    <x v="43"/>
    <n v="202304"/>
    <n v="202301"/>
    <x v="1"/>
    <x v="39"/>
    <x v="12"/>
    <x v="8"/>
    <s v="No"/>
    <n v="18"/>
    <d v="2023-05-07T00:00:00"/>
    <d v="2023-05-07T00:00:00"/>
    <x v="3"/>
    <x v="8"/>
    <s v="Birmingham"/>
    <s v="Enterprise"/>
    <x v="0"/>
    <x v="13"/>
    <x v="4"/>
    <x v="223"/>
    <n v="1089.1500000000001"/>
    <n v="1088.2"/>
    <n v="815.10700000000008"/>
    <n v="1620.05"/>
    <s v="High"/>
    <n v="5.0999999999999997E-2"/>
    <n v="0"/>
    <n v="15"/>
    <n v="16323"/>
    <n v="16337.250000000002"/>
    <n v="-14.250000000001819"/>
    <n v="-8.7300128652832319E-4"/>
  </r>
  <r>
    <x v="224"/>
    <n v="1"/>
    <x v="201"/>
    <n v="202312"/>
    <n v="202301"/>
    <x v="1"/>
    <x v="38"/>
    <x v="4"/>
    <x v="9"/>
    <s v="Yes"/>
    <n v="1"/>
    <d v="2023-12-20T00:00:00"/>
    <d v="2023-12-20T00:00:00"/>
    <x v="2"/>
    <x v="5"/>
    <s v="Rio de Janeiro"/>
    <s v="Consumer"/>
    <x v="3"/>
    <x v="1"/>
    <x v="3"/>
    <x v="224"/>
    <n v="1080.43"/>
    <n v="2529.15"/>
    <n v="815.10700000000008"/>
    <n v="1620.05"/>
    <s v="Medium"/>
    <n v="0.14699999999999999"/>
    <n v="0"/>
    <n v="10"/>
    <n v="25291.5"/>
    <n v="10804.300000000001"/>
    <n v="14487.199999999999"/>
    <n v="0.57280904651760467"/>
  </r>
  <r>
    <x v="225"/>
    <m/>
    <x v="202"/>
    <d v="2453-11-22T00:00:00"/>
    <d v="2453-11-18T00:00:00"/>
    <x v="2"/>
    <x v="42"/>
    <x v="24"/>
    <x v="5"/>
    <s v="No"/>
    <d v="1900-01-07T00:00:00"/>
    <d v="2023-08-07T00:00:00"/>
    <d v="2023-08-07T00:00:00"/>
    <x v="1"/>
    <x v="2"/>
    <s v="Nagoya"/>
    <s v="Education"/>
    <x v="2"/>
    <x v="8"/>
    <x v="2"/>
    <x v="225"/>
    <n v="1352.44"/>
    <n v="2698.01"/>
    <n v="815.10700000000008"/>
    <n v="1620.05"/>
    <m/>
    <n v="0.13100000000000001"/>
    <n v="0"/>
    <n v="13"/>
    <n v="35074.130000000005"/>
    <n v="17581.72"/>
    <n v="17492.410000000003"/>
    <n v="0.49872683941126983"/>
  </r>
  <r>
    <x v="226"/>
    <m/>
    <x v="203"/>
    <d v="2453-11-25T00:00:00"/>
    <d v="2453-11-16T00:00:00"/>
    <x v="0"/>
    <x v="4"/>
    <x v="32"/>
    <x v="11"/>
    <s v="No"/>
    <d v="1900-01-24T00:00:00"/>
    <d v="2023-10-29T00:00:00"/>
    <d v="2023-10-29T00:00:00"/>
    <x v="2"/>
    <x v="10"/>
    <s v="San Francisco"/>
    <s v="Small Business"/>
    <x v="3"/>
    <x v="7"/>
    <x v="6"/>
    <x v="226"/>
    <n v="1239.8399999999999"/>
    <n v="1482.75"/>
    <n v="815.10700000000008"/>
    <n v="1620.05"/>
    <m/>
    <n v="6.7000000000000004E-2"/>
    <n v="0"/>
    <n v="4"/>
    <n v="5931"/>
    <n v="4959.3599999999997"/>
    <n v="971.64000000000033"/>
    <n v="0.16382397572078913"/>
  </r>
  <r>
    <x v="227"/>
    <m/>
    <x v="204"/>
    <d v="2454-06-11T00:00:00"/>
    <d v="2453-11-16T00:00:00"/>
    <x v="0"/>
    <x v="46"/>
    <x v="28"/>
    <x v="5"/>
    <s v="No"/>
    <d v="1900-01-19T00:00:00"/>
    <d v="2025-08-30T00:00:00"/>
    <d v="2025-08-30T00:00:00"/>
    <x v="2"/>
    <x v="10"/>
    <s v="San Francisco"/>
    <s v="Corporate"/>
    <x v="2"/>
    <x v="11"/>
    <x v="1"/>
    <x v="227"/>
    <n v="933.29"/>
    <n v="1456.81"/>
    <n v="815.10700000000008"/>
    <n v="1620.05"/>
    <m/>
    <n v="0.123"/>
    <n v="0"/>
    <n v="13"/>
    <n v="18938.53"/>
    <n v="12132.77"/>
    <n v="6805.7599999999984"/>
    <n v="0.35936052058950713"/>
  </r>
  <r>
    <x v="228"/>
    <m/>
    <x v="205"/>
    <d v="2453-11-18T00:00:00"/>
    <d v="2453-11-16T00:00:00"/>
    <x v="0"/>
    <x v="32"/>
    <x v="22"/>
    <x v="8"/>
    <s v="No"/>
    <d v="1900-01-24T00:00:00"/>
    <d v="2023-04-01T00:00:00"/>
    <d v="2023-04-01T00:00:00"/>
    <x v="0"/>
    <x v="0"/>
    <s v="Nairobi"/>
    <s v="Consumer"/>
    <x v="2"/>
    <x v="14"/>
    <x v="1"/>
    <x v="228"/>
    <n v="1024.0999999999999"/>
    <n v="918.19"/>
    <n v="815.10700000000008"/>
    <n v="1620.05"/>
    <m/>
    <n v="0.189"/>
    <n v="0"/>
    <n v="10"/>
    <n v="9181.9000000000015"/>
    <n v="10241"/>
    <n v="-1059.0999999999985"/>
    <n v="-0.11534649691240358"/>
  </r>
  <r>
    <x v="229"/>
    <n v="1"/>
    <x v="206"/>
    <n v="202305"/>
    <n v="202301"/>
    <x v="1"/>
    <x v="17"/>
    <x v="15"/>
    <x v="3"/>
    <s v="No"/>
    <n v="18"/>
    <d v="2023-06-10T00:00:00"/>
    <d v="2023-06-10T00:00:00"/>
    <x v="1"/>
    <x v="9"/>
    <s v="Shanghai"/>
    <s v="Corporate"/>
    <x v="3"/>
    <x v="6"/>
    <x v="0"/>
    <x v="229"/>
    <n v="54.62"/>
    <n v="48.94"/>
    <n v="815.10700000000008"/>
    <n v="1620.05"/>
    <s v="Medium"/>
    <n v="0.14799999999999999"/>
    <n v="0"/>
    <n v="16"/>
    <n v="783.04"/>
    <n v="873.92"/>
    <n v="-90.88"/>
    <n v="-0.11606048222313037"/>
  </r>
  <r>
    <x v="230"/>
    <n v="1"/>
    <x v="207"/>
    <n v="202504"/>
    <n v="202301"/>
    <x v="1"/>
    <x v="35"/>
    <x v="19"/>
    <x v="9"/>
    <s v="No"/>
    <n v="12"/>
    <d v="2025-05-06T00:00:00"/>
    <d v="2025-05-06T00:00:00"/>
    <x v="2"/>
    <x v="5"/>
    <s v="Brasília"/>
    <s v="Consumer"/>
    <x v="1"/>
    <x v="0"/>
    <x v="3"/>
    <x v="230"/>
    <n v="394.13"/>
    <n v="932.29"/>
    <n v="815.10700000000008"/>
    <n v="1620.05"/>
    <s v="Low"/>
    <n v="0.109"/>
    <n v="0"/>
    <n v="7"/>
    <n v="6526.03"/>
    <n v="2758.91"/>
    <n v="3767.12"/>
    <n v="0.57724527775692114"/>
  </r>
  <r>
    <x v="231"/>
    <n v="1"/>
    <x v="208"/>
    <n v="202409"/>
    <n v="202301"/>
    <x v="1"/>
    <x v="31"/>
    <x v="29"/>
    <x v="7"/>
    <s v="Yes"/>
    <n v="5"/>
    <d v="2024-09-08T00:00:00"/>
    <d v="2024-09-08T00:00:00"/>
    <x v="0"/>
    <x v="1"/>
    <s v="Lagos"/>
    <s v="Small Business"/>
    <x v="4"/>
    <x v="11"/>
    <x v="1"/>
    <x v="231"/>
    <n v="197.63"/>
    <n v="325.79000000000002"/>
    <n v="815.10700000000008"/>
    <n v="1620.05"/>
    <s v="Medium"/>
    <n v="0.11600000000000001"/>
    <n v="0"/>
    <n v="10"/>
    <n v="3257.9"/>
    <n v="1976.3"/>
    <n v="1281.6000000000001"/>
    <n v="0.39338224009331169"/>
  </r>
  <r>
    <x v="232"/>
    <m/>
    <x v="209"/>
    <d v="2454-03-04T00:00:00"/>
    <d v="2453-11-18T00:00:00"/>
    <x v="2"/>
    <x v="16"/>
    <x v="29"/>
    <x v="10"/>
    <s v="No"/>
    <d v="1900-01-19T00:00:00"/>
    <d v="2024-09-25T00:00:00"/>
    <d v="2024-09-25T00:00:00"/>
    <x v="1"/>
    <x v="2"/>
    <s v="Osaka"/>
    <s v="Enterprise"/>
    <x v="3"/>
    <x v="14"/>
    <x v="5"/>
    <x v="232"/>
    <n v="195.54"/>
    <n v="405.97"/>
    <n v="815.10700000000008"/>
    <n v="1620.05"/>
    <m/>
    <n v="0.187"/>
    <n v="0"/>
    <n v="16"/>
    <n v="6495.52"/>
    <n v="3128.64"/>
    <n v="3366.8800000000006"/>
    <n v="0.51833879350690948"/>
  </r>
  <r>
    <x v="233"/>
    <m/>
    <x v="210"/>
    <d v="2453-11-18T00:00:00"/>
    <d v="2453-11-16T00:00:00"/>
    <x v="0"/>
    <x v="32"/>
    <x v="22"/>
    <x v="10"/>
    <s v="No"/>
    <d v="1900-01-15T00:00:00"/>
    <d v="2023-03-30T00:00:00"/>
    <d v="2023-03-30T00:00:00"/>
    <x v="0"/>
    <x v="11"/>
    <s v="Cape Town"/>
    <s v="Consumer"/>
    <x v="3"/>
    <x v="11"/>
    <x v="0"/>
    <x v="233"/>
    <n v="1309.77"/>
    <n v="1589.07"/>
    <n v="815.10700000000008"/>
    <n v="1620.05"/>
    <m/>
    <n v="0.10199999999999999"/>
    <n v="0"/>
    <n v="10"/>
    <n v="15890.699999999999"/>
    <n v="13097.7"/>
    <n v="2792.9999999999982"/>
    <n v="0.1757631822386678"/>
  </r>
  <r>
    <x v="234"/>
    <m/>
    <x v="39"/>
    <d v="2454-02-24T00:00:00"/>
    <d v="2453-11-18T00:00:00"/>
    <x v="2"/>
    <x v="53"/>
    <x v="9"/>
    <x v="3"/>
    <s v="No"/>
    <d v="1900-01-21T00:00:00"/>
    <d v="2024-02-02T00:00:00"/>
    <d v="2024-02-02T00:00:00"/>
    <x v="1"/>
    <x v="2"/>
    <s v="Nagoya"/>
    <s v="Small Business"/>
    <x v="1"/>
    <x v="15"/>
    <x v="1"/>
    <x v="234"/>
    <n v="1237.68"/>
    <n v="1432.8"/>
    <n v="815.10700000000008"/>
    <n v="1620.05"/>
    <m/>
    <n v="6.8000000000000005E-2"/>
    <n v="0"/>
    <n v="13"/>
    <n v="18626.399999999998"/>
    <n v="16089.84"/>
    <n v="2536.5599999999977"/>
    <n v="0.13618090452261294"/>
  </r>
  <r>
    <x v="235"/>
    <m/>
    <x v="211"/>
    <d v="2454-03-04T00:00:00"/>
    <d v="2453-11-16T00:00:00"/>
    <x v="0"/>
    <x v="62"/>
    <x v="29"/>
    <x v="1"/>
    <s v="No"/>
    <d v="1900-01-18T00:00:00"/>
    <d v="2024-10-02T00:00:00"/>
    <d v="2024-10-02T00:00:00"/>
    <x v="0"/>
    <x v="0"/>
    <s v="Mombasa"/>
    <s v="Small Business"/>
    <x v="0"/>
    <x v="12"/>
    <x v="3"/>
    <x v="235"/>
    <n v="1338.99"/>
    <n v="1765.76"/>
    <n v="815.10700000000008"/>
    <n v="1620.05"/>
    <m/>
    <n v="0.126"/>
    <n v="0"/>
    <n v="24"/>
    <n v="42378.239999999998"/>
    <n v="32135.760000000002"/>
    <n v="10242.479999999996"/>
    <n v="0.24169196266763313"/>
  </r>
  <r>
    <x v="236"/>
    <n v="1"/>
    <x v="212"/>
    <n v="202507"/>
    <n v="202301"/>
    <x v="1"/>
    <x v="15"/>
    <x v="13"/>
    <x v="10"/>
    <s v="Yes"/>
    <n v="6"/>
    <d v="2025-07-23T00:00:00"/>
    <d v="2025-07-23T00:00:00"/>
    <x v="2"/>
    <x v="3"/>
    <s v="Vancouver"/>
    <s v="Consumer"/>
    <x v="1"/>
    <x v="10"/>
    <x v="0"/>
    <x v="236"/>
    <n v="1364.89"/>
    <n v="2757.54"/>
    <n v="815.10700000000008"/>
    <n v="1620.05"/>
    <s v="High"/>
    <n v="0.17199999999999999"/>
    <n v="0"/>
    <n v="61"/>
    <n v="168209.94"/>
    <n v="83258.290000000008"/>
    <n v="84951.65"/>
    <n v="0.50503347186260217"/>
  </r>
  <r>
    <x v="237"/>
    <n v="1"/>
    <x v="213"/>
    <n v="202311"/>
    <n v="202302"/>
    <x v="3"/>
    <x v="61"/>
    <x v="30"/>
    <x v="8"/>
    <s v="No"/>
    <n v="9"/>
    <d v="2023-12-07T00:00:00"/>
    <d v="2023-12-07T00:00:00"/>
    <x v="1"/>
    <x v="4"/>
    <s v="Delhi"/>
    <s v="Enterprise"/>
    <x v="2"/>
    <x v="4"/>
    <x v="3"/>
    <x v="237"/>
    <n v="699.33"/>
    <n v="873.75"/>
    <n v="815.10700000000008"/>
    <n v="1620.05"/>
    <s v="High"/>
    <n v="0.23499999999999999"/>
    <n v="1"/>
    <n v="10"/>
    <n v="8737.5"/>
    <n v="6993.3"/>
    <n v="1744.1999999999998"/>
    <n v="0.19962231759656651"/>
  </r>
  <r>
    <x v="238"/>
    <m/>
    <x v="214"/>
    <d v="2454-02-26T00:00:00"/>
    <d v="2453-11-16T00:00:00"/>
    <x v="0"/>
    <x v="0"/>
    <x v="0"/>
    <x v="5"/>
    <s v="No"/>
    <d v="1900-01-24T00:00:00"/>
    <d v="2024-04-24T00:00:00"/>
    <d v="2024-04-24T00:00:00"/>
    <x v="2"/>
    <x v="10"/>
    <s v="Austin"/>
    <s v="Non-Profit"/>
    <x v="1"/>
    <x v="3"/>
    <x v="4"/>
    <x v="238"/>
    <n v="160.82"/>
    <n v="258.52"/>
    <n v="815.10700000000008"/>
    <n v="1620.05"/>
    <m/>
    <n v="0.13"/>
    <n v="0"/>
    <n v="17"/>
    <n v="4394.84"/>
    <n v="2733.94"/>
    <n v="1660.9"/>
    <n v="0.37792047036979731"/>
  </r>
  <r>
    <x v="239"/>
    <n v="1"/>
    <x v="215"/>
    <n v="202309"/>
    <n v="202302"/>
    <x v="3"/>
    <x v="43"/>
    <x v="27"/>
    <x v="1"/>
    <s v="No"/>
    <n v="19"/>
    <d v="2023-10-08T00:00:00"/>
    <d v="2023-10-08T00:00:00"/>
    <x v="1"/>
    <x v="4"/>
    <s v="Bengaluru"/>
    <s v="Education"/>
    <x v="4"/>
    <x v="1"/>
    <x v="1"/>
    <x v="239"/>
    <n v="385.32"/>
    <n v="606.76"/>
    <n v="815.10700000000008"/>
    <n v="1620.05"/>
    <s v="Low"/>
    <n v="8.5999999999999993E-2"/>
    <n v="0"/>
    <n v="8"/>
    <n v="4854.08"/>
    <n v="3082.56"/>
    <n v="1771.52"/>
    <n v="0.36495484211220253"/>
  </r>
  <r>
    <x v="240"/>
    <n v="1"/>
    <x v="216"/>
    <n v="202505"/>
    <n v="202301"/>
    <x v="1"/>
    <x v="8"/>
    <x v="8"/>
    <x v="11"/>
    <s v="No"/>
    <n v="11"/>
    <d v="2025-05-27T00:00:00"/>
    <d v="2025-05-27T00:00:00"/>
    <x v="1"/>
    <x v="9"/>
    <s v="Beijing"/>
    <s v="Enterprise"/>
    <x v="1"/>
    <x v="9"/>
    <x v="3"/>
    <x v="240"/>
    <n v="918.12"/>
    <n v="1337.69"/>
    <n v="815.10700000000008"/>
    <n v="1620.05"/>
    <s v="Low"/>
    <n v="9.5000000000000001E-2"/>
    <n v="0"/>
    <n v="8"/>
    <n v="10701.52"/>
    <n v="7344.96"/>
    <n v="3356.5600000000004"/>
    <n v="0.31365263999880394"/>
  </r>
  <r>
    <x v="241"/>
    <m/>
    <x v="217"/>
    <d v="2454-06-11T00:00:00"/>
    <d v="2453-11-18T00:00:00"/>
    <x v="2"/>
    <x v="37"/>
    <x v="28"/>
    <x v="7"/>
    <s v="Yes"/>
    <d v="1900-01-05T00:00:00"/>
    <d v="2025-08-08T00:00:00"/>
    <d v="2025-08-08T00:00:00"/>
    <x v="1"/>
    <x v="2"/>
    <s v="Osaka"/>
    <s v="Consumer"/>
    <x v="4"/>
    <x v="13"/>
    <x v="4"/>
    <x v="241"/>
    <n v="1225.94"/>
    <n v="1793.08"/>
    <n v="815.10700000000008"/>
    <n v="1620.05"/>
    <m/>
    <n v="0.13600000000000001"/>
    <n v="0"/>
    <n v="22"/>
    <n v="39447.759999999995"/>
    <n v="26970.68"/>
    <n v="12477.079999999994"/>
    <n v="0.31629375153367378"/>
  </r>
  <r>
    <x v="242"/>
    <m/>
    <x v="218"/>
    <d v="2454-03-07T00:00:00"/>
    <d v="2453-11-16T00:00:00"/>
    <x v="0"/>
    <x v="13"/>
    <x v="6"/>
    <x v="8"/>
    <s v="No"/>
    <d v="1900-01-07T00:00:00"/>
    <d v="2024-12-12T00:00:00"/>
    <d v="2024-12-12T00:00:00"/>
    <x v="3"/>
    <x v="6"/>
    <s v="Frankfurt"/>
    <s v="Enterprise"/>
    <x v="2"/>
    <x v="5"/>
    <x v="1"/>
    <x v="242"/>
    <n v="72.06"/>
    <n v="122.74"/>
    <n v="815.10700000000008"/>
    <n v="1620.05"/>
    <m/>
    <n v="0.23799999999999999"/>
    <n v="1"/>
    <n v="8"/>
    <n v="981.92"/>
    <n v="576.48"/>
    <n v="405.43999999999994"/>
    <n v="0.41290532833632065"/>
  </r>
  <r>
    <x v="243"/>
    <n v="1"/>
    <x v="43"/>
    <n v="202304"/>
    <n v="202301"/>
    <x v="1"/>
    <x v="39"/>
    <x v="12"/>
    <x v="2"/>
    <s v="No"/>
    <n v="9"/>
    <d v="2023-04-28T00:00:00"/>
    <d v="2023-04-28T00:00:00"/>
    <x v="2"/>
    <x v="5"/>
    <s v="Rio de Janeiro"/>
    <s v="Corporate"/>
    <x v="3"/>
    <x v="12"/>
    <x v="3"/>
    <x v="243"/>
    <n v="1013.54"/>
    <n v="927.93"/>
    <n v="815.10700000000008"/>
    <n v="1620.05"/>
    <s v="Low"/>
    <n v="0.17499999999999999"/>
    <n v="0"/>
    <n v="16"/>
    <n v="14846.88"/>
    <n v="16216.64"/>
    <n v="-1369.7600000000002"/>
    <n v="-9.225911437285142E-2"/>
  </r>
  <r>
    <x v="244"/>
    <n v="1"/>
    <x v="219"/>
    <n v="202403"/>
    <n v="202301"/>
    <x v="1"/>
    <x v="64"/>
    <x v="0"/>
    <x v="9"/>
    <s v="No"/>
    <n v="20"/>
    <d v="2024-03-26T00:00:00"/>
    <d v="2024-03-26T00:00:00"/>
    <x v="0"/>
    <x v="1"/>
    <s v="Port Harcourt"/>
    <s v="Consumer"/>
    <x v="2"/>
    <x v="2"/>
    <x v="3"/>
    <x v="244"/>
    <n v="65.64"/>
    <n v="151.88"/>
    <n v="815.10700000000008"/>
    <n v="1620.05"/>
    <s v="Medium"/>
    <n v="0.16700000000000001"/>
    <n v="0"/>
    <n v="23"/>
    <n v="3493.24"/>
    <n v="1509.72"/>
    <n v="1983.5199999999998"/>
    <n v="0.56781669739267837"/>
  </r>
  <r>
    <x v="245"/>
    <n v="1"/>
    <x v="220"/>
    <n v="202402"/>
    <n v="202301"/>
    <x v="1"/>
    <x v="56"/>
    <x v="31"/>
    <x v="1"/>
    <s v="No"/>
    <n v="17"/>
    <d v="2024-03-04T00:00:00"/>
    <d v="2024-03-04T00:00:00"/>
    <x v="2"/>
    <x v="3"/>
    <s v="Montreal"/>
    <s v="Non-Profit"/>
    <x v="0"/>
    <x v="14"/>
    <x v="4"/>
    <x v="245"/>
    <n v="1350.98"/>
    <n v="2210.4"/>
    <n v="815.10700000000008"/>
    <n v="1620.05"/>
    <s v="Low"/>
    <n v="0.26300000000000001"/>
    <n v="1"/>
    <n v="6"/>
    <n v="13262.400000000001"/>
    <n v="8105.88"/>
    <n v="5156.5200000000013"/>
    <n v="0.38880745566413327"/>
  </r>
  <r>
    <x v="246"/>
    <m/>
    <x v="221"/>
    <d v="2454-06-07T00:00:00"/>
    <d v="2453-11-16T00:00:00"/>
    <x v="0"/>
    <x v="22"/>
    <x v="19"/>
    <x v="1"/>
    <s v="No"/>
    <d v="1900-01-09T00:00:00"/>
    <d v="2025-05-02T00:00:00"/>
    <d v="2025-05-02T00:00:00"/>
    <x v="3"/>
    <x v="6"/>
    <s v="Berlin"/>
    <s v="Corporate"/>
    <x v="2"/>
    <x v="0"/>
    <x v="5"/>
    <x v="246"/>
    <n v="20.149999999999999"/>
    <n v="39.74"/>
    <n v="815.10700000000008"/>
    <n v="1620.05"/>
    <m/>
    <n v="0.151"/>
    <n v="0"/>
    <n v="18"/>
    <n v="715.32"/>
    <n v="362.7"/>
    <n v="352.62000000000006"/>
    <n v="0.49295420231504788"/>
  </r>
  <r>
    <x v="247"/>
    <m/>
    <x v="222"/>
    <d v="2454-03-06T00:00:00"/>
    <d v="2453-11-16T00:00:00"/>
    <x v="0"/>
    <x v="10"/>
    <x v="18"/>
    <x v="7"/>
    <s v="Yes"/>
    <d v="1899-12-30T00:00:00"/>
    <d v="2024-11-08T00:00:00"/>
    <d v="2024-11-08T00:00:00"/>
    <x v="0"/>
    <x v="0"/>
    <s v="Nakuru"/>
    <s v="Enterprise"/>
    <x v="2"/>
    <x v="12"/>
    <x v="2"/>
    <x v="247"/>
    <n v="803.28"/>
    <n v="1009"/>
    <n v="815.10700000000008"/>
    <n v="1620.05"/>
    <m/>
    <n v="0.11"/>
    <n v="0"/>
    <n v="4"/>
    <n v="4036"/>
    <n v="3213.12"/>
    <n v="822.88000000000011"/>
    <n v="0.20388503468780975"/>
  </r>
  <r>
    <x v="248"/>
    <m/>
    <x v="223"/>
    <d v="2454-06-12T00:00:00"/>
    <d v="2453-11-18T00:00:00"/>
    <x v="2"/>
    <x v="14"/>
    <x v="11"/>
    <x v="2"/>
    <s v="No"/>
    <d v="1900-01-17T00:00:00"/>
    <d v="2025-09-30T00:00:00"/>
    <d v="2025-09-30T00:00:00"/>
    <x v="1"/>
    <x v="2"/>
    <s v="Nagoya"/>
    <s v="Non-Profit"/>
    <x v="2"/>
    <x v="9"/>
    <x v="5"/>
    <x v="248"/>
    <n v="1212.99"/>
    <n v="1653.64"/>
    <n v="815.10700000000008"/>
    <n v="1620.05"/>
    <m/>
    <n v="0.107"/>
    <n v="0"/>
    <n v="8"/>
    <n v="13229.12"/>
    <n v="9703.92"/>
    <n v="3525.2000000000007"/>
    <n v="0.26647275102198792"/>
  </r>
  <r>
    <x v="249"/>
    <m/>
    <x v="224"/>
    <d v="2454-03-04T00:00:00"/>
    <d v="2453-11-16T00:00:00"/>
    <x v="0"/>
    <x v="62"/>
    <x v="29"/>
    <x v="8"/>
    <s v="Yes"/>
    <d v="1900-01-05T00:00:00"/>
    <d v="2024-09-08T00:00:00"/>
    <d v="2024-09-08T00:00:00"/>
    <x v="2"/>
    <x v="10"/>
    <s v="Austin"/>
    <s v="Consumer"/>
    <x v="4"/>
    <x v="10"/>
    <x v="0"/>
    <x v="249"/>
    <n v="462.94"/>
    <n v="1015.7"/>
    <n v="815.10700000000008"/>
    <n v="1620.05"/>
    <m/>
    <n v="0.14299999999999999"/>
    <n v="0"/>
    <n v="14"/>
    <n v="14219.800000000001"/>
    <n v="6481.16"/>
    <n v="7738.6400000000012"/>
    <n v="0.54421581175543965"/>
  </r>
  <r>
    <x v="250"/>
    <n v="1"/>
    <x v="225"/>
    <n v="202303"/>
    <n v="202301"/>
    <x v="1"/>
    <x v="28"/>
    <x v="22"/>
    <x v="10"/>
    <s v="No"/>
    <n v="20"/>
    <d v="2023-03-24T00:00:00"/>
    <d v="2023-03-24T00:00:00"/>
    <x v="2"/>
    <x v="3"/>
    <s v="Montreal"/>
    <s v="Consumer"/>
    <x v="3"/>
    <x v="2"/>
    <x v="4"/>
    <x v="250"/>
    <n v="481.71"/>
    <n v="912.45"/>
    <n v="815.10700000000008"/>
    <n v="1620.05"/>
    <s v="Medium"/>
    <n v="0.20300000000000001"/>
    <n v="1"/>
    <n v="24"/>
    <n v="21898.800000000003"/>
    <n v="11561.039999999999"/>
    <n v="10337.760000000004"/>
    <n v="0.4720697024494494"/>
  </r>
  <r>
    <x v="251"/>
    <n v="1"/>
    <x v="226"/>
    <n v="202403"/>
    <n v="202301"/>
    <x v="1"/>
    <x v="64"/>
    <x v="0"/>
    <x v="3"/>
    <s v="No"/>
    <n v="25"/>
    <d v="2024-04-09T00:00:00"/>
    <d v="2024-04-09T00:00:00"/>
    <x v="2"/>
    <x v="3"/>
    <s v="Vancouver"/>
    <s v="Consumer"/>
    <x v="1"/>
    <x v="9"/>
    <x v="5"/>
    <x v="251"/>
    <n v="648.64"/>
    <n v="815.19"/>
    <n v="815.10700000000008"/>
    <n v="1620.05"/>
    <s v="Medium"/>
    <n v="0.22500000000000001"/>
    <n v="1"/>
    <n v="28"/>
    <n v="22825.32"/>
    <n v="18161.919999999998"/>
    <n v="4663.4000000000015"/>
    <n v="0.20430819808878919"/>
  </r>
  <r>
    <x v="252"/>
    <m/>
    <x v="227"/>
    <d v="2454-03-02T00:00:00"/>
    <d v="2453-11-16T00:00:00"/>
    <x v="0"/>
    <x v="16"/>
    <x v="14"/>
    <x v="1"/>
    <s v="Yes"/>
    <d v="1900-01-01T00:00:00"/>
    <d v="2024-07-31T00:00:00"/>
    <d v="2024-07-31T00:00:00"/>
    <x v="2"/>
    <x v="10"/>
    <s v="New York"/>
    <s v="Education"/>
    <x v="2"/>
    <x v="2"/>
    <x v="1"/>
    <x v="252"/>
    <n v="798.97"/>
    <n v="1814.06"/>
    <n v="815.10700000000008"/>
    <n v="1620.05"/>
    <m/>
    <n v="0.122"/>
    <n v="0"/>
    <n v="16"/>
    <n v="29024.959999999999"/>
    <n v="12783.52"/>
    <n v="16241.439999999999"/>
    <n v="0.55956804074837652"/>
  </r>
  <r>
    <x v="253"/>
    <m/>
    <x v="228"/>
    <d v="2454-03-05T00:00:00"/>
    <d v="2453-11-18T00:00:00"/>
    <x v="2"/>
    <x v="24"/>
    <x v="1"/>
    <x v="10"/>
    <s v="No"/>
    <d v="1900-01-23T00:00:00"/>
    <d v="2024-11-20T00:00:00"/>
    <d v="2024-11-20T00:00:00"/>
    <x v="1"/>
    <x v="2"/>
    <s v="Nagoya"/>
    <s v="Non-Profit"/>
    <x v="1"/>
    <x v="10"/>
    <x v="5"/>
    <x v="253"/>
    <n v="317.25"/>
    <n v="758.92"/>
    <n v="815.10700000000008"/>
    <n v="1620.05"/>
    <m/>
    <n v="5.2999999999999999E-2"/>
    <n v="0"/>
    <n v="9"/>
    <n v="6830.28"/>
    <n v="2855.25"/>
    <n v="3975.0299999999997"/>
    <n v="0.58197174932799245"/>
  </r>
  <r>
    <x v="254"/>
    <m/>
    <x v="229"/>
    <d v="2454-02-27T00:00:00"/>
    <d v="2453-11-16T00:00:00"/>
    <x v="0"/>
    <x v="40"/>
    <x v="20"/>
    <x v="2"/>
    <s v="No"/>
    <d v="1900-01-19T00:00:00"/>
    <d v="2024-05-19T00:00:00"/>
    <d v="2024-05-19T00:00:00"/>
    <x v="3"/>
    <x v="6"/>
    <s v="Frankfurt"/>
    <s v="Enterprise"/>
    <x v="2"/>
    <x v="0"/>
    <x v="4"/>
    <x v="254"/>
    <n v="668.97"/>
    <n v="1667.44"/>
    <n v="815.10700000000008"/>
    <n v="1620.05"/>
    <m/>
    <n v="3.4000000000000002E-2"/>
    <n v="0"/>
    <n v="15"/>
    <n v="25011.600000000002"/>
    <n v="10034.550000000001"/>
    <n v="14977.050000000001"/>
    <n v="0.59880415487213934"/>
  </r>
  <r>
    <x v="255"/>
    <n v="1"/>
    <x v="230"/>
    <n v="202310"/>
    <n v="202302"/>
    <x v="3"/>
    <x v="60"/>
    <x v="32"/>
    <x v="6"/>
    <s v="Yes"/>
    <n v="1"/>
    <d v="2023-10-06T00:00:00"/>
    <d v="2023-10-06T00:00:00"/>
    <x v="1"/>
    <x v="4"/>
    <s v="Bengaluru"/>
    <s v="Non-Profit"/>
    <x v="1"/>
    <x v="2"/>
    <x v="0"/>
    <x v="255"/>
    <n v="1470.26"/>
    <n v="2562.5500000000002"/>
    <n v="815.10700000000008"/>
    <n v="1620.05"/>
    <s v="High"/>
    <n v="0.17299999999999999"/>
    <n v="0"/>
    <n v="9"/>
    <n v="23062.95"/>
    <n v="13232.34"/>
    <n v="9830.61"/>
    <n v="0.42625119509863224"/>
  </r>
  <r>
    <x v="256"/>
    <n v="1"/>
    <x v="43"/>
    <n v="202304"/>
    <n v="202301"/>
    <x v="1"/>
    <x v="39"/>
    <x v="12"/>
    <x v="5"/>
    <s v="No"/>
    <n v="18"/>
    <d v="2023-05-07T00:00:00"/>
    <d v="2023-05-07T00:00:00"/>
    <x v="3"/>
    <x v="8"/>
    <s v="London"/>
    <s v="Non-Profit"/>
    <x v="4"/>
    <x v="10"/>
    <x v="2"/>
    <x v="256"/>
    <n v="516.96"/>
    <n v="745.38"/>
    <n v="815.10700000000008"/>
    <n v="1620.05"/>
    <s v="High"/>
    <n v="0.19700000000000001"/>
    <n v="0"/>
    <n v="4"/>
    <n v="2981.52"/>
    <n v="2067.84"/>
    <n v="913.67999999999984"/>
    <n v="0.3064477179425259"/>
  </r>
  <r>
    <x v="257"/>
    <m/>
    <x v="231"/>
    <d v="2454-06-09T00:00:00"/>
    <d v="2453-11-16T00:00:00"/>
    <x v="0"/>
    <x v="37"/>
    <x v="16"/>
    <x v="9"/>
    <s v="No"/>
    <d v="1900-01-07T00:00:00"/>
    <d v="2025-07-05T00:00:00"/>
    <d v="2025-07-05T00:00:00"/>
    <x v="3"/>
    <x v="6"/>
    <s v="Munich"/>
    <s v="Small Business"/>
    <x v="4"/>
    <x v="3"/>
    <x v="5"/>
    <x v="257"/>
    <n v="314.93"/>
    <n v="687.95"/>
    <n v="815.10700000000008"/>
    <n v="1620.05"/>
    <m/>
    <n v="0.20499999999999999"/>
    <n v="1"/>
    <n v="8"/>
    <n v="5503.6"/>
    <n v="2519.44"/>
    <n v="2984.1600000000003"/>
    <n v="0.54221963805509121"/>
  </r>
  <r>
    <x v="258"/>
    <n v="1"/>
    <x v="232"/>
    <n v="202310"/>
    <n v="202301"/>
    <x v="1"/>
    <x v="61"/>
    <x v="32"/>
    <x v="7"/>
    <s v="Yes"/>
    <n v="2"/>
    <d v="2023-10-13T00:00:00"/>
    <d v="2023-10-13T00:00:00"/>
    <x v="2"/>
    <x v="5"/>
    <s v="Brasília"/>
    <s v="Consumer"/>
    <x v="3"/>
    <x v="15"/>
    <x v="6"/>
    <x v="258"/>
    <n v="715.94"/>
    <n v="550.07000000000005"/>
    <n v="815.10700000000008"/>
    <n v="1620.05"/>
    <s v="Low"/>
    <n v="0.14000000000000001"/>
    <n v="0"/>
    <n v="16"/>
    <n v="8801.1200000000008"/>
    <n v="11455.04"/>
    <n v="-2653.92"/>
    <n v="-0.30154343992582761"/>
  </r>
  <r>
    <x v="259"/>
    <n v="1"/>
    <x v="72"/>
    <n v="202305"/>
    <n v="202301"/>
    <x v="1"/>
    <x v="17"/>
    <x v="15"/>
    <x v="5"/>
    <s v="No"/>
    <n v="18"/>
    <d v="2023-06-07T00:00:00"/>
    <d v="2023-06-07T00:00:00"/>
    <x v="0"/>
    <x v="1"/>
    <s v="Port Harcourt"/>
    <s v="Enterprise"/>
    <x v="3"/>
    <x v="6"/>
    <x v="0"/>
    <x v="259"/>
    <n v="1120.06"/>
    <n v="2068.21"/>
    <n v="815.10700000000008"/>
    <n v="1620.05"/>
    <s v="Low"/>
    <n v="7.8E-2"/>
    <n v="0"/>
    <n v="12"/>
    <n v="24818.52"/>
    <n v="13440.72"/>
    <n v="11377.800000000001"/>
    <n v="0.45843990697269621"/>
  </r>
  <r>
    <x v="260"/>
    <m/>
    <x v="233"/>
    <d v="2453-11-20T00:00:00"/>
    <d v="2453-11-16T00:00:00"/>
    <x v="0"/>
    <x v="42"/>
    <x v="15"/>
    <x v="9"/>
    <s v="No"/>
    <d v="1900-01-22T00:00:00"/>
    <d v="2023-06-19T00:00:00"/>
    <d v="2023-06-19T00:00:00"/>
    <x v="3"/>
    <x v="6"/>
    <s v="Berlin"/>
    <s v="Education"/>
    <x v="0"/>
    <x v="7"/>
    <x v="6"/>
    <x v="260"/>
    <n v="1471.58"/>
    <n v="2576.65"/>
    <n v="815.10700000000008"/>
    <n v="1620.05"/>
    <m/>
    <n v="4.0000000000000001E-3"/>
    <n v="0"/>
    <n v="7"/>
    <n v="18036.55"/>
    <n v="10301.06"/>
    <n v="7735.49"/>
    <n v="0.428878582655774"/>
  </r>
  <r>
    <x v="261"/>
    <n v="1"/>
    <x v="234"/>
    <n v="202308"/>
    <n v="202301"/>
    <x v="1"/>
    <x v="43"/>
    <x v="25"/>
    <x v="9"/>
    <s v="No"/>
    <n v="20"/>
    <d v="2023-08-24T00:00:00"/>
    <d v="2023-08-24T00:00:00"/>
    <x v="2"/>
    <x v="5"/>
    <s v="Brasília"/>
    <s v="Non-Profit"/>
    <x v="4"/>
    <x v="15"/>
    <x v="2"/>
    <x v="261"/>
    <n v="582.88"/>
    <n v="1044.1400000000001"/>
    <n v="815.10700000000008"/>
    <n v="1620.05"/>
    <s v="High"/>
    <n v="0.216"/>
    <n v="1"/>
    <n v="10"/>
    <n v="10441.400000000001"/>
    <n v="5828.8"/>
    <n v="4612.6000000000013"/>
    <n v="0.44176068343325614"/>
  </r>
  <r>
    <x v="262"/>
    <m/>
    <x v="235"/>
    <d v="2454-06-09T00:00:00"/>
    <d v="2453-11-16T00:00:00"/>
    <x v="0"/>
    <x v="37"/>
    <x v="16"/>
    <x v="11"/>
    <s v="Yes"/>
    <d v="1900-01-05T00:00:00"/>
    <d v="2025-06-27T00:00:00"/>
    <d v="2025-06-27T00:00:00"/>
    <x v="0"/>
    <x v="11"/>
    <s v="Durban"/>
    <s v="Enterprise"/>
    <x v="3"/>
    <x v="13"/>
    <x v="3"/>
    <x v="262"/>
    <n v="93.91"/>
    <n v="99.04"/>
    <n v="815.10700000000008"/>
    <n v="1620.05"/>
    <m/>
    <n v="5.7000000000000002E-2"/>
    <n v="0"/>
    <n v="6"/>
    <n v="594.24"/>
    <n v="563.46"/>
    <n v="30.779999999999973"/>
    <n v="5.1797253634894944E-2"/>
  </r>
  <r>
    <x v="263"/>
    <n v="1"/>
    <x v="139"/>
    <n v="202504"/>
    <n v="202301"/>
    <x v="1"/>
    <x v="35"/>
    <x v="19"/>
    <x v="7"/>
    <s v="No"/>
    <n v="10"/>
    <d v="2025-04-26T00:00:00"/>
    <d v="2025-04-26T00:00:00"/>
    <x v="0"/>
    <x v="1"/>
    <s v="Port Harcourt"/>
    <s v="Enterprise"/>
    <x v="2"/>
    <x v="9"/>
    <x v="4"/>
    <x v="263"/>
    <n v="1457.44"/>
    <n v="1996.81"/>
    <n v="815.10700000000008"/>
    <n v="1620.05"/>
    <s v="Low"/>
    <n v="0.126"/>
    <n v="0"/>
    <n v="23"/>
    <n v="45926.63"/>
    <n v="33521.120000000003"/>
    <n v="12405.509999999995"/>
    <n v="0.27011583475643641"/>
  </r>
  <r>
    <x v="264"/>
    <n v="1"/>
    <x v="236"/>
    <n v="202509"/>
    <n v="202301"/>
    <x v="1"/>
    <x v="11"/>
    <x v="11"/>
    <x v="7"/>
    <s v="No"/>
    <n v="9"/>
    <d v="2025-09-11T00:00:00"/>
    <d v="2025-09-11T00:00:00"/>
    <x v="2"/>
    <x v="3"/>
    <s v="Toronto"/>
    <s v="Corporate"/>
    <x v="3"/>
    <x v="12"/>
    <x v="1"/>
    <x v="264"/>
    <n v="1207.6300000000001"/>
    <n v="921.68"/>
    <n v="815.10700000000008"/>
    <n v="1620.05"/>
    <s v="High"/>
    <n v="0.19600000000000001"/>
    <n v="0"/>
    <n v="17"/>
    <n v="15668.56"/>
    <n v="20529.710000000003"/>
    <n v="-4861.1500000000033"/>
    <n v="-0.31024867633017988"/>
  </r>
  <r>
    <x v="265"/>
    <n v="1"/>
    <x v="237"/>
    <n v="202410"/>
    <n v="202301"/>
    <x v="1"/>
    <x v="1"/>
    <x v="1"/>
    <x v="8"/>
    <s v="Yes"/>
    <n v="0"/>
    <d v="2024-10-08T00:00:00"/>
    <d v="2024-10-08T00:00:00"/>
    <x v="3"/>
    <x v="8"/>
    <s v="London"/>
    <s v="Corporate"/>
    <x v="1"/>
    <x v="6"/>
    <x v="5"/>
    <x v="265"/>
    <n v="1108.1099999999999"/>
    <n v="2503.79"/>
    <n v="815.10700000000008"/>
    <n v="1620.05"/>
    <s v="Medium"/>
    <n v="0.184"/>
    <n v="0"/>
    <n v="19"/>
    <n v="47572.01"/>
    <n v="21054.089999999997"/>
    <n v="26517.920000000006"/>
    <n v="0.5574269407578113"/>
  </r>
  <r>
    <x v="266"/>
    <n v="1"/>
    <x v="238"/>
    <n v="202305"/>
    <n v="202301"/>
    <x v="1"/>
    <x v="17"/>
    <x v="15"/>
    <x v="2"/>
    <s v="Yes"/>
    <n v="0"/>
    <d v="2023-05-07T00:00:00"/>
    <d v="2023-05-05T00:00:00"/>
    <x v="0"/>
    <x v="1"/>
    <s v="Port Harcourt"/>
    <s v="Non-Profit"/>
    <x v="2"/>
    <x v="8"/>
    <x v="0"/>
    <x v="266"/>
    <n v="1269.6500000000001"/>
    <n v="2462.77"/>
    <n v="815.10700000000008"/>
    <n v="1620.05"/>
    <s v="High"/>
    <n v="0.107"/>
    <n v="0"/>
    <n v="8"/>
    <n v="19702.16"/>
    <n v="10157.200000000001"/>
    <n v="9544.9599999999991"/>
    <n v="0.48446261729678364"/>
  </r>
  <r>
    <x v="267"/>
    <n v="1"/>
    <x v="239"/>
    <n v="202312"/>
    <n v="202301"/>
    <x v="1"/>
    <x v="38"/>
    <x v="4"/>
    <x v="9"/>
    <s v="No"/>
    <n v="8"/>
    <d v="2024-01-01T00:00:00"/>
    <d v="2024-01-01T00:00:00"/>
    <x v="2"/>
    <x v="5"/>
    <s v="São Paulo"/>
    <s v="Education"/>
    <x v="4"/>
    <x v="0"/>
    <x v="3"/>
    <x v="267"/>
    <n v="526.49"/>
    <n v="496.2"/>
    <n v="815.10700000000008"/>
    <n v="1620.05"/>
    <s v="High"/>
    <n v="0"/>
    <n v="0"/>
    <n v="14"/>
    <n v="6946.8"/>
    <n v="7370.8600000000006"/>
    <n v="-424.0600000000004"/>
    <n v="-6.1043933897621985E-2"/>
  </r>
  <r>
    <x v="268"/>
    <m/>
    <x v="240"/>
    <d v="2454-02-24T00:00:00"/>
    <d v="2453-11-16T00:00:00"/>
    <x v="0"/>
    <x v="9"/>
    <x v="9"/>
    <x v="5"/>
    <s v="No"/>
    <d v="1900-01-12T00:00:00"/>
    <d v="2024-01-23T00:00:00"/>
    <d v="2024-01-23T00:00:00"/>
    <x v="3"/>
    <x v="7"/>
    <s v="Marseille"/>
    <s v="Corporate"/>
    <x v="4"/>
    <x v="8"/>
    <x v="1"/>
    <x v="268"/>
    <n v="720"/>
    <n v="907.59"/>
    <n v="815.10700000000008"/>
    <n v="1620.05"/>
    <m/>
    <n v="0.154"/>
    <n v="0"/>
    <n v="10"/>
    <n v="9075.9"/>
    <n v="7200"/>
    <n v="1875.8999999999996"/>
    <n v="0.20669024559547811"/>
  </r>
  <r>
    <x v="269"/>
    <n v="1"/>
    <x v="241"/>
    <n v="202308"/>
    <n v="202301"/>
    <x v="1"/>
    <x v="43"/>
    <x v="25"/>
    <x v="1"/>
    <s v="No"/>
    <n v="11"/>
    <d v="2023-08-14T00:00:00"/>
    <d v="2023-08-14T00:00:00"/>
    <x v="2"/>
    <x v="5"/>
    <s v="Brasília"/>
    <s v="Corporate"/>
    <x v="4"/>
    <x v="1"/>
    <x v="6"/>
    <x v="269"/>
    <n v="232.73"/>
    <n v="334.19"/>
    <n v="815.10700000000008"/>
    <n v="1620.05"/>
    <s v="Medium"/>
    <n v="0.13400000000000001"/>
    <n v="0"/>
    <n v="25"/>
    <n v="8354.75"/>
    <n v="5818.25"/>
    <n v="2536.5"/>
    <n v="0.30359974864597983"/>
  </r>
  <r>
    <x v="270"/>
    <n v="1"/>
    <x v="242"/>
    <n v="202502"/>
    <n v="202302"/>
    <x v="3"/>
    <x v="49"/>
    <x v="26"/>
    <x v="11"/>
    <s v="No"/>
    <n v="18"/>
    <d v="2025-03-09T00:00:00"/>
    <d v="2025-03-09T00:00:00"/>
    <x v="1"/>
    <x v="4"/>
    <s v="Delhi"/>
    <s v="Small Business"/>
    <x v="4"/>
    <x v="7"/>
    <x v="5"/>
    <x v="270"/>
    <n v="325.87"/>
    <n v="538.79"/>
    <n v="815.10700000000008"/>
    <n v="1620.05"/>
    <s v="Low"/>
    <n v="0.17399999999999999"/>
    <n v="0"/>
    <n v="16"/>
    <n v="8620.64"/>
    <n v="5213.92"/>
    <n v="3406.7199999999993"/>
    <n v="0.39518179624714633"/>
  </r>
  <r>
    <x v="271"/>
    <m/>
    <x v="243"/>
    <d v="2454-02-26T00:00:00"/>
    <d v="2453-11-16T00:00:00"/>
    <x v="0"/>
    <x v="0"/>
    <x v="0"/>
    <x v="4"/>
    <s v="No"/>
    <d v="1900-01-16T00:00:00"/>
    <d v="2024-04-17T00:00:00"/>
    <d v="2024-04-17T00:00:00"/>
    <x v="3"/>
    <x v="6"/>
    <s v="Frankfurt"/>
    <s v="Education"/>
    <x v="4"/>
    <x v="10"/>
    <x v="5"/>
    <x v="271"/>
    <n v="1025.51"/>
    <n v="1436.54"/>
    <n v="815.10700000000008"/>
    <n v="1620.05"/>
    <m/>
    <n v="0.13900000000000001"/>
    <n v="0"/>
    <n v="28"/>
    <n v="40223.119999999995"/>
    <n v="28714.28"/>
    <n v="11508.839999999997"/>
    <n v="0.28612499477912201"/>
  </r>
  <r>
    <x v="272"/>
    <n v="1"/>
    <x v="244"/>
    <n v="202307"/>
    <n v="202301"/>
    <x v="1"/>
    <x v="57"/>
    <x v="24"/>
    <x v="1"/>
    <s v="No"/>
    <n v="20"/>
    <d v="2023-08-13T00:00:00"/>
    <d v="2023-08-13T00:00:00"/>
    <x v="2"/>
    <x v="3"/>
    <s v="Montreal"/>
    <s v="Education"/>
    <x v="4"/>
    <x v="0"/>
    <x v="5"/>
    <x v="272"/>
    <n v="1082.3800000000001"/>
    <n v="1766.55"/>
    <n v="815.10700000000008"/>
    <n v="1620.05"/>
    <s v="Medium"/>
    <n v="0.16400000000000001"/>
    <n v="0"/>
    <n v="20"/>
    <n v="35331"/>
    <n v="21647.600000000002"/>
    <n v="13683.399999999998"/>
    <n v="0.38729161359712427"/>
  </r>
  <r>
    <x v="273"/>
    <m/>
    <x v="245"/>
    <d v="2454-02-26T00:00:00"/>
    <d v="2453-11-16T00:00:00"/>
    <x v="0"/>
    <x v="0"/>
    <x v="0"/>
    <x v="11"/>
    <s v="No"/>
    <d v="1900-01-27T00:00:00"/>
    <d v="2024-04-13T00:00:00"/>
    <d v="2024-04-13T00:00:00"/>
    <x v="3"/>
    <x v="7"/>
    <s v="Paris"/>
    <s v="Small Business"/>
    <x v="1"/>
    <x v="11"/>
    <x v="1"/>
    <x v="273"/>
    <n v="287.61"/>
    <n v="628.54"/>
    <n v="815.10700000000008"/>
    <n v="1620.05"/>
    <m/>
    <n v="0.13500000000000001"/>
    <n v="0"/>
    <n v="21"/>
    <n v="13199.34"/>
    <n v="6039.81"/>
    <n v="7159.53"/>
    <n v="0.54241575715149393"/>
  </r>
  <r>
    <x v="274"/>
    <n v="1"/>
    <x v="246"/>
    <n v="202401"/>
    <n v="202301"/>
    <x v="1"/>
    <x v="65"/>
    <x v="9"/>
    <x v="1"/>
    <s v="Yes"/>
    <n v="2"/>
    <d v="2024-01-27T00:00:00"/>
    <d v="2024-01-27T00:00:00"/>
    <x v="2"/>
    <x v="5"/>
    <s v="São Paulo"/>
    <s v="Non-Profit"/>
    <x v="2"/>
    <x v="13"/>
    <x v="4"/>
    <x v="274"/>
    <n v="1410.97"/>
    <n v="1650.75"/>
    <n v="815.10700000000008"/>
    <n v="1620.05"/>
    <s v="Low"/>
    <n v="0.13500000000000001"/>
    <n v="0"/>
    <n v="6"/>
    <n v="9904.5"/>
    <n v="8465.82"/>
    <n v="1438.6800000000003"/>
    <n v="0.14525518703619569"/>
  </r>
  <r>
    <x v="275"/>
    <m/>
    <x v="247"/>
    <d v="2454-02-26T00:00:00"/>
    <d v="2453-11-16T00:00:00"/>
    <x v="0"/>
    <x v="0"/>
    <x v="0"/>
    <x v="1"/>
    <s v="No"/>
    <d v="1900-01-14T00:00:00"/>
    <d v="2024-04-11T00:00:00"/>
    <d v="2024-04-11T00:00:00"/>
    <x v="2"/>
    <x v="10"/>
    <s v="San Francisco"/>
    <s v="Small Business"/>
    <x v="4"/>
    <x v="7"/>
    <x v="2"/>
    <x v="275"/>
    <n v="1338.35"/>
    <n v="2247.14"/>
    <n v="815.10700000000008"/>
    <n v="1620.05"/>
    <m/>
    <n v="0.115"/>
    <n v="0"/>
    <n v="40"/>
    <n v="89885.599999999991"/>
    <n v="53534"/>
    <n v="36351.599999999991"/>
    <n v="0.40442073035057891"/>
  </r>
  <r>
    <x v="276"/>
    <m/>
    <x v="35"/>
    <d v="2454-06-09T00:00:00"/>
    <d v="2453-11-16T00:00:00"/>
    <x v="0"/>
    <x v="37"/>
    <x v="16"/>
    <x v="1"/>
    <s v="No"/>
    <d v="1900-01-19T00:00:00"/>
    <d v="2025-07-14T00:00:00"/>
    <d v="2025-07-14T00:00:00"/>
    <x v="3"/>
    <x v="6"/>
    <s v="Berlin"/>
    <s v="Corporate"/>
    <x v="4"/>
    <x v="7"/>
    <x v="6"/>
    <x v="276"/>
    <n v="385.08"/>
    <n v="893.19"/>
    <n v="815.10700000000008"/>
    <n v="1620.05"/>
    <m/>
    <n v="0.151"/>
    <n v="0"/>
    <n v="8"/>
    <n v="7145.52"/>
    <n v="3080.64"/>
    <n v="4064.8800000000006"/>
    <n v="0.56887112484465796"/>
  </r>
  <r>
    <x v="277"/>
    <m/>
    <x v="248"/>
    <d v="2454-03-01T00:00:00"/>
    <d v="2453-11-16T00:00:00"/>
    <x v="0"/>
    <x v="51"/>
    <x v="17"/>
    <x v="7"/>
    <s v="No"/>
    <d v="1900-01-16T00:00:00"/>
    <d v="2024-07-03T00:00:00"/>
    <d v="2024-07-03T00:00:00"/>
    <x v="0"/>
    <x v="11"/>
    <s v="Johannesburg"/>
    <s v="Enterprise"/>
    <x v="2"/>
    <x v="9"/>
    <x v="3"/>
    <x v="277"/>
    <n v="1173.83"/>
    <n v="2328.9"/>
    <n v="815.10700000000008"/>
    <n v="1620.05"/>
    <m/>
    <n v="0.12"/>
    <n v="0"/>
    <n v="17"/>
    <n v="39591.300000000003"/>
    <n v="19955.11"/>
    <n v="19636.190000000002"/>
    <n v="0.49597234746017438"/>
  </r>
  <r>
    <x v="278"/>
    <n v="1"/>
    <x v="249"/>
    <n v="202310"/>
    <n v="202302"/>
    <x v="3"/>
    <x v="60"/>
    <x v="32"/>
    <x v="6"/>
    <s v="No"/>
    <n v="15"/>
    <d v="2023-11-14T00:00:00"/>
    <d v="2023-11-14T00:00:00"/>
    <x v="1"/>
    <x v="4"/>
    <s v="Bengaluru"/>
    <s v="Corporate"/>
    <x v="1"/>
    <x v="9"/>
    <x v="4"/>
    <x v="278"/>
    <n v="953.46"/>
    <n v="2066.75"/>
    <n v="815.10700000000008"/>
    <n v="1620.05"/>
    <s v="High"/>
    <n v="0.13800000000000001"/>
    <n v="0"/>
    <n v="5"/>
    <n v="10333.75"/>
    <n v="4767.3"/>
    <n v="5566.45"/>
    <n v="0.538666989234305"/>
  </r>
  <r>
    <x v="279"/>
    <m/>
    <x v="250"/>
    <d v="2453-11-21T00:00:00"/>
    <d v="2453-11-16T00:00:00"/>
    <x v="0"/>
    <x v="25"/>
    <x v="23"/>
    <x v="5"/>
    <s v="No"/>
    <d v="1900-01-07T00:00:00"/>
    <d v="2023-06-23T00:00:00"/>
    <d v="2023-06-23T00:00:00"/>
    <x v="2"/>
    <x v="10"/>
    <s v="San Francisco"/>
    <s v="Consumer"/>
    <x v="3"/>
    <x v="7"/>
    <x v="5"/>
    <x v="279"/>
    <n v="1097.0899999999999"/>
    <n v="2182.31"/>
    <n v="815.10700000000008"/>
    <n v="1620.05"/>
    <m/>
    <n v="0.112"/>
    <n v="0"/>
    <n v="9"/>
    <n v="19640.79"/>
    <n v="9873.81"/>
    <n v="9766.9800000000014"/>
    <n v="0.49728040470877194"/>
  </r>
  <r>
    <x v="280"/>
    <m/>
    <x v="251"/>
    <d v="2454-06-06T00:00:00"/>
    <d v="2453-11-18T00:00:00"/>
    <x v="2"/>
    <x v="33"/>
    <x v="3"/>
    <x v="9"/>
    <s v="No"/>
    <d v="1900-01-14T00:00:00"/>
    <d v="2025-03-29T00:00:00"/>
    <d v="2025-03-29T00:00:00"/>
    <x v="1"/>
    <x v="2"/>
    <s v="Tokyo"/>
    <s v="Non-Profit"/>
    <x v="4"/>
    <x v="10"/>
    <x v="2"/>
    <x v="280"/>
    <n v="1106.96"/>
    <n v="2726.62"/>
    <n v="815.10700000000008"/>
    <n v="1620.05"/>
    <m/>
    <n v="0.317"/>
    <n v="1"/>
    <n v="7"/>
    <n v="19086.34"/>
    <n v="7748.72"/>
    <n v="11337.619999999999"/>
    <n v="0.59401750152203092"/>
  </r>
  <r>
    <x v="281"/>
    <m/>
    <x v="182"/>
    <d v="2453-11-23T00:00:00"/>
    <d v="2453-11-16T00:00:00"/>
    <x v="0"/>
    <x v="34"/>
    <x v="25"/>
    <x v="4"/>
    <s v="No"/>
    <d v="1900-01-09T00:00:00"/>
    <d v="2023-08-25T00:00:00"/>
    <d v="2023-08-25T00:00:00"/>
    <x v="0"/>
    <x v="0"/>
    <s v="Nairobi"/>
    <s v="Small Business"/>
    <x v="0"/>
    <x v="13"/>
    <x v="3"/>
    <x v="281"/>
    <n v="91.85"/>
    <n v="111.29"/>
    <n v="815.10700000000008"/>
    <n v="1620.05"/>
    <m/>
    <n v="0"/>
    <n v="0"/>
    <n v="6"/>
    <n v="667.74"/>
    <n v="551.09999999999991"/>
    <n v="116.6400000000001"/>
    <n v="0.17467876718483258"/>
  </r>
  <r>
    <x v="282"/>
    <n v="1"/>
    <x v="252"/>
    <n v="202505"/>
    <n v="202302"/>
    <x v="3"/>
    <x v="35"/>
    <x v="8"/>
    <x v="11"/>
    <s v="No"/>
    <n v="11"/>
    <d v="2025-05-28T00:00:00"/>
    <d v="2025-05-28T00:00:00"/>
    <x v="1"/>
    <x v="4"/>
    <s v="Bengaluru"/>
    <s v="Corporate"/>
    <x v="3"/>
    <x v="5"/>
    <x v="4"/>
    <x v="282"/>
    <n v="623.4"/>
    <n v="1100.0899999999999"/>
    <n v="815.10700000000008"/>
    <n v="1620.05"/>
    <s v="Low"/>
    <n v="0.114"/>
    <n v="0"/>
    <n v="12"/>
    <n v="13201.079999999998"/>
    <n v="7480.7999999999993"/>
    <n v="5720.2799999999988"/>
    <n v="0.43331909207428482"/>
  </r>
  <r>
    <x v="283"/>
    <m/>
    <x v="94"/>
    <d v="2454-02-24T00:00:00"/>
    <d v="2453-11-16T00:00:00"/>
    <x v="0"/>
    <x v="9"/>
    <x v="9"/>
    <x v="7"/>
    <s v="No"/>
    <d v="1900-01-22T00:00:00"/>
    <d v="2024-02-05T00:00:00"/>
    <d v="2024-02-05T00:00:00"/>
    <x v="3"/>
    <x v="6"/>
    <s v="Frankfurt"/>
    <s v="Education"/>
    <x v="4"/>
    <x v="5"/>
    <x v="4"/>
    <x v="283"/>
    <n v="1017.93"/>
    <n v="1529.14"/>
    <n v="815.10700000000008"/>
    <n v="1620.05"/>
    <m/>
    <n v="0.155"/>
    <n v="0"/>
    <n v="12"/>
    <n v="18349.68"/>
    <n v="12215.16"/>
    <n v="6134.52"/>
    <n v="0.33431209699569697"/>
  </r>
  <r>
    <x v="284"/>
    <m/>
    <x v="87"/>
    <d v="2453-11-21T00:00:00"/>
    <d v="2453-11-18T00:00:00"/>
    <x v="2"/>
    <x v="12"/>
    <x v="23"/>
    <x v="1"/>
    <s v="No"/>
    <d v="1900-01-26T00:00:00"/>
    <d v="2023-07-21T00:00:00"/>
    <d v="2023-07-21T00:00:00"/>
    <x v="1"/>
    <x v="2"/>
    <s v="Nagoya"/>
    <s v="Consumer"/>
    <x v="2"/>
    <x v="1"/>
    <x v="3"/>
    <x v="284"/>
    <n v="554.76"/>
    <n v="728.69"/>
    <n v="815.10700000000008"/>
    <n v="1620.05"/>
    <m/>
    <n v="0.22"/>
    <n v="1"/>
    <n v="7"/>
    <n v="5100.83"/>
    <n v="3883.3199999999997"/>
    <n v="1217.5100000000002"/>
    <n v="0.23868860557987626"/>
  </r>
  <r>
    <x v="285"/>
    <m/>
    <x v="253"/>
    <d v="2454-06-07T00:00:00"/>
    <d v="2453-11-16T00:00:00"/>
    <x v="0"/>
    <x v="22"/>
    <x v="19"/>
    <x v="9"/>
    <s v="No"/>
    <d v="1900-01-08T00:00:00"/>
    <d v="2025-04-13T00:00:00"/>
    <d v="2025-04-13T00:00:00"/>
    <x v="3"/>
    <x v="6"/>
    <s v="Munich"/>
    <s v="Consumer"/>
    <x v="2"/>
    <x v="9"/>
    <x v="3"/>
    <x v="285"/>
    <n v="7.02"/>
    <n v="6.28"/>
    <n v="815.10700000000008"/>
    <n v="1620.05"/>
    <m/>
    <n v="0.13400000000000001"/>
    <n v="0"/>
    <n v="14"/>
    <n v="87.92"/>
    <n v="98.28"/>
    <n v="-10.36"/>
    <n v="-0.11783439490445859"/>
  </r>
  <r>
    <x v="286"/>
    <n v="1"/>
    <x v="254"/>
    <n v="202409"/>
    <n v="202302"/>
    <x v="3"/>
    <x v="44"/>
    <x v="29"/>
    <x v="7"/>
    <s v="Yes"/>
    <n v="0"/>
    <d v="2024-09-07T00:00:00"/>
    <d v="2024-09-07T00:00:00"/>
    <x v="1"/>
    <x v="4"/>
    <s v="Mumbai"/>
    <s v="Education"/>
    <x v="3"/>
    <x v="5"/>
    <x v="2"/>
    <x v="286"/>
    <n v="1066.6500000000001"/>
    <n v="2569.77"/>
    <n v="815.10700000000008"/>
    <n v="1620.05"/>
    <s v="Low"/>
    <n v="0.13400000000000001"/>
    <n v="0"/>
    <n v="9"/>
    <n v="23127.93"/>
    <n v="9599.85"/>
    <n v="13528.08"/>
    <n v="0.58492394260964986"/>
  </r>
  <r>
    <x v="287"/>
    <m/>
    <x v="10"/>
    <d v="2454-02-24T00:00:00"/>
    <d v="2453-11-16T00:00:00"/>
    <x v="0"/>
    <x v="9"/>
    <x v="9"/>
    <x v="10"/>
    <s v="Yes"/>
    <d v="1900-01-01T00:00:00"/>
    <d v="2024-01-30T00:00:00"/>
    <d v="2024-01-30T00:00:00"/>
    <x v="0"/>
    <x v="11"/>
    <s v="Cape Town"/>
    <s v="Consumer"/>
    <x v="4"/>
    <x v="9"/>
    <x v="6"/>
    <x v="287"/>
    <n v="798.45"/>
    <n v="1592.02"/>
    <n v="815.10700000000008"/>
    <n v="1620.05"/>
    <m/>
    <n v="6.6000000000000003E-2"/>
    <n v="0"/>
    <n v="18"/>
    <n v="28656.36"/>
    <n v="14372.1"/>
    <n v="14284.26"/>
    <n v="0.4984673559377395"/>
  </r>
  <r>
    <x v="288"/>
    <m/>
    <x v="255"/>
    <d v="2453-11-22T00:00:00"/>
    <d v="2453-11-16T00:00:00"/>
    <x v="0"/>
    <x v="30"/>
    <x v="24"/>
    <x v="1"/>
    <s v="No"/>
    <d v="1900-01-22T00:00:00"/>
    <d v="2023-08-10T00:00:00"/>
    <d v="2023-08-10T00:00:00"/>
    <x v="0"/>
    <x v="11"/>
    <s v="Johannesburg"/>
    <s v="Small Business"/>
    <x v="0"/>
    <x v="4"/>
    <x v="0"/>
    <x v="288"/>
    <n v="1271.56"/>
    <n v="995.47"/>
    <n v="815.10700000000008"/>
    <n v="1620.05"/>
    <m/>
    <n v="0.192"/>
    <n v="0"/>
    <n v="13"/>
    <n v="12941.11"/>
    <n v="16530.28"/>
    <n v="-3589.1699999999983"/>
    <n v="-0.27734637909731069"/>
  </r>
  <r>
    <x v="289"/>
    <n v="1"/>
    <x v="256"/>
    <n v="202508"/>
    <n v="202301"/>
    <x v="1"/>
    <x v="54"/>
    <x v="28"/>
    <x v="11"/>
    <s v="Yes"/>
    <n v="0"/>
    <d v="2025-08-28T00:00:00"/>
    <d v="2025-08-26T00:00:00"/>
    <x v="0"/>
    <x v="1"/>
    <s v="Port Harcourt"/>
    <s v="Small Business"/>
    <x v="0"/>
    <x v="8"/>
    <x v="6"/>
    <x v="289"/>
    <n v="521.05999999999995"/>
    <n v="1240.31"/>
    <n v="815.10700000000008"/>
    <n v="1620.05"/>
    <s v="Medium"/>
    <n v="0.14599999999999999"/>
    <n v="0"/>
    <n v="18"/>
    <n v="22325.579999999998"/>
    <n v="9379.0799999999981"/>
    <n v="12946.5"/>
    <n v="0.57989534874345938"/>
  </r>
  <r>
    <x v="290"/>
    <n v="1"/>
    <x v="257"/>
    <n v="202503"/>
    <n v="202301"/>
    <x v="1"/>
    <x v="3"/>
    <x v="3"/>
    <x v="8"/>
    <s v="No"/>
    <n v="8"/>
    <d v="2025-04-07T00:00:00"/>
    <d v="2025-04-07T00:00:00"/>
    <x v="2"/>
    <x v="5"/>
    <s v="São Paulo"/>
    <s v="Non-Profit"/>
    <x v="4"/>
    <x v="4"/>
    <x v="1"/>
    <x v="290"/>
    <n v="71.62"/>
    <n v="118.37"/>
    <n v="815.10700000000008"/>
    <n v="1620.05"/>
    <s v="Medium"/>
    <n v="0.156"/>
    <n v="0"/>
    <n v="11"/>
    <n v="1302.0700000000002"/>
    <n v="787.82"/>
    <n v="514.25000000000011"/>
    <n v="0.39494804426797336"/>
  </r>
  <r>
    <x v="291"/>
    <n v="1"/>
    <x v="258"/>
    <n v="202310"/>
    <n v="202301"/>
    <x v="1"/>
    <x v="61"/>
    <x v="32"/>
    <x v="4"/>
    <s v="No"/>
    <n v="19"/>
    <d v="2023-11-09T00:00:00"/>
    <d v="2023-11-09T00:00:00"/>
    <x v="3"/>
    <x v="8"/>
    <s v="London"/>
    <s v="Non-Profit"/>
    <x v="4"/>
    <x v="8"/>
    <x v="6"/>
    <x v="291"/>
    <n v="1142.48"/>
    <n v="2105.5300000000002"/>
    <n v="815.10700000000008"/>
    <n v="1620.05"/>
    <s v="Low"/>
    <n v="0.20699999999999999"/>
    <n v="1"/>
    <n v="14"/>
    <n v="29477.420000000002"/>
    <n v="15994.720000000001"/>
    <n v="13482.7"/>
    <n v="0.45739077571917758"/>
  </r>
  <r>
    <x v="292"/>
    <n v="1"/>
    <x v="259"/>
    <n v="202308"/>
    <n v="202301"/>
    <x v="1"/>
    <x v="43"/>
    <x v="25"/>
    <x v="5"/>
    <s v="No"/>
    <n v="30"/>
    <d v="2023-09-22T00:00:00"/>
    <d v="2023-09-22T00:00:00"/>
    <x v="3"/>
    <x v="8"/>
    <s v="London"/>
    <s v="Consumer"/>
    <x v="3"/>
    <x v="7"/>
    <x v="6"/>
    <x v="292"/>
    <n v="209.81"/>
    <n v="523"/>
    <n v="815.10700000000008"/>
    <n v="1620.05"/>
    <s v="High"/>
    <n v="5.8999999999999997E-2"/>
    <n v="0"/>
    <n v="15"/>
    <n v="7845"/>
    <n v="3147.15"/>
    <n v="4697.8500000000004"/>
    <n v="0.59883365200764826"/>
  </r>
  <r>
    <x v="293"/>
    <m/>
    <x v="260"/>
    <d v="2454-06-07T00:00:00"/>
    <d v="2453-11-18T00:00:00"/>
    <x v="2"/>
    <x v="47"/>
    <x v="19"/>
    <x v="11"/>
    <s v="No"/>
    <d v="1900-01-22T00:00:00"/>
    <d v="2025-05-04T00:00:00"/>
    <d v="2025-05-04T00:00:00"/>
    <x v="1"/>
    <x v="2"/>
    <s v="Osaka"/>
    <s v="Small Business"/>
    <x v="1"/>
    <x v="12"/>
    <x v="0"/>
    <x v="293"/>
    <n v="786.2"/>
    <n v="1075.3"/>
    <n v="815.10700000000008"/>
    <n v="1620.05"/>
    <m/>
    <n v="0.08"/>
    <n v="0"/>
    <n v="9"/>
    <n v="9677.6999999999989"/>
    <n v="7075.8"/>
    <n v="2601.8999999999987"/>
    <n v="0.26885520319910711"/>
  </r>
  <r>
    <x v="294"/>
    <m/>
    <x v="261"/>
    <d v="2454-06-09T00:00:00"/>
    <d v="2453-11-16T00:00:00"/>
    <x v="0"/>
    <x v="37"/>
    <x v="16"/>
    <x v="7"/>
    <s v="No"/>
    <d v="1900-01-25T00:00:00"/>
    <d v="2025-06-27T00:00:00"/>
    <d v="2025-06-27T00:00:00"/>
    <x v="3"/>
    <x v="6"/>
    <s v="Munich"/>
    <s v="Consumer"/>
    <x v="3"/>
    <x v="6"/>
    <x v="4"/>
    <x v="294"/>
    <n v="1362.31"/>
    <n v="3294.57"/>
    <n v="815.10700000000008"/>
    <n v="1620.05"/>
    <m/>
    <n v="0.113"/>
    <n v="0"/>
    <n v="7"/>
    <n v="23061.99"/>
    <n v="9536.17"/>
    <n v="13525.820000000002"/>
    <n v="0.58649838977468993"/>
  </r>
  <r>
    <x v="295"/>
    <n v="1"/>
    <x v="262"/>
    <n v="202403"/>
    <n v="202301"/>
    <x v="1"/>
    <x v="64"/>
    <x v="0"/>
    <x v="7"/>
    <s v="No"/>
    <n v="14"/>
    <d v="2024-03-16T00:00:00"/>
    <d v="2024-03-16T00:00:00"/>
    <x v="2"/>
    <x v="3"/>
    <s v="Vancouver"/>
    <s v="Non-Profit"/>
    <x v="4"/>
    <x v="7"/>
    <x v="1"/>
    <x v="295"/>
    <n v="248.24"/>
    <n v="464.05"/>
    <n v="815.10700000000008"/>
    <n v="1620.05"/>
    <s v="High"/>
    <n v="0.16900000000000001"/>
    <n v="0"/>
    <n v="11"/>
    <n v="5104.55"/>
    <n v="2730.6400000000003"/>
    <n v="2373.91"/>
    <n v="0.46505764465036092"/>
  </r>
  <r>
    <x v="296"/>
    <m/>
    <x v="263"/>
    <d v="2453-11-21T00:00:00"/>
    <d v="2453-11-16T00:00:00"/>
    <x v="0"/>
    <x v="25"/>
    <x v="23"/>
    <x v="1"/>
    <s v="No"/>
    <d v="1900-01-17T00:00:00"/>
    <d v="2023-07-08T00:00:00"/>
    <d v="2023-07-08T00:00:00"/>
    <x v="2"/>
    <x v="10"/>
    <s v="Austin"/>
    <s v="Non-Profit"/>
    <x v="4"/>
    <x v="9"/>
    <x v="5"/>
    <x v="296"/>
    <n v="337"/>
    <n v="511.03"/>
    <n v="815.10700000000008"/>
    <n v="1620.05"/>
    <m/>
    <n v="0.108"/>
    <n v="0"/>
    <n v="7"/>
    <n v="3577.21"/>
    <n v="2359"/>
    <n v="1218.21"/>
    <n v="0.34054752167191749"/>
  </r>
  <r>
    <x v="297"/>
    <m/>
    <x v="264"/>
    <d v="2454-02-26T00:00:00"/>
    <d v="2453-11-16T00:00:00"/>
    <x v="0"/>
    <x v="0"/>
    <x v="0"/>
    <x v="9"/>
    <s v="No"/>
    <d v="1900-01-09T00:00:00"/>
    <d v="2024-04-05T00:00:00"/>
    <d v="2024-04-05T00:00:00"/>
    <x v="2"/>
    <x v="10"/>
    <s v="Austin"/>
    <s v="Consumer"/>
    <x v="4"/>
    <x v="1"/>
    <x v="5"/>
    <x v="297"/>
    <n v="5.66"/>
    <n v="4.22"/>
    <n v="815.10700000000008"/>
    <n v="1620.05"/>
    <m/>
    <n v="0.11899999999999999"/>
    <n v="0"/>
    <n v="18"/>
    <n v="75.959999999999994"/>
    <n v="101.88"/>
    <n v="-25.92"/>
    <n v="-0.34123222748815168"/>
  </r>
  <r>
    <x v="298"/>
    <m/>
    <x v="265"/>
    <d v="2454-06-04T00:00:00"/>
    <d v="2453-11-16T00:00:00"/>
    <x v="0"/>
    <x v="33"/>
    <x v="10"/>
    <x v="1"/>
    <s v="Yes"/>
    <d v="1899-12-30T00:00:00"/>
    <d v="2025-01-22T00:00:00"/>
    <d v="2025-01-22T00:00:00"/>
    <x v="3"/>
    <x v="7"/>
    <s v="Lyon"/>
    <s v="Small Business"/>
    <x v="1"/>
    <x v="5"/>
    <x v="6"/>
    <x v="298"/>
    <n v="591.72"/>
    <n v="577.24"/>
    <n v="815.10700000000008"/>
    <n v="1620.05"/>
    <m/>
    <n v="0"/>
    <n v="0"/>
    <n v="22"/>
    <n v="12699.28"/>
    <n v="13017.84"/>
    <n v="-318.55999999999949"/>
    <n v="-2.5084886702238195E-2"/>
  </r>
  <r>
    <x v="299"/>
    <n v="1"/>
    <x v="266"/>
    <n v="202505"/>
    <n v="202301"/>
    <x v="1"/>
    <x v="8"/>
    <x v="8"/>
    <x v="4"/>
    <s v="No"/>
    <n v="17"/>
    <d v="2025-05-27T00:00:00"/>
    <d v="2025-05-27T00:00:00"/>
    <x v="2"/>
    <x v="3"/>
    <s v="Vancouver"/>
    <s v="Education"/>
    <x v="4"/>
    <x v="0"/>
    <x v="0"/>
    <x v="299"/>
    <n v="862.89"/>
    <n v="1426.03"/>
    <n v="815.10700000000008"/>
    <n v="1620.05"/>
    <s v="Low"/>
    <n v="5.6000000000000001E-2"/>
    <n v="0"/>
    <n v="19"/>
    <n v="27094.57"/>
    <n v="16394.91"/>
    <n v="10699.66"/>
    <n v="0.39490052803938208"/>
  </r>
  <r>
    <x v="300"/>
    <n v="1"/>
    <x v="230"/>
    <n v="202310"/>
    <n v="202301"/>
    <x v="1"/>
    <x v="61"/>
    <x v="32"/>
    <x v="7"/>
    <s v="No"/>
    <n v="26"/>
    <d v="2023-10-31T00:00:00"/>
    <d v="2023-10-31T00:00:00"/>
    <x v="1"/>
    <x v="9"/>
    <s v="Shanghai"/>
    <s v="Consumer"/>
    <x v="1"/>
    <x v="1"/>
    <x v="1"/>
    <x v="300"/>
    <n v="649.91"/>
    <n v="1360.12"/>
    <n v="815.10700000000008"/>
    <n v="1620.05"/>
    <s v="Medium"/>
    <n v="0.19400000000000001"/>
    <n v="0"/>
    <n v="9"/>
    <n v="12241.079999999998"/>
    <n v="5849.19"/>
    <n v="6391.8899999999985"/>
    <n v="0.52216716172102462"/>
  </r>
  <r>
    <x v="301"/>
    <n v="1"/>
    <x v="255"/>
    <n v="202307"/>
    <n v="202301"/>
    <x v="1"/>
    <x v="57"/>
    <x v="24"/>
    <x v="5"/>
    <s v="Yes"/>
    <n v="4"/>
    <d v="2023-07-22T00:00:00"/>
    <d v="2023-07-22T00:00:00"/>
    <x v="2"/>
    <x v="5"/>
    <s v="São Paulo"/>
    <s v="Consumer"/>
    <x v="4"/>
    <x v="9"/>
    <x v="2"/>
    <x v="301"/>
    <n v="1269.55"/>
    <n v="2071.1"/>
    <n v="815.10700000000008"/>
    <n v="1620.05"/>
    <s v="Medium"/>
    <n v="0.129"/>
    <n v="0"/>
    <n v="22"/>
    <n v="45564.2"/>
    <n v="27930.1"/>
    <n v="17634.099999999999"/>
    <n v="0.38701656124764616"/>
  </r>
  <r>
    <x v="302"/>
    <n v="1"/>
    <x v="267"/>
    <n v="202506"/>
    <n v="202301"/>
    <x v="1"/>
    <x v="18"/>
    <x v="16"/>
    <x v="11"/>
    <s v="No"/>
    <n v="16"/>
    <d v="2025-07-08T00:00:00"/>
    <d v="2025-07-08T00:00:00"/>
    <x v="3"/>
    <x v="8"/>
    <s v="London"/>
    <s v="Education"/>
    <x v="4"/>
    <x v="8"/>
    <x v="3"/>
    <x v="302"/>
    <n v="892.73"/>
    <n v="979.84"/>
    <n v="815.10700000000008"/>
    <n v="1620.05"/>
    <s v="High"/>
    <n v="0.17399999999999999"/>
    <n v="0"/>
    <n v="10"/>
    <n v="9798.4"/>
    <n v="8927.2999999999993"/>
    <n v="871.10000000000036"/>
    <n v="8.8902269758327934E-2"/>
  </r>
  <r>
    <x v="303"/>
    <m/>
    <x v="268"/>
    <d v="2454-03-01T00:00:00"/>
    <d v="2453-11-16T00:00:00"/>
    <x v="0"/>
    <x v="51"/>
    <x v="17"/>
    <x v="7"/>
    <s v="Yes"/>
    <d v="1899-12-31T00:00:00"/>
    <d v="2024-06-20T00:00:00"/>
    <d v="2024-06-20T00:00:00"/>
    <x v="0"/>
    <x v="0"/>
    <s v="Kisumu"/>
    <s v="Small Business"/>
    <x v="4"/>
    <x v="1"/>
    <x v="4"/>
    <x v="303"/>
    <n v="231.63"/>
    <n v="537.39"/>
    <n v="815.10700000000008"/>
    <n v="1620.05"/>
    <m/>
    <n v="0.08"/>
    <n v="0"/>
    <n v="12"/>
    <n v="6448.68"/>
    <n v="2779.56"/>
    <n v="3669.1200000000003"/>
    <n v="0.56897225478702618"/>
  </r>
  <r>
    <x v="304"/>
    <m/>
    <x v="69"/>
    <d v="2454-06-07T00:00:00"/>
    <d v="2453-11-16T00:00:00"/>
    <x v="0"/>
    <x v="22"/>
    <x v="19"/>
    <x v="6"/>
    <s v="Yes"/>
    <d v="1900-01-02T00:00:00"/>
    <d v="2025-04-12T00:00:00"/>
    <d v="2025-04-12T00:00:00"/>
    <x v="3"/>
    <x v="7"/>
    <s v="Lyon"/>
    <s v="Small Business"/>
    <x v="3"/>
    <x v="10"/>
    <x v="5"/>
    <x v="304"/>
    <n v="86.68"/>
    <n v="213.32"/>
    <n v="815.10700000000008"/>
    <n v="1620.05"/>
    <m/>
    <n v="3.7999999999999999E-2"/>
    <n v="0"/>
    <n v="8"/>
    <n v="1706.56"/>
    <n v="693.44"/>
    <n v="1013.1199999999999"/>
    <n v="0.59366210388149254"/>
  </r>
  <r>
    <x v="305"/>
    <n v="1"/>
    <x v="80"/>
    <n v="202503"/>
    <n v="202301"/>
    <x v="1"/>
    <x v="3"/>
    <x v="3"/>
    <x v="7"/>
    <s v="Yes"/>
    <n v="1"/>
    <d v="2025-03-26T00:00:00"/>
    <d v="2025-03-26T00:00:00"/>
    <x v="0"/>
    <x v="1"/>
    <s v="Lagos"/>
    <s v="Education"/>
    <x v="3"/>
    <x v="3"/>
    <x v="6"/>
    <x v="305"/>
    <n v="1450.43"/>
    <n v="1994.67"/>
    <n v="815.10700000000008"/>
    <n v="1620.05"/>
    <s v="Low"/>
    <n v="0.1"/>
    <n v="0"/>
    <n v="24"/>
    <n v="47872.08"/>
    <n v="34810.32"/>
    <n v="13061.760000000002"/>
    <n v="0.27284713762176205"/>
  </r>
  <r>
    <x v="306"/>
    <m/>
    <x v="269"/>
    <d v="2454-06-08T00:00:00"/>
    <d v="2453-11-16T00:00:00"/>
    <x v="0"/>
    <x v="27"/>
    <x v="8"/>
    <x v="4"/>
    <s v="No"/>
    <d v="1900-01-21T00:00:00"/>
    <d v="2025-06-09T00:00:00"/>
    <d v="2025-06-09T00:00:00"/>
    <x v="2"/>
    <x v="10"/>
    <s v="New York"/>
    <s v="Consumer"/>
    <x v="0"/>
    <x v="10"/>
    <x v="2"/>
    <x v="306"/>
    <n v="382.96"/>
    <n v="552.84"/>
    <n v="815.10700000000008"/>
    <n v="1620.05"/>
    <m/>
    <n v="0.17599999999999999"/>
    <n v="0"/>
    <n v="8"/>
    <n v="4422.72"/>
    <n v="3063.68"/>
    <n v="1359.0400000000004"/>
    <n v="0.30728601403661104"/>
  </r>
  <r>
    <x v="307"/>
    <m/>
    <x v="265"/>
    <d v="2454-06-04T00:00:00"/>
    <d v="2453-11-18T00:00:00"/>
    <x v="2"/>
    <x v="10"/>
    <x v="10"/>
    <x v="7"/>
    <s v="No"/>
    <d v="1900-01-12T00:00:00"/>
    <d v="2025-02-04T00:00:00"/>
    <d v="2025-02-04T00:00:00"/>
    <x v="1"/>
    <x v="2"/>
    <s v="Tokyo"/>
    <s v="Small Business"/>
    <x v="3"/>
    <x v="4"/>
    <x v="1"/>
    <x v="307"/>
    <n v="122.29"/>
    <n v="224.95"/>
    <n v="815.10700000000008"/>
    <n v="1620.05"/>
    <m/>
    <n v="0.153"/>
    <n v="0"/>
    <n v="28"/>
    <n v="6298.5999999999995"/>
    <n v="3424.1200000000003"/>
    <n v="2874.4799999999991"/>
    <n v="0.45636808179595456"/>
  </r>
  <r>
    <x v="308"/>
    <m/>
    <x v="270"/>
    <d v="2453-11-16T00:00:00"/>
    <d v="2453-11-16T00:00:00"/>
    <x v="0"/>
    <x v="55"/>
    <x v="5"/>
    <x v="4"/>
    <s v="No"/>
    <d v="1900-01-18T00:00:00"/>
    <d v="2023-01-29T00:00:00"/>
    <d v="2023-01-29T00:00:00"/>
    <x v="3"/>
    <x v="7"/>
    <s v="Lyon"/>
    <s v="Non-Profit"/>
    <x v="4"/>
    <x v="14"/>
    <x v="4"/>
    <x v="308"/>
    <n v="401.66"/>
    <n v="772.09"/>
    <n v="815.10700000000008"/>
    <n v="1620.05"/>
    <m/>
    <n v="8.8999999999999996E-2"/>
    <n v="0"/>
    <n v="14"/>
    <n v="10809.26"/>
    <n v="5623.2400000000007"/>
    <n v="5186.0199999999995"/>
    <n v="0.47977567382040948"/>
  </r>
  <r>
    <x v="309"/>
    <n v="1"/>
    <x v="271"/>
    <n v="202412"/>
    <n v="202301"/>
    <x v="1"/>
    <x v="41"/>
    <x v="6"/>
    <x v="3"/>
    <s v="No"/>
    <n v="14"/>
    <d v="2025-01-12T00:00:00"/>
    <d v="2025-01-12T00:00:00"/>
    <x v="3"/>
    <x v="8"/>
    <s v="Manchester"/>
    <s v="Corporate"/>
    <x v="4"/>
    <x v="5"/>
    <x v="5"/>
    <x v="309"/>
    <n v="1399.72"/>
    <n v="3149.21"/>
    <n v="815.10700000000008"/>
    <n v="1620.05"/>
    <s v="Low"/>
    <n v="0.185"/>
    <n v="0"/>
    <n v="12"/>
    <n v="37790.520000000004"/>
    <n v="16796.64"/>
    <n v="20993.880000000005"/>
    <n v="0.5555329749365715"/>
  </r>
  <r>
    <x v="310"/>
    <n v="1"/>
    <x v="154"/>
    <n v="202405"/>
    <n v="202301"/>
    <x v="1"/>
    <x v="7"/>
    <x v="7"/>
    <x v="2"/>
    <s v="No"/>
    <n v="14"/>
    <d v="2024-06-06T00:00:00"/>
    <d v="2024-06-06T00:00:00"/>
    <x v="2"/>
    <x v="5"/>
    <s v="Rio de Janeiro"/>
    <s v="Non-Profit"/>
    <x v="1"/>
    <x v="2"/>
    <x v="2"/>
    <x v="310"/>
    <n v="51.13"/>
    <n v="57.53"/>
    <n v="815.10700000000008"/>
    <n v="1620.05"/>
    <s v="High"/>
    <n v="4.4999999999999998E-2"/>
    <n v="0"/>
    <n v="16"/>
    <n v="920.48"/>
    <n v="818.08"/>
    <n v="102.39999999999998"/>
    <n v="0.11124630627498694"/>
  </r>
  <r>
    <x v="311"/>
    <n v="1"/>
    <x v="87"/>
    <n v="202306"/>
    <n v="202301"/>
    <x v="1"/>
    <x v="29"/>
    <x v="23"/>
    <x v="6"/>
    <s v="Yes"/>
    <n v="0"/>
    <d v="2023-06-24T00:00:00"/>
    <d v="2023-06-22T00:00:00"/>
    <x v="2"/>
    <x v="3"/>
    <s v="Toronto"/>
    <s v="Non-Profit"/>
    <x v="0"/>
    <x v="12"/>
    <x v="6"/>
    <x v="311"/>
    <n v="471.42"/>
    <n v="824.81"/>
    <n v="815.10700000000008"/>
    <n v="1620.05"/>
    <s v="Low"/>
    <n v="8.7999999999999995E-2"/>
    <n v="0"/>
    <n v="15"/>
    <n v="12372.15"/>
    <n v="7071.3"/>
    <n v="5300.8499999999995"/>
    <n v="0.42845018852826711"/>
  </r>
  <r>
    <x v="312"/>
    <n v="1"/>
    <x v="272"/>
    <n v="202411"/>
    <n v="202301"/>
    <x v="1"/>
    <x v="6"/>
    <x v="18"/>
    <x v="9"/>
    <s v="Yes"/>
    <n v="1"/>
    <d v="2024-11-05T00:00:00"/>
    <d v="2024-11-05T00:00:00"/>
    <x v="3"/>
    <x v="8"/>
    <s v="London"/>
    <s v="Corporate"/>
    <x v="0"/>
    <x v="12"/>
    <x v="1"/>
    <x v="312"/>
    <n v="840.68"/>
    <n v="1493.53"/>
    <n v="815.10700000000008"/>
    <n v="1620.05"/>
    <s v="Medium"/>
    <n v="0"/>
    <n v="0"/>
    <n v="27"/>
    <n v="40325.31"/>
    <n v="22698.359999999997"/>
    <n v="17626.95"/>
    <n v="0.43711877230454027"/>
  </r>
  <r>
    <x v="313"/>
    <m/>
    <x v="273"/>
    <d v="2454-03-01T00:00:00"/>
    <d v="2453-11-16T00:00:00"/>
    <x v="0"/>
    <x v="51"/>
    <x v="17"/>
    <x v="2"/>
    <s v="No"/>
    <d v="1900-01-15T00:00:00"/>
    <d v="2024-06-24T00:00:00"/>
    <d v="2024-06-24T00:00:00"/>
    <x v="0"/>
    <x v="11"/>
    <s v="Durban"/>
    <s v="Education"/>
    <x v="3"/>
    <x v="10"/>
    <x v="5"/>
    <x v="313"/>
    <n v="597.85"/>
    <n v="741.92"/>
    <n v="815.10700000000008"/>
    <n v="1620.05"/>
    <m/>
    <n v="3.1E-2"/>
    <n v="0"/>
    <n v="7"/>
    <n v="5193.4399999999996"/>
    <n v="4184.95"/>
    <n v="1008.4899999999998"/>
    <n v="0.19418535691179639"/>
  </r>
  <r>
    <x v="314"/>
    <m/>
    <x v="261"/>
    <d v="2454-06-09T00:00:00"/>
    <d v="2453-11-16T00:00:00"/>
    <x v="0"/>
    <x v="37"/>
    <x v="16"/>
    <x v="6"/>
    <s v="Yes"/>
    <d v="1900-01-04T00:00:00"/>
    <d v="2025-06-06T00:00:00"/>
    <d v="2025-06-06T00:00:00"/>
    <x v="3"/>
    <x v="7"/>
    <s v="Paris"/>
    <s v="Consumer"/>
    <x v="3"/>
    <x v="3"/>
    <x v="0"/>
    <x v="314"/>
    <n v="379.45"/>
    <n v="742.23"/>
    <n v="815.10700000000008"/>
    <n v="1620.05"/>
    <m/>
    <n v="0.09"/>
    <n v="0"/>
    <n v="13"/>
    <n v="9648.99"/>
    <n v="4932.8499999999995"/>
    <n v="4716.1400000000003"/>
    <n v="0.48877032725704972"/>
  </r>
  <r>
    <x v="315"/>
    <m/>
    <x v="274"/>
    <d v="2453-11-20T00:00:00"/>
    <d v="2453-11-18T00:00:00"/>
    <x v="2"/>
    <x v="32"/>
    <x v="15"/>
    <x v="7"/>
    <s v="No"/>
    <d v="1900-01-07T00:00:00"/>
    <d v="2023-05-14T00:00:00"/>
    <d v="2023-05-14T00:00:00"/>
    <x v="1"/>
    <x v="2"/>
    <s v="Osaka"/>
    <s v="Enterprise"/>
    <x v="2"/>
    <x v="5"/>
    <x v="3"/>
    <x v="315"/>
    <n v="291.18"/>
    <n v="479.54"/>
    <n v="815.10700000000008"/>
    <n v="1620.05"/>
    <m/>
    <n v="0.14099999999999999"/>
    <n v="0"/>
    <n v="22"/>
    <n v="10549.880000000001"/>
    <n v="6405.96"/>
    <n v="4143.920000000001"/>
    <n v="0.39279309338115698"/>
  </r>
  <r>
    <x v="316"/>
    <n v="1"/>
    <x v="275"/>
    <n v="202311"/>
    <n v="202301"/>
    <x v="1"/>
    <x v="63"/>
    <x v="30"/>
    <x v="9"/>
    <s v="No"/>
    <n v="16"/>
    <d v="2023-11-30T00:00:00"/>
    <d v="2023-11-30T00:00:00"/>
    <x v="2"/>
    <x v="5"/>
    <s v="São Paulo"/>
    <s v="Enterprise"/>
    <x v="4"/>
    <x v="11"/>
    <x v="2"/>
    <x v="316"/>
    <n v="1017.92"/>
    <n v="1175.25"/>
    <n v="815.10700000000008"/>
    <n v="1620.05"/>
    <s v="Low"/>
    <n v="7.4999999999999997E-2"/>
    <n v="0"/>
    <n v="15"/>
    <n v="17628.75"/>
    <n v="15268.8"/>
    <n v="2359.9500000000007"/>
    <n v="0.13386938949159757"/>
  </r>
  <r>
    <x v="317"/>
    <m/>
    <x v="276"/>
    <d v="2454-06-07T00:00:00"/>
    <d v="2453-11-16T00:00:00"/>
    <x v="0"/>
    <x v="22"/>
    <x v="19"/>
    <x v="5"/>
    <s v="No"/>
    <d v="1900-01-25T00:00:00"/>
    <d v="2025-04-27T00:00:00"/>
    <d v="2025-04-27T00:00:00"/>
    <x v="2"/>
    <x v="10"/>
    <s v="San Francisco"/>
    <s v="Corporate"/>
    <x v="4"/>
    <x v="2"/>
    <x v="5"/>
    <x v="317"/>
    <n v="156.55000000000001"/>
    <n v="227.45"/>
    <n v="815.10700000000008"/>
    <n v="1620.05"/>
    <m/>
    <n v="1.4E-2"/>
    <n v="0"/>
    <n v="13"/>
    <n v="2956.85"/>
    <n v="2035.15"/>
    <n v="921.69999999999982"/>
    <n v="0.31171686084853811"/>
  </r>
  <r>
    <x v="318"/>
    <m/>
    <x v="277"/>
    <d v="2453-11-18T00:00:00"/>
    <d v="2453-11-16T00:00:00"/>
    <x v="0"/>
    <x v="32"/>
    <x v="22"/>
    <x v="7"/>
    <s v="No"/>
    <d v="1900-01-22T00:00:00"/>
    <d v="2023-04-15T00:00:00"/>
    <d v="2023-04-15T00:00:00"/>
    <x v="0"/>
    <x v="0"/>
    <s v="Mombasa"/>
    <s v="Small Business"/>
    <x v="0"/>
    <x v="0"/>
    <x v="6"/>
    <x v="318"/>
    <n v="875.36"/>
    <n v="1178.6199999999999"/>
    <n v="815.10700000000008"/>
    <n v="1620.05"/>
    <m/>
    <n v="0.151"/>
    <n v="0"/>
    <n v="53"/>
    <n v="62466.859999999993"/>
    <n v="46394.080000000002"/>
    <n v="16072.779999999992"/>
    <n v="0.25730091123517324"/>
  </r>
  <r>
    <x v="319"/>
    <m/>
    <x v="91"/>
    <d v="2454-02-28T00:00:00"/>
    <d v="2453-11-16T00:00:00"/>
    <x v="0"/>
    <x v="19"/>
    <x v="7"/>
    <x v="3"/>
    <s v="No"/>
    <d v="1900-01-20T00:00:00"/>
    <d v="2024-06-18T00:00:00"/>
    <d v="2024-06-18T00:00:00"/>
    <x v="3"/>
    <x v="6"/>
    <s v="Frankfurt"/>
    <s v="Small Business"/>
    <x v="1"/>
    <x v="6"/>
    <x v="3"/>
    <x v="319"/>
    <n v="986.85"/>
    <n v="2422.1"/>
    <n v="815.10700000000008"/>
    <n v="1620.05"/>
    <m/>
    <n v="7.5999999999999998E-2"/>
    <n v="0"/>
    <n v="10"/>
    <n v="24221"/>
    <n v="9868.5"/>
    <n v="14352.5"/>
    <n v="0.59256430370339785"/>
  </r>
  <r>
    <x v="320"/>
    <m/>
    <x v="278"/>
    <d v="2454-02-24T00:00:00"/>
    <d v="2453-11-16T00:00:00"/>
    <x v="0"/>
    <x v="9"/>
    <x v="9"/>
    <x v="6"/>
    <s v="Yes"/>
    <d v="1899-12-30T00:00:00"/>
    <d v="2024-01-02T00:00:00"/>
    <d v="2024-01-01T00:00:00"/>
    <x v="2"/>
    <x v="10"/>
    <s v="Chicago"/>
    <s v="Education"/>
    <x v="2"/>
    <x v="5"/>
    <x v="2"/>
    <x v="320"/>
    <n v="404.77"/>
    <n v="433.88"/>
    <n v="815.10700000000008"/>
    <n v="1620.05"/>
    <m/>
    <n v="0.215"/>
    <n v="1"/>
    <n v="22"/>
    <n v="9545.36"/>
    <n v="8904.9399999999987"/>
    <n v="640.42000000000189"/>
    <n v="6.7092283580713757E-2"/>
  </r>
  <r>
    <x v="321"/>
    <m/>
    <x v="2"/>
    <d v="2453-11-17T00:00:00"/>
    <d v="2453-11-16T00:00:00"/>
    <x v="0"/>
    <x v="2"/>
    <x v="2"/>
    <x v="1"/>
    <s v="Yes"/>
    <d v="1899-12-30T00:00:00"/>
    <d v="2023-02-28T00:00:00"/>
    <d v="2023-02-27T00:00:00"/>
    <x v="3"/>
    <x v="7"/>
    <s v="Marseille"/>
    <s v="Corporate"/>
    <x v="0"/>
    <x v="11"/>
    <x v="2"/>
    <x v="321"/>
    <n v="1299.81"/>
    <n v="3149.13"/>
    <n v="815.10700000000008"/>
    <n v="1620.05"/>
    <m/>
    <n v="0.10299999999999999"/>
    <n v="0"/>
    <n v="14"/>
    <n v="44087.82"/>
    <n v="18197.34"/>
    <n v="25890.48"/>
    <n v="0.58724790656467019"/>
  </r>
  <r>
    <x v="322"/>
    <n v="1"/>
    <x v="142"/>
    <n v="202402"/>
    <n v="202301"/>
    <x v="1"/>
    <x v="56"/>
    <x v="31"/>
    <x v="3"/>
    <s v="No"/>
    <n v="22"/>
    <d v="2024-03-11T00:00:00"/>
    <d v="2024-03-11T00:00:00"/>
    <x v="2"/>
    <x v="5"/>
    <s v="São Paulo"/>
    <s v="Consumer"/>
    <x v="1"/>
    <x v="8"/>
    <x v="0"/>
    <x v="322"/>
    <n v="80.48"/>
    <n v="65.650000000000006"/>
    <n v="815.10700000000008"/>
    <n v="1620.05"/>
    <s v="High"/>
    <n v="0.17599999999999999"/>
    <n v="0"/>
    <n v="13"/>
    <n v="853.45"/>
    <n v="1046.24"/>
    <n v="-192.78999999999996"/>
    <n v="-0.22589489718202585"/>
  </r>
  <r>
    <x v="323"/>
    <n v="1"/>
    <x v="190"/>
    <n v="202409"/>
    <n v="202301"/>
    <x v="1"/>
    <x v="31"/>
    <x v="29"/>
    <x v="1"/>
    <s v="No"/>
    <n v="29"/>
    <d v="2024-10-08T00:00:00"/>
    <d v="2024-10-08T00:00:00"/>
    <x v="2"/>
    <x v="5"/>
    <s v="São Paulo"/>
    <s v="Education"/>
    <x v="4"/>
    <x v="1"/>
    <x v="0"/>
    <x v="323"/>
    <n v="1010.33"/>
    <n v="2492.14"/>
    <n v="815.10700000000008"/>
    <n v="1620.05"/>
    <s v="Low"/>
    <n v="5.0999999999999997E-2"/>
    <n v="0"/>
    <n v="11"/>
    <n v="27413.539999999997"/>
    <n v="11113.630000000001"/>
    <n v="16299.909999999996"/>
    <n v="0.59459340165480257"/>
  </r>
  <r>
    <x v="324"/>
    <m/>
    <x v="238"/>
    <d v="2453-11-20T00:00:00"/>
    <d v="2453-11-16T00:00:00"/>
    <x v="0"/>
    <x v="42"/>
    <x v="15"/>
    <x v="10"/>
    <s v="No"/>
    <d v="1900-01-21T00:00:00"/>
    <d v="2023-05-29T00:00:00"/>
    <d v="2023-05-29T00:00:00"/>
    <x v="0"/>
    <x v="11"/>
    <s v="Durban"/>
    <s v="Education"/>
    <x v="3"/>
    <x v="11"/>
    <x v="6"/>
    <x v="324"/>
    <n v="653.86"/>
    <n v="931.84"/>
    <n v="815.10700000000008"/>
    <n v="1620.05"/>
    <m/>
    <n v="0.121"/>
    <n v="0"/>
    <n v="12"/>
    <n v="11182.08"/>
    <n v="7846.32"/>
    <n v="3335.76"/>
    <n v="0.29831301510989011"/>
  </r>
  <r>
    <x v="325"/>
    <n v="1"/>
    <x v="181"/>
    <n v="202401"/>
    <n v="202302"/>
    <x v="3"/>
    <x v="38"/>
    <x v="9"/>
    <x v="9"/>
    <s v="No"/>
    <n v="17"/>
    <d v="2024-01-29T00:00:00"/>
    <d v="2024-01-29T00:00:00"/>
    <x v="1"/>
    <x v="4"/>
    <s v="Hyderabad"/>
    <s v="Small Business"/>
    <x v="4"/>
    <x v="5"/>
    <x v="0"/>
    <x v="325"/>
    <n v="310.02"/>
    <n v="619.51"/>
    <n v="815.10700000000008"/>
    <n v="1620.05"/>
    <s v="Medium"/>
    <n v="4.2000000000000003E-2"/>
    <n v="0"/>
    <n v="4"/>
    <n v="2478.04"/>
    <n v="1240.08"/>
    <n v="1237.96"/>
    <n v="0.49957224257881233"/>
  </r>
  <r>
    <x v="326"/>
    <m/>
    <x v="279"/>
    <d v="2453-11-21T00:00:00"/>
    <d v="2453-11-16T00:00:00"/>
    <x v="0"/>
    <x v="25"/>
    <x v="23"/>
    <x v="1"/>
    <s v="No"/>
    <d v="1900-01-07T00:00:00"/>
    <d v="2023-06-18T00:00:00"/>
    <d v="2023-06-18T00:00:00"/>
    <x v="0"/>
    <x v="0"/>
    <s v="Nakuru"/>
    <s v="Enterprise"/>
    <x v="4"/>
    <x v="10"/>
    <x v="3"/>
    <x v="326"/>
    <n v="894.23"/>
    <n v="1421.55"/>
    <n v="815.10700000000008"/>
    <n v="1620.05"/>
    <m/>
    <n v="0.109"/>
    <n v="0"/>
    <n v="3"/>
    <n v="4264.6499999999996"/>
    <n v="2682.69"/>
    <n v="1581.9599999999996"/>
    <n v="0.37094720551510668"/>
  </r>
  <r>
    <x v="327"/>
    <n v="1"/>
    <x v="280"/>
    <n v="202505"/>
    <n v="202301"/>
    <x v="1"/>
    <x v="8"/>
    <x v="8"/>
    <x v="9"/>
    <s v="Yes"/>
    <n v="0"/>
    <d v="2025-05-19T00:00:00"/>
    <d v="2025-05-17T00:00:00"/>
    <x v="2"/>
    <x v="5"/>
    <s v="São Paulo"/>
    <s v="Small Business"/>
    <x v="3"/>
    <x v="4"/>
    <x v="5"/>
    <x v="327"/>
    <n v="383.77"/>
    <n v="952.56"/>
    <n v="815.10700000000008"/>
    <n v="1620.05"/>
    <s v="Medium"/>
    <n v="0.34599999999999997"/>
    <n v="1"/>
    <n v="10"/>
    <n v="9525.5999999999985"/>
    <n v="3837.7"/>
    <n v="5687.8999999999987"/>
    <n v="0.59711724195851179"/>
  </r>
  <r>
    <x v="328"/>
    <n v="1"/>
    <x v="281"/>
    <n v="202310"/>
    <n v="202301"/>
    <x v="1"/>
    <x v="61"/>
    <x v="32"/>
    <x v="7"/>
    <s v="No"/>
    <n v="25"/>
    <d v="2023-11-16T00:00:00"/>
    <d v="2023-11-16T00:00:00"/>
    <x v="2"/>
    <x v="3"/>
    <s v="Toronto"/>
    <s v="Small Business"/>
    <x v="2"/>
    <x v="2"/>
    <x v="4"/>
    <x v="328"/>
    <n v="1373.31"/>
    <n v="3154.14"/>
    <n v="815.10700000000008"/>
    <n v="1620.05"/>
    <s v="Medium"/>
    <n v="0.2"/>
    <n v="0"/>
    <n v="11"/>
    <n v="34695.54"/>
    <n v="15106.41"/>
    <n v="19589.13"/>
    <n v="0.56460081036352228"/>
  </r>
  <r>
    <x v="329"/>
    <m/>
    <x v="282"/>
    <d v="2454-06-04T00:00:00"/>
    <d v="2453-11-16T00:00:00"/>
    <x v="0"/>
    <x v="33"/>
    <x v="10"/>
    <x v="5"/>
    <s v="No"/>
    <d v="1900-01-11T00:00:00"/>
    <d v="2025-01-23T00:00:00"/>
    <d v="2025-01-23T00:00:00"/>
    <x v="2"/>
    <x v="10"/>
    <s v="Austin"/>
    <s v="Consumer"/>
    <x v="3"/>
    <x v="10"/>
    <x v="3"/>
    <x v="329"/>
    <n v="100.69"/>
    <n v="226.14"/>
    <n v="815.10700000000008"/>
    <n v="1620.05"/>
    <m/>
    <n v="6.5000000000000002E-2"/>
    <n v="0"/>
    <n v="12"/>
    <n v="2713.68"/>
    <n v="1208.28"/>
    <n v="1505.3999999999999"/>
    <n v="0.55474484832404702"/>
  </r>
  <r>
    <x v="330"/>
    <n v="1"/>
    <x v="283"/>
    <n v="202509"/>
    <n v="202301"/>
    <x v="1"/>
    <x v="11"/>
    <x v="11"/>
    <x v="4"/>
    <s v="No"/>
    <n v="12"/>
    <d v="2025-09-26T00:00:00"/>
    <d v="2025-09-26T00:00:00"/>
    <x v="3"/>
    <x v="8"/>
    <s v="London"/>
    <s v="Small Business"/>
    <x v="4"/>
    <x v="13"/>
    <x v="2"/>
    <x v="330"/>
    <n v="425.15"/>
    <n v="885.92"/>
    <n v="815.10700000000008"/>
    <n v="1620.05"/>
    <s v="Low"/>
    <n v="0.23899999999999999"/>
    <n v="1"/>
    <n v="13"/>
    <n v="11516.96"/>
    <n v="5526.95"/>
    <n v="5990.0099999999993"/>
    <n v="0.52010339534043704"/>
  </r>
  <r>
    <x v="331"/>
    <n v="1"/>
    <x v="52"/>
    <n v="202308"/>
    <n v="202302"/>
    <x v="3"/>
    <x v="57"/>
    <x v="25"/>
    <x v="8"/>
    <s v="Yes"/>
    <n v="4"/>
    <d v="2023-09-03T00:00:00"/>
    <d v="2023-09-03T00:00:00"/>
    <x v="1"/>
    <x v="4"/>
    <s v="Delhi"/>
    <s v="Small Business"/>
    <x v="2"/>
    <x v="4"/>
    <x v="6"/>
    <x v="331"/>
    <n v="1082.25"/>
    <n v="2433.34"/>
    <n v="815.10700000000008"/>
    <n v="1620.05"/>
    <s v="Medium"/>
    <n v="0.27"/>
    <n v="1"/>
    <n v="4"/>
    <n v="9733.36"/>
    <n v="4329"/>
    <n v="5404.3600000000006"/>
    <n v="0.55524094454535744"/>
  </r>
  <r>
    <x v="332"/>
    <n v="1"/>
    <x v="284"/>
    <n v="202311"/>
    <n v="202301"/>
    <x v="1"/>
    <x v="63"/>
    <x v="30"/>
    <x v="11"/>
    <s v="No"/>
    <n v="21"/>
    <d v="2023-12-06T00:00:00"/>
    <d v="2023-12-06T00:00:00"/>
    <x v="3"/>
    <x v="8"/>
    <s v="Manchester"/>
    <s v="Education"/>
    <x v="4"/>
    <x v="10"/>
    <x v="6"/>
    <x v="332"/>
    <n v="1184.99"/>
    <n v="1154.3399999999999"/>
    <n v="815.10700000000008"/>
    <n v="1620.05"/>
    <s v="High"/>
    <n v="2.8000000000000001E-2"/>
    <n v="0"/>
    <n v="5"/>
    <n v="5771.7"/>
    <n v="5924.95"/>
    <n v="-153.25"/>
    <n v="-2.6551969090562573E-2"/>
  </r>
  <r>
    <x v="333"/>
    <n v="1"/>
    <x v="60"/>
    <n v="202504"/>
    <n v="202302"/>
    <x v="3"/>
    <x v="3"/>
    <x v="19"/>
    <x v="5"/>
    <s v="No"/>
    <n v="30"/>
    <d v="2025-05-27T00:00:00"/>
    <d v="2025-05-27T00:00:00"/>
    <x v="1"/>
    <x v="4"/>
    <s v="Bengaluru"/>
    <s v="Enterprise"/>
    <x v="2"/>
    <x v="10"/>
    <x v="3"/>
    <x v="333"/>
    <n v="481.32"/>
    <n v="1135.99"/>
    <n v="815.10700000000008"/>
    <n v="1620.05"/>
    <s v="Medium"/>
    <n v="0.14499999999999999"/>
    <n v="0"/>
    <n v="5"/>
    <n v="5679.95"/>
    <n v="2406.6"/>
    <n v="3273.35"/>
    <n v="0.57629908713985156"/>
  </r>
  <r>
    <x v="334"/>
    <m/>
    <x v="285"/>
    <d v="2454-02-27T00:00:00"/>
    <d v="2453-11-16T00:00:00"/>
    <x v="0"/>
    <x v="40"/>
    <x v="20"/>
    <x v="7"/>
    <s v="No"/>
    <d v="1900-01-08T00:00:00"/>
    <d v="2024-04-18T00:00:00"/>
    <d v="2024-04-18T00:00:00"/>
    <x v="3"/>
    <x v="7"/>
    <s v="Lyon"/>
    <s v="Consumer"/>
    <x v="1"/>
    <x v="6"/>
    <x v="1"/>
    <x v="334"/>
    <n v="1288.8499999999999"/>
    <n v="2751.84"/>
    <n v="815.10700000000008"/>
    <n v="1620.05"/>
    <m/>
    <n v="0.158"/>
    <n v="0"/>
    <n v="7"/>
    <n v="19262.88"/>
    <n v="9021.9499999999989"/>
    <n v="10240.930000000002"/>
    <n v="0.53164064771207642"/>
  </r>
  <r>
    <x v="335"/>
    <n v="1"/>
    <x v="286"/>
    <n v="202407"/>
    <n v="202301"/>
    <x v="1"/>
    <x v="59"/>
    <x v="14"/>
    <x v="6"/>
    <s v="No"/>
    <n v="20"/>
    <d v="2024-07-31T00:00:00"/>
    <d v="2024-07-31T00:00:00"/>
    <x v="1"/>
    <x v="9"/>
    <s v="Shenzhen"/>
    <s v="Consumer"/>
    <x v="1"/>
    <x v="3"/>
    <x v="3"/>
    <x v="335"/>
    <n v="647.26"/>
    <n v="1374.72"/>
    <n v="815.10700000000008"/>
    <n v="1620.05"/>
    <s v="High"/>
    <n v="6.6000000000000003E-2"/>
    <n v="0"/>
    <n v="22"/>
    <n v="30243.84"/>
    <n v="14239.72"/>
    <n v="16004.12"/>
    <n v="0.5291695763500931"/>
  </r>
  <r>
    <x v="336"/>
    <n v="1"/>
    <x v="142"/>
    <n v="202402"/>
    <n v="202301"/>
    <x v="1"/>
    <x v="56"/>
    <x v="31"/>
    <x v="10"/>
    <s v="No"/>
    <n v="14"/>
    <d v="2024-03-03T00:00:00"/>
    <d v="2024-03-03T00:00:00"/>
    <x v="2"/>
    <x v="5"/>
    <s v="Null"/>
    <s v="Enterprise"/>
    <x v="3"/>
    <x v="8"/>
    <x v="1"/>
    <x v="336"/>
    <n v="624.23"/>
    <n v="1318.37"/>
    <n v="815.10700000000008"/>
    <n v="1620.05"/>
    <s v="Medium"/>
    <n v="0.21"/>
    <n v="1"/>
    <n v="37"/>
    <n v="48779.689999999995"/>
    <n v="23096.510000000002"/>
    <n v="25683.179999999993"/>
    <n v="0.52651380113321744"/>
  </r>
  <r>
    <x v="337"/>
    <n v="1"/>
    <x v="287"/>
    <n v="202307"/>
    <n v="202301"/>
    <x v="1"/>
    <x v="57"/>
    <x v="24"/>
    <x v="1"/>
    <s v="No"/>
    <n v="16"/>
    <d v="2023-08-10T00:00:00"/>
    <d v="2023-08-10T00:00:00"/>
    <x v="0"/>
    <x v="1"/>
    <s v="Port Harcourt"/>
    <s v="Corporate"/>
    <x v="3"/>
    <x v="2"/>
    <x v="6"/>
    <x v="337"/>
    <n v="506.83"/>
    <n v="441.74"/>
    <n v="815.10700000000008"/>
    <n v="1620.05"/>
    <s v="Medium"/>
    <n v="0.24"/>
    <n v="1"/>
    <n v="9"/>
    <n v="3975.66"/>
    <n v="4561.47"/>
    <n v="-585.8100000000004"/>
    <n v="-0.14734911939149736"/>
  </r>
  <r>
    <x v="338"/>
    <m/>
    <x v="288"/>
    <d v="2453-11-22T00:00:00"/>
    <d v="2453-11-16T00:00:00"/>
    <x v="0"/>
    <x v="30"/>
    <x v="24"/>
    <x v="11"/>
    <s v="Yes"/>
    <d v="1900-01-06T00:00:00"/>
    <d v="2023-07-21T00:00:00"/>
    <d v="2023-07-21T00:00:00"/>
    <x v="0"/>
    <x v="11"/>
    <s v="Durban"/>
    <s v="Enterprise"/>
    <x v="2"/>
    <x v="15"/>
    <x v="5"/>
    <x v="338"/>
    <n v="620.74"/>
    <n v="1330.07"/>
    <n v="815.10700000000008"/>
    <n v="1620.05"/>
    <m/>
    <n v="0.29899999999999999"/>
    <n v="1"/>
    <n v="28"/>
    <n v="37241.96"/>
    <n v="17380.72"/>
    <n v="19861.239999999998"/>
    <n v="0.53330275850143216"/>
  </r>
  <r>
    <x v="339"/>
    <m/>
    <x v="244"/>
    <d v="2453-11-22T00:00:00"/>
    <d v="2453-11-16T00:00:00"/>
    <x v="0"/>
    <x v="30"/>
    <x v="24"/>
    <x v="11"/>
    <s v="No"/>
    <d v="1900-01-25T00:00:00"/>
    <d v="2023-08-19T00:00:00"/>
    <d v="2023-08-19T00:00:00"/>
    <x v="0"/>
    <x v="0"/>
    <s v="Nairobi"/>
    <s v="Enterprise"/>
    <x v="3"/>
    <x v="12"/>
    <x v="6"/>
    <x v="339"/>
    <n v="661.45"/>
    <n v="1634.86"/>
    <n v="815.10700000000008"/>
    <n v="1620.05"/>
    <m/>
    <n v="0.56499999999999995"/>
    <n v="1"/>
    <n v="24"/>
    <n v="39236.639999999999"/>
    <n v="15874.800000000001"/>
    <n v="23361.839999999997"/>
    <n v="0.59540878118003981"/>
  </r>
  <r>
    <x v="340"/>
    <m/>
    <x v="289"/>
    <d v="2453-11-19T00:00:00"/>
    <d v="2453-11-16T00:00:00"/>
    <x v="0"/>
    <x v="12"/>
    <x v="12"/>
    <x v="11"/>
    <s v="Yes"/>
    <d v="1899-12-30T00:00:00"/>
    <d v="2023-04-13T00:00:00"/>
    <d v="2023-04-11T00:00:00"/>
    <x v="2"/>
    <x v="10"/>
    <s v="San Francisco"/>
    <s v="Education"/>
    <x v="2"/>
    <x v="3"/>
    <x v="2"/>
    <x v="340"/>
    <n v="32.1"/>
    <n v="70.599999999999994"/>
    <n v="815.10700000000008"/>
    <n v="1620.05"/>
    <m/>
    <n v="0.28199999999999997"/>
    <n v="1"/>
    <n v="22"/>
    <n v="1553.1999999999998"/>
    <n v="706.2"/>
    <n v="846.99999999999977"/>
    <n v="0.54532577903682711"/>
  </r>
  <r>
    <x v="341"/>
    <m/>
    <x v="290"/>
    <d v="2454-03-05T00:00:00"/>
    <d v="2453-11-16T00:00:00"/>
    <x v="0"/>
    <x v="26"/>
    <x v="1"/>
    <x v="9"/>
    <s v="Yes"/>
    <d v="1900-01-05T00:00:00"/>
    <d v="2024-11-04T00:00:00"/>
    <d v="2024-11-04T00:00:00"/>
    <x v="0"/>
    <x v="0"/>
    <s v="Nairobi"/>
    <s v="Corporate"/>
    <x v="3"/>
    <x v="12"/>
    <x v="1"/>
    <x v="341"/>
    <n v="805.81"/>
    <n v="1823.04"/>
    <n v="815.10700000000008"/>
    <n v="1620.05"/>
    <m/>
    <n v="0"/>
    <n v="0"/>
    <n v="11"/>
    <n v="20053.439999999999"/>
    <n v="8863.91"/>
    <n v="11189.529999999999"/>
    <n v="0.55798556257679477"/>
  </r>
  <r>
    <x v="342"/>
    <n v="1"/>
    <x v="291"/>
    <n v="202402"/>
    <n v="202302"/>
    <x v="3"/>
    <x v="65"/>
    <x v="31"/>
    <x v="2"/>
    <s v="No"/>
    <n v="16"/>
    <d v="2024-03-04T00:00:00"/>
    <d v="2024-03-04T00:00:00"/>
    <x v="1"/>
    <x v="4"/>
    <s v="Delhi"/>
    <s v="Small Business"/>
    <x v="2"/>
    <x v="9"/>
    <x v="3"/>
    <x v="342"/>
    <n v="1231.8"/>
    <n v="2015.99"/>
    <n v="815.10700000000008"/>
    <n v="1620.05"/>
    <s v="High"/>
    <n v="0.26100000000000001"/>
    <n v="1"/>
    <n v="6"/>
    <n v="12095.94"/>
    <n v="7390.7999999999993"/>
    <n v="4705.1400000000012"/>
    <n v="0.38898506441004183"/>
  </r>
  <r>
    <x v="343"/>
    <m/>
    <x v="292"/>
    <d v="2454-03-02T00:00:00"/>
    <d v="2453-11-18T00:00:00"/>
    <x v="2"/>
    <x v="19"/>
    <x v="14"/>
    <x v="1"/>
    <s v="Yes"/>
    <d v="1899-12-30T00:00:00"/>
    <d v="2024-07-13T00:00:00"/>
    <d v="2024-07-12T00:00:00"/>
    <x v="1"/>
    <x v="2"/>
    <s v="Nagoya"/>
    <s v="Small Business"/>
    <x v="2"/>
    <x v="9"/>
    <x v="2"/>
    <x v="343"/>
    <n v="105.13"/>
    <n v="244.13"/>
    <n v="815.10700000000008"/>
    <n v="1620.05"/>
    <m/>
    <n v="7.0999999999999994E-2"/>
    <n v="0"/>
    <n v="14"/>
    <n v="3417.8199999999997"/>
    <n v="1471.82"/>
    <n v="1945.9999999999998"/>
    <n v="0.56936877892925897"/>
  </r>
  <r>
    <x v="344"/>
    <m/>
    <x v="293"/>
    <d v="2453-11-27T00:00:00"/>
    <d v="2453-11-18T00:00:00"/>
    <x v="2"/>
    <x v="4"/>
    <x v="4"/>
    <x v="10"/>
    <s v="No"/>
    <d v="1900-01-16T00:00:00"/>
    <d v="2023-12-18T00:00:00"/>
    <d v="2023-12-18T00:00:00"/>
    <x v="1"/>
    <x v="2"/>
    <s v="Nagoya"/>
    <s v="Small Business"/>
    <x v="4"/>
    <x v="13"/>
    <x v="4"/>
    <x v="344"/>
    <n v="1495.79"/>
    <n v="2783.12"/>
    <n v="815.10700000000008"/>
    <n v="1620.05"/>
    <m/>
    <n v="0.02"/>
    <n v="0"/>
    <n v="5"/>
    <n v="13915.599999999999"/>
    <n v="7478.95"/>
    <n v="6436.6499999999987"/>
    <n v="0.4625492253298456"/>
  </r>
  <r>
    <x v="345"/>
    <n v="1"/>
    <x v="19"/>
    <n v="202407"/>
    <n v="202301"/>
    <x v="1"/>
    <x v="59"/>
    <x v="14"/>
    <x v="5"/>
    <s v="No"/>
    <n v="8"/>
    <d v="2024-08-02T00:00:00"/>
    <d v="2024-08-02T00:00:00"/>
    <x v="2"/>
    <x v="3"/>
    <s v="Montreal"/>
    <s v="Consumer"/>
    <x v="4"/>
    <x v="1"/>
    <x v="6"/>
    <x v="345"/>
    <n v="986.81"/>
    <n v="2050.31"/>
    <n v="815.10700000000008"/>
    <n v="1620.05"/>
    <s v="High"/>
    <n v="0.10299999999999999"/>
    <n v="0"/>
    <n v="43"/>
    <n v="88163.33"/>
    <n v="42432.829999999994"/>
    <n v="45730.500000000007"/>
    <n v="0.51870204993391256"/>
  </r>
  <r>
    <x v="346"/>
    <n v="1"/>
    <x v="176"/>
    <n v="202305"/>
    <n v="202301"/>
    <x v="1"/>
    <x v="17"/>
    <x v="15"/>
    <x v="10"/>
    <s v="No"/>
    <n v="12"/>
    <d v="2023-05-16T00:00:00"/>
    <d v="2023-05-16T00:00:00"/>
    <x v="0"/>
    <x v="1"/>
    <s v="Abuja"/>
    <s v="Small Business"/>
    <x v="2"/>
    <x v="1"/>
    <x v="3"/>
    <x v="346"/>
    <n v="77.739999999999995"/>
    <n v="147.12"/>
    <n v="815.10700000000008"/>
    <n v="1620.05"/>
    <s v="High"/>
    <n v="0"/>
    <n v="0"/>
    <n v="15"/>
    <n v="2206.8000000000002"/>
    <n v="1166.0999999999999"/>
    <n v="1040.7000000000003"/>
    <n v="0.47158781946710177"/>
  </r>
  <r>
    <x v="347"/>
    <n v="1"/>
    <x v="294"/>
    <n v="202312"/>
    <n v="202301"/>
    <x v="1"/>
    <x v="38"/>
    <x v="4"/>
    <x v="9"/>
    <s v="No"/>
    <n v="16"/>
    <d v="2024-01-06T00:00:00"/>
    <d v="2024-01-06T00:00:00"/>
    <x v="0"/>
    <x v="1"/>
    <s v="Lagos"/>
    <s v="Corporate"/>
    <x v="2"/>
    <x v="11"/>
    <x v="0"/>
    <x v="347"/>
    <n v="932.61"/>
    <n v="1982.98"/>
    <n v="815.10700000000008"/>
    <n v="1620.05"/>
    <s v="Low"/>
    <n v="0.14399999999999999"/>
    <n v="0"/>
    <n v="16"/>
    <n v="31727.68"/>
    <n v="14921.76"/>
    <n v="16805.919999999998"/>
    <n v="0.52969268474719855"/>
  </r>
  <r>
    <x v="348"/>
    <n v="1"/>
    <x v="295"/>
    <n v="202506"/>
    <n v="202302"/>
    <x v="3"/>
    <x v="8"/>
    <x v="16"/>
    <x v="5"/>
    <s v="No"/>
    <n v="18"/>
    <d v="2025-07-05T00:00:00"/>
    <d v="2025-07-05T00:00:00"/>
    <x v="1"/>
    <x v="4"/>
    <s v="Delhi"/>
    <s v="Consumer"/>
    <x v="2"/>
    <x v="4"/>
    <x v="4"/>
    <x v="348"/>
    <n v="982.93"/>
    <n v="2299.3000000000002"/>
    <n v="815.10700000000008"/>
    <n v="1620.05"/>
    <s v="High"/>
    <n v="0.113"/>
    <n v="0"/>
    <n v="6"/>
    <n v="13795.800000000001"/>
    <n v="5897.58"/>
    <n v="7898.2200000000012"/>
    <n v="0.57250902448571306"/>
  </r>
  <r>
    <x v="349"/>
    <n v="1"/>
    <x v="29"/>
    <n v="202302"/>
    <n v="202301"/>
    <x v="1"/>
    <x v="20"/>
    <x v="2"/>
    <x v="7"/>
    <s v="No"/>
    <n v="13"/>
    <d v="2023-03-08T00:00:00"/>
    <d v="2023-03-08T00:00:00"/>
    <x v="3"/>
    <x v="8"/>
    <s v="Manchester"/>
    <s v="Small Business"/>
    <x v="4"/>
    <x v="0"/>
    <x v="1"/>
    <x v="349"/>
    <n v="307.37"/>
    <n v="462.61"/>
    <n v="815.10700000000008"/>
    <n v="1620.05"/>
    <s v="High"/>
    <n v="0.188"/>
    <n v="0"/>
    <n v="11"/>
    <n v="5088.71"/>
    <n v="3381.07"/>
    <n v="1707.6399999999999"/>
    <n v="0.33557424180194978"/>
  </r>
  <r>
    <x v="350"/>
    <m/>
    <x v="296"/>
    <d v="2453-11-27T00:00:00"/>
    <d v="2453-11-16T00:00:00"/>
    <x v="0"/>
    <x v="45"/>
    <x v="4"/>
    <x v="3"/>
    <s v="No"/>
    <d v="1900-01-13T00:00:00"/>
    <d v="2023-12-16T00:00:00"/>
    <d v="2023-12-16T00:00:00"/>
    <x v="3"/>
    <x v="6"/>
    <s v="Frankfurt"/>
    <s v="Education"/>
    <x v="4"/>
    <x v="13"/>
    <x v="5"/>
    <x v="350"/>
    <n v="879.08"/>
    <n v="1093.3900000000001"/>
    <n v="815.10700000000008"/>
    <n v="1620.05"/>
    <m/>
    <n v="0.113"/>
    <n v="0"/>
    <n v="17"/>
    <n v="18587.63"/>
    <n v="14944.36"/>
    <n v="3643.2700000000004"/>
    <n v="0.19600508510229653"/>
  </r>
  <r>
    <x v="351"/>
    <n v="1"/>
    <x v="288"/>
    <n v="202307"/>
    <n v="202301"/>
    <x v="1"/>
    <x v="57"/>
    <x v="24"/>
    <x v="5"/>
    <s v="Yes"/>
    <n v="0"/>
    <d v="2023-07-14T00:00:00"/>
    <d v="2023-07-14T00:00:00"/>
    <x v="0"/>
    <x v="1"/>
    <s v="Lagos"/>
    <s v="Education"/>
    <x v="0"/>
    <x v="2"/>
    <x v="6"/>
    <x v="351"/>
    <n v="956.38"/>
    <n v="1454.22"/>
    <n v="815.10700000000008"/>
    <n v="1620.05"/>
    <s v="Medium"/>
    <n v="3.9E-2"/>
    <n v="0"/>
    <n v="19"/>
    <n v="27630.18"/>
    <n v="18171.22"/>
    <n v="9458.9599999999991"/>
    <n v="0.34234159893276117"/>
  </r>
  <r>
    <x v="352"/>
    <m/>
    <x v="297"/>
    <d v="2454-03-03T00:00:00"/>
    <d v="2453-11-18T00:00:00"/>
    <x v="2"/>
    <x v="51"/>
    <x v="21"/>
    <x v="11"/>
    <s v="No"/>
    <d v="1900-01-11T00:00:00"/>
    <d v="2024-08-20T00:00:00"/>
    <d v="2024-08-20T00:00:00"/>
    <x v="1"/>
    <x v="2"/>
    <s v="Osaka"/>
    <s v="Small Business"/>
    <x v="0"/>
    <x v="10"/>
    <x v="2"/>
    <x v="352"/>
    <n v="1233.3599999999999"/>
    <n v="2120.4"/>
    <n v="815.10700000000008"/>
    <n v="1620.05"/>
    <m/>
    <n v="0.17899999999999999"/>
    <n v="0"/>
    <n v="20"/>
    <n v="42408"/>
    <n v="24667.199999999997"/>
    <n v="17740.800000000003"/>
    <n v="0.41833616298811555"/>
  </r>
  <r>
    <x v="353"/>
    <n v="1"/>
    <x v="298"/>
    <n v="202411"/>
    <n v="202301"/>
    <x v="1"/>
    <x v="6"/>
    <x v="18"/>
    <x v="10"/>
    <s v="No"/>
    <n v="19"/>
    <d v="2024-11-26T00:00:00"/>
    <d v="2024-11-26T00:00:00"/>
    <x v="2"/>
    <x v="5"/>
    <s v="Rio de Janeiro"/>
    <s v="Non-Profit"/>
    <x v="3"/>
    <x v="1"/>
    <x v="1"/>
    <x v="353"/>
    <n v="55.35"/>
    <n v="128.68"/>
    <n v="815.10700000000008"/>
    <n v="1620.05"/>
    <s v="High"/>
    <n v="0.128"/>
    <n v="0"/>
    <n v="10"/>
    <n v="1286.8000000000002"/>
    <n v="553.5"/>
    <n v="733.30000000000018"/>
    <n v="0.56986322660864164"/>
  </r>
  <r>
    <x v="354"/>
    <n v="1"/>
    <x v="299"/>
    <n v="202401"/>
    <n v="202301"/>
    <x v="1"/>
    <x v="65"/>
    <x v="9"/>
    <x v="2"/>
    <s v="No"/>
    <n v="26"/>
    <d v="2024-01-27T00:00:00"/>
    <d v="2024-01-27T00:00:00"/>
    <x v="3"/>
    <x v="8"/>
    <s v="Manchester"/>
    <s v="Education"/>
    <x v="3"/>
    <x v="14"/>
    <x v="6"/>
    <x v="354"/>
    <n v="657.45"/>
    <n v="1325.96"/>
    <n v="815.10700000000008"/>
    <n v="1620.05"/>
    <s v="Low"/>
    <n v="0.16700000000000001"/>
    <n v="0"/>
    <n v="21"/>
    <n v="27845.16"/>
    <n v="13806.45"/>
    <n v="14038.71"/>
    <n v="0.50417056321457654"/>
  </r>
  <r>
    <x v="355"/>
    <n v="1"/>
    <x v="300"/>
    <n v="202508"/>
    <n v="202301"/>
    <x v="1"/>
    <x v="54"/>
    <x v="28"/>
    <x v="1"/>
    <s v="No"/>
    <n v="28"/>
    <d v="2025-09-11T00:00:00"/>
    <d v="2025-09-11T00:00:00"/>
    <x v="2"/>
    <x v="5"/>
    <s v="São Paulo"/>
    <s v="Non-Profit"/>
    <x v="4"/>
    <x v="9"/>
    <x v="1"/>
    <x v="355"/>
    <n v="1203.02"/>
    <n v="2439.33"/>
    <n v="815.10700000000008"/>
    <n v="1620.05"/>
    <s v="Medium"/>
    <n v="0"/>
    <n v="0"/>
    <n v="18"/>
    <n v="43907.94"/>
    <n v="21654.36"/>
    <n v="22253.58"/>
    <n v="0.50682359500354612"/>
  </r>
  <r>
    <x v="356"/>
    <n v="1"/>
    <x v="149"/>
    <n v="202404"/>
    <n v="202301"/>
    <x v="1"/>
    <x v="23"/>
    <x v="20"/>
    <x v="8"/>
    <s v="No"/>
    <n v="18"/>
    <d v="2024-04-21T00:00:00"/>
    <d v="2024-04-21T00:00:00"/>
    <x v="2"/>
    <x v="5"/>
    <s v="Brasília"/>
    <s v="Small Business"/>
    <x v="3"/>
    <x v="5"/>
    <x v="2"/>
    <x v="356"/>
    <n v="1176.69"/>
    <n v="2201.54"/>
    <n v="815.10700000000008"/>
    <n v="1620.05"/>
    <s v="High"/>
    <n v="0.17"/>
    <n v="0"/>
    <n v="27"/>
    <n v="59441.58"/>
    <n v="31770.63"/>
    <n v="27670.95"/>
    <n v="0.46551504855691922"/>
  </r>
  <r>
    <x v="357"/>
    <n v="1"/>
    <x v="301"/>
    <n v="202411"/>
    <n v="202301"/>
    <x v="1"/>
    <x v="6"/>
    <x v="18"/>
    <x v="6"/>
    <s v="No"/>
    <n v="12"/>
    <d v="2024-12-07T00:00:00"/>
    <d v="2024-12-07T00:00:00"/>
    <x v="1"/>
    <x v="9"/>
    <s v="Shanghai"/>
    <s v="Corporate"/>
    <x v="3"/>
    <x v="8"/>
    <x v="6"/>
    <x v="357"/>
    <n v="769.9"/>
    <n v="814.36"/>
    <n v="815.10700000000008"/>
    <n v="1620.05"/>
    <s v="High"/>
    <n v="0"/>
    <n v="0"/>
    <n v="5"/>
    <n v="4071.8"/>
    <n v="3849.5"/>
    <n v="222.30000000000018"/>
    <n v="5.4595019401738831E-2"/>
  </r>
  <r>
    <x v="358"/>
    <m/>
    <x v="302"/>
    <d v="2454-02-24T00:00:00"/>
    <d v="2453-11-16T00:00:00"/>
    <x v="0"/>
    <x v="9"/>
    <x v="9"/>
    <x v="2"/>
    <s v="No"/>
    <d v="1900-01-15T00:00:00"/>
    <d v="2024-02-03T00:00:00"/>
    <d v="2024-02-03T00:00:00"/>
    <x v="0"/>
    <x v="11"/>
    <s v="Cape Town"/>
    <s v="Non-Profit"/>
    <x v="3"/>
    <x v="4"/>
    <x v="1"/>
    <x v="358"/>
    <n v="666.23"/>
    <n v="1382.91"/>
    <n v="815.10700000000008"/>
    <n v="1620.05"/>
    <m/>
    <n v="0.17599999999999999"/>
    <n v="0"/>
    <n v="13"/>
    <n v="17977.830000000002"/>
    <n v="8660.99"/>
    <n v="9316.840000000002"/>
    <n v="0.5182405217982371"/>
  </r>
  <r>
    <x v="359"/>
    <n v="1"/>
    <x v="303"/>
    <n v="202406"/>
    <n v="202301"/>
    <x v="1"/>
    <x v="21"/>
    <x v="17"/>
    <x v="1"/>
    <s v="Yes"/>
    <n v="2"/>
    <d v="2024-06-25T00:00:00"/>
    <d v="2024-06-25T00:00:00"/>
    <x v="3"/>
    <x v="8"/>
    <s v="Birmingham"/>
    <s v="Small Business"/>
    <x v="2"/>
    <x v="4"/>
    <x v="6"/>
    <x v="359"/>
    <n v="951.44"/>
    <n v="1646.43"/>
    <n v="815.10700000000008"/>
    <n v="1620.05"/>
    <s v="Medium"/>
    <n v="0.11"/>
    <n v="0"/>
    <n v="24"/>
    <n v="39514.32"/>
    <n v="22834.560000000001"/>
    <n v="16679.759999999998"/>
    <n v="0.4221193734322139"/>
  </r>
  <r>
    <x v="360"/>
    <n v="1"/>
    <x v="304"/>
    <n v="202506"/>
    <n v="202301"/>
    <x v="1"/>
    <x v="18"/>
    <x v="16"/>
    <x v="6"/>
    <s v="No"/>
    <n v="15"/>
    <d v="2025-07-10T00:00:00"/>
    <d v="2025-07-10T00:00:00"/>
    <x v="3"/>
    <x v="8"/>
    <s v="Birmingham"/>
    <s v="Non-Profit"/>
    <x v="2"/>
    <x v="14"/>
    <x v="3"/>
    <x v="360"/>
    <n v="546.83000000000004"/>
    <n v="400.84"/>
    <n v="815.10700000000008"/>
    <n v="1620.05"/>
    <s v="High"/>
    <n v="7.8E-2"/>
    <n v="0"/>
    <n v="13"/>
    <n v="5210.92"/>
    <n v="7108.7900000000009"/>
    <n v="-1897.8700000000008"/>
    <n v="-0.36421015866679984"/>
  </r>
  <r>
    <x v="361"/>
    <n v="1"/>
    <x v="305"/>
    <n v="202307"/>
    <n v="202301"/>
    <x v="1"/>
    <x v="57"/>
    <x v="24"/>
    <x v="7"/>
    <s v="Yes"/>
    <n v="7"/>
    <d v="2023-07-08T00:00:00"/>
    <d v="2023-07-08T00:00:00"/>
    <x v="0"/>
    <x v="1"/>
    <s v="Port Harcourt"/>
    <s v="Corporate"/>
    <x v="0"/>
    <x v="8"/>
    <x v="4"/>
    <x v="361"/>
    <n v="834.26"/>
    <n v="1780.56"/>
    <n v="815.10700000000008"/>
    <n v="1620.05"/>
    <s v="Low"/>
    <n v="1.4E-2"/>
    <n v="0"/>
    <n v="47"/>
    <n v="83686.319999999992"/>
    <n v="39210.22"/>
    <n v="44476.099999999991"/>
    <n v="0.53146201195129616"/>
  </r>
  <r>
    <x v="362"/>
    <n v="1"/>
    <x v="306"/>
    <n v="202403"/>
    <n v="202301"/>
    <x v="1"/>
    <x v="64"/>
    <x v="0"/>
    <x v="11"/>
    <s v="No"/>
    <n v="17"/>
    <d v="2024-03-26T00:00:00"/>
    <d v="2024-03-26T00:00:00"/>
    <x v="1"/>
    <x v="9"/>
    <s v="Shenzhen"/>
    <s v="Enterprise"/>
    <x v="1"/>
    <x v="11"/>
    <x v="5"/>
    <x v="362"/>
    <n v="1029.67"/>
    <n v="1118.43"/>
    <n v="815.10700000000008"/>
    <n v="1620.05"/>
    <s v="High"/>
    <n v="0.27200000000000002"/>
    <n v="1"/>
    <n v="9"/>
    <n v="10065.870000000001"/>
    <n v="9267.0300000000007"/>
    <n v="798.84000000000015"/>
    <n v="7.9361247462961484E-2"/>
  </r>
  <r>
    <x v="363"/>
    <n v="1"/>
    <x v="307"/>
    <n v="202306"/>
    <n v="202301"/>
    <x v="1"/>
    <x v="29"/>
    <x v="23"/>
    <x v="1"/>
    <s v="No"/>
    <n v="23"/>
    <d v="2023-06-28T00:00:00"/>
    <d v="2023-06-28T00:00:00"/>
    <x v="3"/>
    <x v="8"/>
    <s v="Birmingham"/>
    <s v="Corporate"/>
    <x v="4"/>
    <x v="11"/>
    <x v="1"/>
    <x v="363"/>
    <n v="605.82000000000005"/>
    <n v="771.12"/>
    <n v="815.10700000000008"/>
    <n v="1620.05"/>
    <s v="Medium"/>
    <n v="0.13200000000000001"/>
    <n v="0"/>
    <n v="19"/>
    <n v="14651.28"/>
    <n v="11510.580000000002"/>
    <n v="3140.6999999999989"/>
    <n v="0.21436352318705251"/>
  </r>
  <r>
    <x v="364"/>
    <m/>
    <x v="308"/>
    <d v="2454-06-06T00:00:00"/>
    <d v="2453-11-18T00:00:00"/>
    <x v="2"/>
    <x v="33"/>
    <x v="3"/>
    <x v="9"/>
    <s v="No"/>
    <d v="1900-01-18T00:00:00"/>
    <d v="2025-04-09T00:00:00"/>
    <d v="2025-04-09T00:00:00"/>
    <x v="1"/>
    <x v="2"/>
    <s v="Tokyo"/>
    <s v="Small Business"/>
    <x v="3"/>
    <x v="6"/>
    <x v="0"/>
    <x v="364"/>
    <n v="1055.45"/>
    <n v="1210.04"/>
    <n v="815.10700000000008"/>
    <n v="1620.05"/>
    <m/>
    <n v="8.9999999999999993E-3"/>
    <n v="0"/>
    <n v="18"/>
    <n v="21780.720000000001"/>
    <n v="18998.100000000002"/>
    <n v="2782.619999999999"/>
    <n v="0.12775610723612438"/>
  </r>
  <r>
    <x v="365"/>
    <m/>
    <x v="101"/>
    <d v="2454-03-01T00:00:00"/>
    <d v="2453-11-16T00:00:00"/>
    <x v="0"/>
    <x v="51"/>
    <x v="17"/>
    <x v="4"/>
    <s v="No"/>
    <d v="1900-01-12T00:00:00"/>
    <d v="2024-06-15T00:00:00"/>
    <d v="2024-06-15T00:00:00"/>
    <x v="0"/>
    <x v="0"/>
    <s v="Mombasa"/>
    <s v="Education"/>
    <x v="1"/>
    <x v="7"/>
    <x v="3"/>
    <x v="365"/>
    <n v="1295.18"/>
    <n v="3024.03"/>
    <n v="815.10700000000008"/>
    <n v="1620.05"/>
    <m/>
    <n v="0.192"/>
    <n v="0"/>
    <n v="8"/>
    <n v="24192.240000000002"/>
    <n v="10361.44"/>
    <n v="13830.800000000001"/>
    <n v="0.57170398441814396"/>
  </r>
  <r>
    <x v="366"/>
    <n v="1"/>
    <x v="309"/>
    <n v="202503"/>
    <n v="202302"/>
    <x v="3"/>
    <x v="36"/>
    <x v="3"/>
    <x v="6"/>
    <s v="No"/>
    <n v="14"/>
    <d v="2025-03-29T00:00:00"/>
    <d v="2025-03-29T00:00:00"/>
    <x v="1"/>
    <x v="4"/>
    <s v="Mumbai"/>
    <s v="Enterprise"/>
    <x v="4"/>
    <x v="0"/>
    <x v="0"/>
    <x v="366"/>
    <n v="935.83"/>
    <n v="2303.46"/>
    <n v="815.10700000000008"/>
    <n v="1620.05"/>
    <s v="High"/>
    <n v="0.105"/>
    <n v="0"/>
    <n v="9"/>
    <n v="20731.14"/>
    <n v="8422.4700000000012"/>
    <n v="12308.669999999998"/>
    <n v="0.59372856485461001"/>
  </r>
  <r>
    <x v="367"/>
    <m/>
    <x v="198"/>
    <d v="2453-11-24T00:00:00"/>
    <d v="2453-11-16T00:00:00"/>
    <x v="0"/>
    <x v="52"/>
    <x v="27"/>
    <x v="4"/>
    <s v="No"/>
    <d v="1900-01-13T00:00:00"/>
    <d v="2023-10-09T00:00:00"/>
    <d v="2023-10-09T00:00:00"/>
    <x v="2"/>
    <x v="10"/>
    <s v="New York"/>
    <s v="Small Business"/>
    <x v="2"/>
    <x v="1"/>
    <x v="4"/>
    <x v="367"/>
    <n v="1279.56"/>
    <n v="3083.8"/>
    <n v="815.10700000000008"/>
    <n v="1620.05"/>
    <m/>
    <n v="0.106"/>
    <n v="0"/>
    <n v="5"/>
    <n v="15419"/>
    <n v="6397.7999999999993"/>
    <n v="9021.2000000000007"/>
    <n v="0.5850703677281277"/>
  </r>
  <r>
    <x v="368"/>
    <n v="1"/>
    <x v="35"/>
    <n v="202506"/>
    <n v="202301"/>
    <x v="1"/>
    <x v="18"/>
    <x v="16"/>
    <x v="11"/>
    <s v="No"/>
    <n v="29"/>
    <d v="2025-07-23T00:00:00"/>
    <d v="2025-07-23T00:00:00"/>
    <x v="2"/>
    <x v="3"/>
    <s v="Vancouver"/>
    <s v="Non-Profit"/>
    <x v="2"/>
    <x v="2"/>
    <x v="1"/>
    <x v="368"/>
    <n v="255.4"/>
    <n v="322.70999999999998"/>
    <n v="815.10700000000008"/>
    <n v="1620.05"/>
    <s v="High"/>
    <n v="0.115"/>
    <n v="0"/>
    <n v="16"/>
    <n v="5163.3599999999997"/>
    <n v="4086.4"/>
    <n v="1076.9599999999996"/>
    <n v="0.20857736047844808"/>
  </r>
  <r>
    <x v="369"/>
    <m/>
    <x v="310"/>
    <d v="2453-11-27T00:00:00"/>
    <d v="2453-11-16T00:00:00"/>
    <x v="0"/>
    <x v="45"/>
    <x v="4"/>
    <x v="7"/>
    <s v="No"/>
    <d v="1900-01-07T00:00:00"/>
    <d v="2024-01-03T00:00:00"/>
    <d v="2024-01-03T00:00:00"/>
    <x v="3"/>
    <x v="7"/>
    <s v="Lyon"/>
    <s v="Small Business"/>
    <x v="0"/>
    <x v="12"/>
    <x v="4"/>
    <x v="369"/>
    <n v="492.75"/>
    <n v="731.29"/>
    <n v="815.10700000000008"/>
    <n v="1620.05"/>
    <m/>
    <n v="5.8000000000000003E-2"/>
    <n v="0"/>
    <n v="6"/>
    <n v="4387.74"/>
    <n v="2956.5"/>
    <n v="1431.2399999999998"/>
    <n v="0.32619070409823731"/>
  </r>
  <r>
    <x v="370"/>
    <m/>
    <x v="311"/>
    <d v="2453-11-17T00:00:00"/>
    <d v="2453-11-16T00:00:00"/>
    <x v="0"/>
    <x v="2"/>
    <x v="2"/>
    <x v="5"/>
    <s v="No"/>
    <d v="1900-01-22T00:00:00"/>
    <d v="2023-02-28T00:00:00"/>
    <d v="2023-02-28T00:00:00"/>
    <x v="2"/>
    <x v="10"/>
    <s v="Austin"/>
    <s v="Non-Profit"/>
    <x v="3"/>
    <x v="4"/>
    <x v="3"/>
    <x v="370"/>
    <n v="1214.49"/>
    <n v="1533.95"/>
    <n v="815.10700000000008"/>
    <n v="1620.05"/>
    <m/>
    <n v="0"/>
    <n v="0"/>
    <n v="11"/>
    <n v="16873.45"/>
    <n v="13359.39"/>
    <n v="3514.0600000000013"/>
    <n v="0.20825972163369086"/>
  </r>
  <r>
    <x v="371"/>
    <n v="1"/>
    <x v="89"/>
    <n v="202304"/>
    <n v="202301"/>
    <x v="1"/>
    <x v="39"/>
    <x v="12"/>
    <x v="3"/>
    <s v="Yes"/>
    <n v="2"/>
    <d v="2023-04-08T00:00:00"/>
    <d v="2023-04-08T00:00:00"/>
    <x v="0"/>
    <x v="1"/>
    <s v="Abuja"/>
    <s v="Small Business"/>
    <x v="2"/>
    <x v="11"/>
    <x v="5"/>
    <x v="371"/>
    <n v="720.35"/>
    <n v="1571.66"/>
    <n v="815.10700000000008"/>
    <n v="1620.05"/>
    <s v="Medium"/>
    <n v="0.107"/>
    <n v="0"/>
    <n v="23"/>
    <n v="36148.18"/>
    <n v="16568.05"/>
    <n v="19580.13"/>
    <n v="0.5416629550920683"/>
  </r>
  <r>
    <x v="372"/>
    <n v="1"/>
    <x v="253"/>
    <n v="202504"/>
    <n v="202301"/>
    <x v="1"/>
    <x v="35"/>
    <x v="19"/>
    <x v="9"/>
    <s v="Yes"/>
    <n v="6"/>
    <d v="2025-04-10T00:00:00"/>
    <d v="2025-04-10T00:00:00"/>
    <x v="3"/>
    <x v="8"/>
    <s v="Birmingham"/>
    <s v="Non-Profit"/>
    <x v="4"/>
    <x v="13"/>
    <x v="1"/>
    <x v="372"/>
    <n v="290.14"/>
    <n v="250.73"/>
    <n v="815.10700000000008"/>
    <n v="1620.05"/>
    <s v="Medium"/>
    <n v="3.4000000000000002E-2"/>
    <n v="0"/>
    <n v="17"/>
    <n v="4262.41"/>
    <n v="4932.38"/>
    <n v="-669.97000000000025"/>
    <n v="-0.1571810313883461"/>
  </r>
  <r>
    <x v="373"/>
    <m/>
    <x v="312"/>
    <d v="2454-02-28T00:00:00"/>
    <d v="2453-11-16T00:00:00"/>
    <x v="0"/>
    <x v="19"/>
    <x v="7"/>
    <x v="7"/>
    <s v="No"/>
    <d v="1900-01-09T00:00:00"/>
    <d v="2024-05-27T00:00:00"/>
    <d v="2024-05-27T00:00:00"/>
    <x v="2"/>
    <x v="10"/>
    <s v="Austin"/>
    <s v="Non-Profit"/>
    <x v="1"/>
    <x v="0"/>
    <x v="3"/>
    <x v="373"/>
    <n v="1484.23"/>
    <n v="3472.81"/>
    <n v="815.10700000000008"/>
    <n v="1620.05"/>
    <m/>
    <n v="0.25600000000000001"/>
    <n v="1"/>
    <n v="12"/>
    <n v="41673.72"/>
    <n v="17810.760000000002"/>
    <n v="23862.959999999999"/>
    <n v="0.57261410788381739"/>
  </r>
  <r>
    <x v="374"/>
    <n v="1"/>
    <x v="313"/>
    <n v="202403"/>
    <n v="202301"/>
    <x v="1"/>
    <x v="64"/>
    <x v="0"/>
    <x v="6"/>
    <s v="No"/>
    <n v="16"/>
    <d v="2024-03-19T00:00:00"/>
    <d v="2024-03-19T00:00:00"/>
    <x v="1"/>
    <x v="9"/>
    <s v="Beijing"/>
    <s v="Consumer"/>
    <x v="3"/>
    <x v="3"/>
    <x v="3"/>
    <x v="374"/>
    <n v="988.83"/>
    <n v="1206.04"/>
    <n v="815.10700000000008"/>
    <n v="1620.05"/>
    <s v="High"/>
    <n v="6.3E-2"/>
    <n v="0"/>
    <n v="34"/>
    <n v="41005.360000000001"/>
    <n v="33620.22"/>
    <n v="7385.1399999999994"/>
    <n v="0.18010182083512982"/>
  </r>
  <r>
    <x v="375"/>
    <n v="1"/>
    <x v="231"/>
    <n v="202506"/>
    <n v="202301"/>
    <x v="1"/>
    <x v="18"/>
    <x v="16"/>
    <x v="1"/>
    <s v="No"/>
    <n v="14"/>
    <d v="2025-07-11T00:00:00"/>
    <d v="2025-07-11T00:00:00"/>
    <x v="1"/>
    <x v="9"/>
    <s v="Shanghai"/>
    <s v="Small Business"/>
    <x v="2"/>
    <x v="4"/>
    <x v="2"/>
    <x v="375"/>
    <n v="1227.7"/>
    <n v="2197.23"/>
    <n v="815.10700000000008"/>
    <n v="1620.05"/>
    <s v="Medium"/>
    <n v="9.9000000000000005E-2"/>
    <n v="0"/>
    <n v="22"/>
    <n v="48339.06"/>
    <n v="27009.4"/>
    <n v="21329.659999999996"/>
    <n v="0.44125102970558377"/>
  </r>
  <r>
    <x v="376"/>
    <m/>
    <x v="314"/>
    <d v="2453-11-18T00:00:00"/>
    <d v="2453-11-16T00:00:00"/>
    <x v="0"/>
    <x v="32"/>
    <x v="22"/>
    <x v="7"/>
    <s v="No"/>
    <d v="1900-01-21T00:00:00"/>
    <d v="2023-04-04T00:00:00"/>
    <d v="2023-04-04T00:00:00"/>
    <x v="0"/>
    <x v="11"/>
    <s v="Durban"/>
    <s v="Small Business"/>
    <x v="0"/>
    <x v="8"/>
    <x v="0"/>
    <x v="376"/>
    <n v="1113.7"/>
    <n v="1620.6"/>
    <n v="815.10700000000008"/>
    <n v="1620.05"/>
    <m/>
    <n v="0.13900000000000001"/>
    <n v="0"/>
    <n v="11"/>
    <n v="17826.599999999999"/>
    <n v="12250.7"/>
    <n v="5575.8999999999978"/>
    <n v="0.31278538812785378"/>
  </r>
  <r>
    <x v="377"/>
    <m/>
    <x v="315"/>
    <d v="2454-06-04T00:00:00"/>
    <d v="2453-11-16T00:00:00"/>
    <x v="0"/>
    <x v="33"/>
    <x v="10"/>
    <x v="3"/>
    <s v="No"/>
    <d v="1900-01-12T00:00:00"/>
    <d v="2025-01-20T00:00:00"/>
    <d v="2025-01-20T00:00:00"/>
    <x v="0"/>
    <x v="11"/>
    <s v="Cape Town"/>
    <s v="Corporate"/>
    <x v="4"/>
    <x v="11"/>
    <x v="2"/>
    <x v="377"/>
    <n v="432.13"/>
    <n v="1034.6600000000001"/>
    <n v="815.10700000000008"/>
    <n v="1620.05"/>
    <m/>
    <n v="9.1999999999999998E-2"/>
    <n v="0"/>
    <n v="7"/>
    <n v="7242.6200000000008"/>
    <n v="3024.91"/>
    <n v="4217.7100000000009"/>
    <n v="0.58234589140393955"/>
  </r>
  <r>
    <x v="378"/>
    <n v="1"/>
    <x v="316"/>
    <n v="202502"/>
    <n v="202301"/>
    <x v="1"/>
    <x v="36"/>
    <x v="26"/>
    <x v="4"/>
    <s v="No"/>
    <n v="9"/>
    <d v="2025-02-15T00:00:00"/>
    <d v="2025-02-15T00:00:00"/>
    <x v="2"/>
    <x v="5"/>
    <s v="São Paulo"/>
    <s v="Non-Profit"/>
    <x v="3"/>
    <x v="9"/>
    <x v="2"/>
    <x v="378"/>
    <n v="837.39"/>
    <n v="1905.42"/>
    <n v="815.10700000000008"/>
    <n v="1620.05"/>
    <s v="Medium"/>
    <n v="3.2000000000000001E-2"/>
    <n v="0"/>
    <n v="18"/>
    <n v="34297.56"/>
    <n v="15073.02"/>
    <n v="19224.539999999997"/>
    <n v="0.56052208961803696"/>
  </r>
  <r>
    <x v="379"/>
    <n v="1"/>
    <x v="317"/>
    <n v="202501"/>
    <n v="202301"/>
    <x v="1"/>
    <x v="49"/>
    <x v="10"/>
    <x v="4"/>
    <s v="No"/>
    <n v="17"/>
    <d v="2025-02-17T00:00:00"/>
    <d v="2025-02-17T00:00:00"/>
    <x v="3"/>
    <x v="8"/>
    <s v="London"/>
    <s v="Enterprise"/>
    <x v="0"/>
    <x v="10"/>
    <x v="0"/>
    <x v="78"/>
    <n v="378.26"/>
    <n v="541.55999999999995"/>
    <n v="815.10700000000008"/>
    <n v="1620.05"/>
    <s v="High"/>
    <n v="0.16300000000000001"/>
    <n v="0"/>
    <n v="25"/>
    <n v="13538.999999999998"/>
    <n v="9456.5"/>
    <n v="4082.4999999999982"/>
    <n v="0.3015363025334219"/>
  </r>
  <r>
    <x v="380"/>
    <n v="1"/>
    <x v="83"/>
    <n v="202508"/>
    <n v="202301"/>
    <x v="1"/>
    <x v="54"/>
    <x v="28"/>
    <x v="4"/>
    <s v="No"/>
    <n v="30"/>
    <d v="2025-09-06T00:00:00"/>
    <d v="2025-09-06T00:00:00"/>
    <x v="2"/>
    <x v="3"/>
    <s v="Montreal"/>
    <s v="Education"/>
    <x v="4"/>
    <x v="12"/>
    <x v="2"/>
    <x v="379"/>
    <n v="833.73"/>
    <n v="1116.5999999999999"/>
    <n v="815.10700000000008"/>
    <n v="1620.05"/>
    <s v="Low"/>
    <n v="0.17599999999999999"/>
    <n v="0"/>
    <n v="14"/>
    <n v="15632.399999999998"/>
    <n v="11672.220000000001"/>
    <n v="3960.1799999999967"/>
    <n v="0.25333154218162263"/>
  </r>
  <r>
    <x v="381"/>
    <n v="1"/>
    <x v="318"/>
    <n v="202507"/>
    <n v="202301"/>
    <x v="1"/>
    <x v="15"/>
    <x v="13"/>
    <x v="8"/>
    <s v="No"/>
    <n v="25"/>
    <d v="2025-08-17T00:00:00"/>
    <d v="2025-08-17T00:00:00"/>
    <x v="3"/>
    <x v="8"/>
    <s v="Birmingham"/>
    <s v="Education"/>
    <x v="1"/>
    <x v="2"/>
    <x v="1"/>
    <x v="380"/>
    <n v="1142.06"/>
    <n v="1455"/>
    <n v="815.10700000000008"/>
    <n v="1620.05"/>
    <s v="Medium"/>
    <n v="7.8E-2"/>
    <n v="0"/>
    <n v="28"/>
    <n v="40740"/>
    <n v="31977.68"/>
    <n v="8762.32"/>
    <n v="0.21507903780068727"/>
  </r>
  <r>
    <x v="382"/>
    <m/>
    <x v="263"/>
    <d v="2453-11-21T00:00:00"/>
    <d v="2453-11-16T00:00:00"/>
    <x v="0"/>
    <x v="25"/>
    <x v="23"/>
    <x v="8"/>
    <s v="No"/>
    <d v="1900-01-17T00:00:00"/>
    <d v="2023-07-08T00:00:00"/>
    <d v="2023-07-08T00:00:00"/>
    <x v="2"/>
    <x v="10"/>
    <s v="New York"/>
    <s v="Consumer"/>
    <x v="2"/>
    <x v="7"/>
    <x v="2"/>
    <x v="381"/>
    <n v="1145.53"/>
    <n v="1278.3"/>
    <n v="815.10700000000008"/>
    <n v="1620.05"/>
    <m/>
    <n v="0.09"/>
    <n v="0"/>
    <n v="41"/>
    <n v="52410.299999999996"/>
    <n v="46966.729999999996"/>
    <n v="5443.57"/>
    <n v="0.10386450754908863"/>
  </r>
  <r>
    <x v="383"/>
    <m/>
    <x v="319"/>
    <d v="2454-03-02T00:00:00"/>
    <d v="2453-11-16T00:00:00"/>
    <x v="0"/>
    <x v="16"/>
    <x v="14"/>
    <x v="9"/>
    <s v="No"/>
    <d v="1900-01-19T00:00:00"/>
    <d v="2024-08-07T00:00:00"/>
    <d v="2024-08-07T00:00:00"/>
    <x v="3"/>
    <x v="7"/>
    <s v="Marseille"/>
    <s v="Corporate"/>
    <x v="0"/>
    <x v="9"/>
    <x v="5"/>
    <x v="382"/>
    <n v="941.35"/>
    <n v="899.83"/>
    <n v="815.10700000000008"/>
    <n v="1620.05"/>
    <m/>
    <n v="5.8000000000000003E-2"/>
    <n v="0"/>
    <n v="18"/>
    <n v="16196.94"/>
    <n v="16944.3"/>
    <n v="-747.35999999999876"/>
    <n v="-4.6142049053710069E-2"/>
  </r>
  <r>
    <x v="384"/>
    <n v="1"/>
    <x v="72"/>
    <n v="202305"/>
    <n v="202302"/>
    <x v="3"/>
    <x v="39"/>
    <x v="15"/>
    <x v="10"/>
    <s v="No"/>
    <n v="30"/>
    <d v="2023-06-19T00:00:00"/>
    <d v="2023-06-19T00:00:00"/>
    <x v="1"/>
    <x v="4"/>
    <s v="Delhi"/>
    <s v="Non-Profit"/>
    <x v="2"/>
    <x v="10"/>
    <x v="4"/>
    <x v="383"/>
    <n v="1161.2"/>
    <n v="878.73"/>
    <n v="815.10700000000008"/>
    <n v="1620.05"/>
    <s v="Medium"/>
    <n v="0.19"/>
    <n v="0"/>
    <n v="31"/>
    <n v="27240.63"/>
    <n v="35997.200000000004"/>
    <n v="-8756.5700000000033"/>
    <n v="-0.32145255084041752"/>
  </r>
  <r>
    <x v="385"/>
    <n v="1"/>
    <x v="320"/>
    <n v="202505"/>
    <n v="202302"/>
    <x v="3"/>
    <x v="35"/>
    <x v="8"/>
    <x v="9"/>
    <s v="No"/>
    <n v="14"/>
    <d v="2025-05-26T00:00:00"/>
    <d v="2025-05-26T00:00:00"/>
    <x v="1"/>
    <x v="4"/>
    <s v="Hyderabad"/>
    <s v="Corporate"/>
    <x v="2"/>
    <x v="3"/>
    <x v="1"/>
    <x v="384"/>
    <n v="320.12"/>
    <n v="594.41999999999996"/>
    <n v="815.10700000000008"/>
    <n v="1620.05"/>
    <s v="Medium"/>
    <n v="0.104"/>
    <n v="0"/>
    <n v="18"/>
    <n v="10699.56"/>
    <n v="5762.16"/>
    <n v="4937.3999999999996"/>
    <n v="0.46145822818882271"/>
  </r>
  <r>
    <x v="386"/>
    <n v="1"/>
    <x v="321"/>
    <n v="202405"/>
    <n v="202301"/>
    <x v="1"/>
    <x v="7"/>
    <x v="7"/>
    <x v="7"/>
    <s v="Yes"/>
    <n v="5"/>
    <d v="2024-05-12T00:00:00"/>
    <d v="2024-05-12T00:00:00"/>
    <x v="0"/>
    <x v="1"/>
    <s v="Abuja"/>
    <s v="Non-Profit"/>
    <x v="3"/>
    <x v="4"/>
    <x v="4"/>
    <x v="385"/>
    <n v="1163.99"/>
    <n v="1617.85"/>
    <n v="815.10700000000008"/>
    <n v="1620.05"/>
    <s v="Low"/>
    <n v="0.127"/>
    <n v="0"/>
    <n v="14"/>
    <n v="22649.899999999998"/>
    <n v="16295.86"/>
    <n v="6354.0399999999972"/>
    <n v="0.28053280588435259"/>
  </r>
  <r>
    <x v="387"/>
    <n v="1"/>
    <x v="322"/>
    <n v="202309"/>
    <n v="202301"/>
    <x v="1"/>
    <x v="60"/>
    <x v="27"/>
    <x v="6"/>
    <s v="Yes"/>
    <n v="3"/>
    <d v="2023-10-03T00:00:00"/>
    <d v="2023-10-03T00:00:00"/>
    <x v="1"/>
    <x v="9"/>
    <s v="Beijing"/>
    <s v="Non-Profit"/>
    <x v="0"/>
    <x v="1"/>
    <x v="4"/>
    <x v="386"/>
    <n v="1019.36"/>
    <n v="972.91"/>
    <n v="815.10700000000008"/>
    <n v="1620.05"/>
    <s v="Medium"/>
    <n v="0.14699999999999999"/>
    <n v="0"/>
    <n v="17"/>
    <n v="16539.47"/>
    <n v="17329.12"/>
    <n v="-789.64999999999782"/>
    <n v="-4.7743367834640275E-2"/>
  </r>
  <r>
    <x v="388"/>
    <m/>
    <x v="323"/>
    <d v="2453-11-25T00:00:00"/>
    <d v="2453-11-16T00:00:00"/>
    <x v="0"/>
    <x v="4"/>
    <x v="32"/>
    <x v="11"/>
    <s v="No"/>
    <d v="1900-01-09T00:00:00"/>
    <d v="2023-11-05T00:00:00"/>
    <d v="2023-11-05T00:00:00"/>
    <x v="0"/>
    <x v="11"/>
    <s v="Cape Town"/>
    <s v="Non-Profit"/>
    <x v="1"/>
    <x v="2"/>
    <x v="4"/>
    <x v="387"/>
    <n v="20.38"/>
    <n v="42.56"/>
    <n v="815.10700000000008"/>
    <n v="1620.05"/>
    <m/>
    <n v="7.1999999999999995E-2"/>
    <n v="0"/>
    <n v="11"/>
    <n v="468.16"/>
    <n v="224.17999999999998"/>
    <n v="243.98000000000005"/>
    <n v="0.52114661654135341"/>
  </r>
  <r>
    <x v="389"/>
    <m/>
    <x v="324"/>
    <d v="2454-06-09T00:00:00"/>
    <d v="2453-11-16T00:00:00"/>
    <x v="0"/>
    <x v="37"/>
    <x v="16"/>
    <x v="5"/>
    <s v="No"/>
    <d v="1900-01-14T00:00:00"/>
    <d v="2025-06-30T00:00:00"/>
    <d v="2025-06-30T00:00:00"/>
    <x v="0"/>
    <x v="11"/>
    <s v="Johannesburg"/>
    <s v="Small Business"/>
    <x v="4"/>
    <x v="0"/>
    <x v="5"/>
    <x v="388"/>
    <n v="1487.59"/>
    <n v="1480.83"/>
    <n v="815.10700000000008"/>
    <n v="1620.05"/>
    <m/>
    <n v="8.9999999999999993E-3"/>
    <n v="0"/>
    <n v="11"/>
    <n v="16289.13"/>
    <n v="16363.49"/>
    <n v="-74.360000000000582"/>
    <n v="-4.5650074620314646E-3"/>
  </r>
  <r>
    <x v="390"/>
    <m/>
    <x v="325"/>
    <d v="2454-03-03T00:00:00"/>
    <d v="2453-11-16T00:00:00"/>
    <x v="0"/>
    <x v="24"/>
    <x v="21"/>
    <x v="7"/>
    <s v="No"/>
    <d v="1900-01-27T00:00:00"/>
    <d v="2024-09-07T00:00:00"/>
    <d v="2024-09-07T00:00:00"/>
    <x v="3"/>
    <x v="7"/>
    <s v="Marseille"/>
    <s v="Non-Profit"/>
    <x v="4"/>
    <x v="9"/>
    <x v="1"/>
    <x v="389"/>
    <n v="229.96"/>
    <n v="564.26"/>
    <n v="815.10700000000008"/>
    <n v="1620.05"/>
    <m/>
    <n v="0.105"/>
    <n v="0"/>
    <n v="5"/>
    <n v="2821.3"/>
    <n v="1149.8"/>
    <n v="1671.5000000000002"/>
    <n v="0.59245737780455821"/>
  </r>
  <r>
    <x v="391"/>
    <n v="1"/>
    <x v="326"/>
    <n v="202310"/>
    <n v="202301"/>
    <x v="1"/>
    <x v="61"/>
    <x v="32"/>
    <x v="10"/>
    <s v="No"/>
    <n v="17"/>
    <d v="2023-10-26T00:00:00"/>
    <d v="2023-10-26T00:00:00"/>
    <x v="1"/>
    <x v="9"/>
    <s v="Shanghai"/>
    <s v="Consumer"/>
    <x v="2"/>
    <x v="0"/>
    <x v="0"/>
    <x v="390"/>
    <n v="1132.03"/>
    <n v="2137.21"/>
    <n v="815.10700000000008"/>
    <n v="1620.05"/>
    <s v="Low"/>
    <n v="0.35699999999999998"/>
    <n v="1"/>
    <n v="35"/>
    <n v="74802.350000000006"/>
    <n v="39621.049999999996"/>
    <n v="35181.30000000001"/>
    <n v="0.47032345908918649"/>
  </r>
  <r>
    <x v="392"/>
    <m/>
    <x v="306"/>
    <d v="2454-02-26T00:00:00"/>
    <d v="2453-11-16T00:00:00"/>
    <x v="0"/>
    <x v="0"/>
    <x v="0"/>
    <x v="5"/>
    <s v="No"/>
    <d v="1900-01-16T00:00:00"/>
    <d v="2024-03-26T00:00:00"/>
    <d v="2024-03-26T00:00:00"/>
    <x v="2"/>
    <x v="10"/>
    <s v="San Francisco"/>
    <s v="Education"/>
    <x v="4"/>
    <x v="2"/>
    <x v="3"/>
    <x v="391"/>
    <n v="1137.4100000000001"/>
    <n v="1680.93"/>
    <n v="815.10700000000008"/>
    <n v="1620.05"/>
    <m/>
    <n v="0.254"/>
    <n v="1"/>
    <n v="9"/>
    <n v="15128.37"/>
    <n v="10236.69"/>
    <n v="4891.68"/>
    <n v="0.32334481507260859"/>
  </r>
  <r>
    <x v="393"/>
    <n v="1"/>
    <x v="327"/>
    <n v="202305"/>
    <n v="202301"/>
    <x v="1"/>
    <x v="17"/>
    <x v="15"/>
    <x v="1"/>
    <s v="No"/>
    <n v="22"/>
    <d v="2023-06-20T00:00:00"/>
    <d v="2023-06-20T00:00:00"/>
    <x v="3"/>
    <x v="8"/>
    <s v="London"/>
    <s v="Small Business"/>
    <x v="4"/>
    <x v="11"/>
    <x v="0"/>
    <x v="392"/>
    <n v="1295.3900000000001"/>
    <n v="2905.06"/>
    <n v="815.10700000000008"/>
    <n v="1620.05"/>
    <s v="High"/>
    <n v="0.14799999999999999"/>
    <n v="0"/>
    <n v="8"/>
    <n v="23240.48"/>
    <n v="10363.120000000001"/>
    <n v="12877.359999999999"/>
    <n v="0.55409182598638229"/>
  </r>
  <r>
    <x v="394"/>
    <m/>
    <x v="328"/>
    <d v="2454-06-08T00:00:00"/>
    <d v="2453-11-18T00:00:00"/>
    <x v="2"/>
    <x v="50"/>
    <x v="8"/>
    <x v="9"/>
    <s v="No"/>
    <d v="1900-01-11T00:00:00"/>
    <d v="2025-06-08T00:00:00"/>
    <d v="2025-06-08T00:00:00"/>
    <x v="1"/>
    <x v="2"/>
    <s v="Osaka"/>
    <s v="Corporate"/>
    <x v="0"/>
    <x v="10"/>
    <x v="6"/>
    <x v="393"/>
    <n v="653.6"/>
    <n v="842.09"/>
    <n v="815.10700000000008"/>
    <n v="1620.05"/>
    <m/>
    <n v="9.8000000000000004E-2"/>
    <n v="0"/>
    <n v="19"/>
    <n v="15999.710000000001"/>
    <n v="12418.4"/>
    <n v="3581.3100000000013"/>
    <n v="0.22383593202626806"/>
  </r>
  <r>
    <x v="395"/>
    <m/>
    <x v="164"/>
    <d v="2454-06-11T00:00:00"/>
    <d v="2453-11-16T00:00:00"/>
    <x v="0"/>
    <x v="46"/>
    <x v="28"/>
    <x v="7"/>
    <s v="No"/>
    <d v="1900-01-23T00:00:00"/>
    <d v="2025-09-14T00:00:00"/>
    <d v="2025-09-14T00:00:00"/>
    <x v="3"/>
    <x v="6"/>
    <s v="Berlin"/>
    <s v="Non-Profit"/>
    <x v="1"/>
    <x v="8"/>
    <x v="5"/>
    <x v="394"/>
    <n v="1397.67"/>
    <n v="3131.37"/>
    <n v="815.10700000000008"/>
    <n v="1620.05"/>
    <m/>
    <n v="0.10299999999999999"/>
    <n v="0"/>
    <n v="20"/>
    <n v="62627.399999999994"/>
    <n v="27953.4"/>
    <n v="34673.999999999993"/>
    <n v="0.55365542877398699"/>
  </r>
  <r>
    <x v="396"/>
    <m/>
    <x v="329"/>
    <d v="2454-03-07T00:00:00"/>
    <d v="2453-11-18T00:00:00"/>
    <x v="2"/>
    <x v="26"/>
    <x v="6"/>
    <x v="8"/>
    <s v="No"/>
    <d v="1900-01-07T00:00:00"/>
    <d v="2024-12-20T00:00:00"/>
    <d v="2024-12-20T00:00:00"/>
    <x v="1"/>
    <x v="2"/>
    <s v="Tokyo"/>
    <s v="Corporate"/>
    <x v="0"/>
    <x v="5"/>
    <x v="4"/>
    <x v="395"/>
    <n v="1202.47"/>
    <n v="1444.72"/>
    <n v="815.10700000000008"/>
    <n v="1620.05"/>
    <m/>
    <n v="0.24099999999999999"/>
    <n v="1"/>
    <n v="17"/>
    <n v="24560.240000000002"/>
    <n v="20441.990000000002"/>
    <n v="4118.25"/>
    <n v="0.16767955036270002"/>
  </r>
  <r>
    <x v="397"/>
    <m/>
    <x v="283"/>
    <d v="2454-06-12T00:00:00"/>
    <d v="2453-11-16T00:00:00"/>
    <x v="0"/>
    <x v="48"/>
    <x v="11"/>
    <x v="2"/>
    <s v="No"/>
    <d v="1900-01-08T00:00:00"/>
    <d v="2025-09-23T00:00:00"/>
    <d v="2025-09-23T00:00:00"/>
    <x v="0"/>
    <x v="11"/>
    <s v="Durban"/>
    <s v="Non-Profit"/>
    <x v="1"/>
    <x v="14"/>
    <x v="0"/>
    <x v="396"/>
    <n v="1310.3"/>
    <n v="2875.8"/>
    <n v="815.10700000000008"/>
    <n v="1620.05"/>
    <m/>
    <n v="8.3000000000000004E-2"/>
    <n v="0"/>
    <n v="5"/>
    <n v="14379"/>
    <n v="6551.5"/>
    <n v="7827.5"/>
    <n v="0.54437026218791296"/>
  </r>
  <r>
    <x v="398"/>
    <m/>
    <x v="330"/>
    <d v="2454-03-04T00:00:00"/>
    <d v="2453-11-16T00:00:00"/>
    <x v="0"/>
    <x v="62"/>
    <x v="29"/>
    <x v="8"/>
    <s v="No"/>
    <d v="1900-01-27T00:00:00"/>
    <d v="2024-10-04T00:00:00"/>
    <d v="2024-10-04T00:00:00"/>
    <x v="0"/>
    <x v="11"/>
    <s v="Cape Town"/>
    <s v="Corporate"/>
    <x v="2"/>
    <x v="14"/>
    <x v="5"/>
    <x v="397"/>
    <n v="1174.17"/>
    <n v="1641.61"/>
    <n v="815.10700000000008"/>
    <n v="1620.05"/>
    <m/>
    <n v="0.122"/>
    <n v="0"/>
    <n v="9"/>
    <n v="14774.49"/>
    <n v="10567.53"/>
    <n v="4206.9599999999991"/>
    <n v="0.28474485413709705"/>
  </r>
  <r>
    <x v="399"/>
    <m/>
    <x v="331"/>
    <d v="2454-06-07T00:00:00"/>
    <d v="2453-11-16T00:00:00"/>
    <x v="0"/>
    <x v="22"/>
    <x v="19"/>
    <x v="10"/>
    <s v="No"/>
    <d v="1900-01-17T00:00:00"/>
    <d v="2025-04-30T00:00:00"/>
    <d v="2025-04-30T00:00:00"/>
    <x v="0"/>
    <x v="0"/>
    <s v="Kisumu"/>
    <s v="Corporate"/>
    <x v="2"/>
    <x v="9"/>
    <x v="2"/>
    <x v="398"/>
    <n v="1119.04"/>
    <n v="1299.02"/>
    <n v="815.10700000000008"/>
    <n v="1620.05"/>
    <m/>
    <n v="2.5000000000000001E-2"/>
    <n v="0"/>
    <n v="14"/>
    <n v="18186.28"/>
    <n v="15666.56"/>
    <n v="2519.7199999999993"/>
    <n v="0.13855059968283781"/>
  </r>
  <r>
    <x v="400"/>
    <m/>
    <x v="174"/>
    <d v="2454-03-03T00:00:00"/>
    <d v="2453-11-16T00:00:00"/>
    <x v="0"/>
    <x v="24"/>
    <x v="21"/>
    <x v="7"/>
    <s v="Yes"/>
    <d v="1900-01-02T00:00:00"/>
    <d v="2024-08-15T00:00:00"/>
    <d v="2024-08-15T00:00:00"/>
    <x v="2"/>
    <x v="10"/>
    <s v="Chicago"/>
    <s v="Corporate"/>
    <x v="2"/>
    <x v="14"/>
    <x v="1"/>
    <x v="399"/>
    <n v="850.7"/>
    <n v="1118.56"/>
    <n v="815.10700000000008"/>
    <n v="1620.05"/>
    <m/>
    <n v="0.18"/>
    <n v="0"/>
    <n v="19"/>
    <n v="21252.639999999999"/>
    <n v="16163.300000000001"/>
    <n v="5089.3399999999983"/>
    <n v="0.23946860248891425"/>
  </r>
  <r>
    <x v="401"/>
    <n v="1"/>
    <x v="332"/>
    <n v="202411"/>
    <n v="202301"/>
    <x v="1"/>
    <x v="6"/>
    <x v="18"/>
    <x v="10"/>
    <s v="Yes"/>
    <n v="3"/>
    <d v="2024-11-08T00:00:00"/>
    <d v="2024-11-08T00:00:00"/>
    <x v="2"/>
    <x v="3"/>
    <s v="Toronto"/>
    <s v="Education"/>
    <x v="2"/>
    <x v="7"/>
    <x v="0"/>
    <x v="400"/>
    <n v="1020.4"/>
    <n v="1184.71"/>
    <n v="815.10700000000008"/>
    <n v="1620.05"/>
    <s v="Medium"/>
    <n v="0.106"/>
    <n v="0"/>
    <n v="16"/>
    <n v="18955.36"/>
    <n v="16326.4"/>
    <n v="2628.9600000000009"/>
    <n v="0.13869216939166551"/>
  </r>
  <r>
    <x v="402"/>
    <m/>
    <x v="333"/>
    <d v="2454-03-02T00:00:00"/>
    <d v="2453-11-16T00:00:00"/>
    <x v="0"/>
    <x v="16"/>
    <x v="14"/>
    <x v="2"/>
    <s v="No"/>
    <d v="1900-01-14T00:00:00"/>
    <d v="2024-08-08T00:00:00"/>
    <d v="2024-08-08T00:00:00"/>
    <x v="3"/>
    <x v="7"/>
    <s v="Marseille"/>
    <s v="Enterprise"/>
    <x v="2"/>
    <x v="10"/>
    <x v="4"/>
    <x v="401"/>
    <n v="501.5"/>
    <n v="1201.47"/>
    <n v="815.10700000000008"/>
    <n v="1620.05"/>
    <m/>
    <n v="0.126"/>
    <n v="0"/>
    <n v="5"/>
    <n v="6007.35"/>
    <n v="2507.5"/>
    <n v="3499.8500000000004"/>
    <n v="0.58259465488110396"/>
  </r>
  <r>
    <x v="403"/>
    <n v="1"/>
    <x v="334"/>
    <n v="202501"/>
    <n v="202301"/>
    <x v="1"/>
    <x v="49"/>
    <x v="10"/>
    <x v="10"/>
    <s v="No"/>
    <n v="14"/>
    <d v="2025-02-03T00:00:00"/>
    <d v="2025-02-03T00:00:00"/>
    <x v="2"/>
    <x v="5"/>
    <s v="Brasília"/>
    <s v="Enterprise"/>
    <x v="2"/>
    <x v="9"/>
    <x v="0"/>
    <x v="402"/>
    <n v="974.11"/>
    <n v="880.99"/>
    <n v="815.10700000000008"/>
    <n v="1620.05"/>
    <s v="Medium"/>
    <n v="0.111"/>
    <n v="0"/>
    <n v="10"/>
    <n v="8809.9"/>
    <n v="9741.1"/>
    <n v="-931.20000000000073"/>
    <n v="-0.10569927013927521"/>
  </r>
  <r>
    <x v="404"/>
    <n v="1"/>
    <x v="335"/>
    <n v="202303"/>
    <n v="202301"/>
    <x v="1"/>
    <x v="28"/>
    <x v="22"/>
    <x v="4"/>
    <s v="No"/>
    <n v="29"/>
    <d v="2023-04-04T00:00:00"/>
    <d v="2023-04-04T00:00:00"/>
    <x v="1"/>
    <x v="9"/>
    <s v="Beijing"/>
    <s v="Small Business"/>
    <x v="4"/>
    <x v="0"/>
    <x v="5"/>
    <x v="403"/>
    <n v="1126.29"/>
    <n v="2050.87"/>
    <n v="815.10700000000008"/>
    <n v="1620.05"/>
    <s v="Medium"/>
    <n v="6.4000000000000001E-2"/>
    <n v="0"/>
    <n v="7"/>
    <n v="14356.09"/>
    <n v="7884.03"/>
    <n v="6472.06"/>
    <n v="0.45082330913222196"/>
  </r>
  <r>
    <x v="405"/>
    <n v="1"/>
    <x v="336"/>
    <n v="202412"/>
    <n v="202302"/>
    <x v="3"/>
    <x v="6"/>
    <x v="6"/>
    <x v="3"/>
    <s v="No"/>
    <n v="25"/>
    <d v="2025-01-14T00:00:00"/>
    <d v="2025-01-14T00:00:00"/>
    <x v="1"/>
    <x v="4"/>
    <s v="Delhi"/>
    <s v="Small Business"/>
    <x v="0"/>
    <x v="12"/>
    <x v="1"/>
    <x v="404"/>
    <n v="1361.34"/>
    <n v="1737.9"/>
    <n v="815.10700000000008"/>
    <n v="1620.05"/>
    <s v="High"/>
    <n v="7.6999999999999999E-2"/>
    <n v="0"/>
    <n v="14"/>
    <n v="24330.600000000002"/>
    <n v="19058.759999999998"/>
    <n v="5271.8400000000038"/>
    <n v="0.21667529777317465"/>
  </r>
  <r>
    <x v="406"/>
    <n v="1"/>
    <x v="337"/>
    <n v="202502"/>
    <n v="202301"/>
    <x v="1"/>
    <x v="36"/>
    <x v="26"/>
    <x v="2"/>
    <s v="No"/>
    <n v="28"/>
    <d v="2025-03-21T00:00:00"/>
    <d v="2025-03-21T00:00:00"/>
    <x v="0"/>
    <x v="1"/>
    <s v="Abuja"/>
    <s v="Enterprise"/>
    <x v="2"/>
    <x v="2"/>
    <x v="3"/>
    <x v="405"/>
    <n v="1437.39"/>
    <n v="1388.31"/>
    <n v="815.10700000000008"/>
    <n v="1620.05"/>
    <s v="High"/>
    <n v="0.13800000000000001"/>
    <n v="0"/>
    <n v="18"/>
    <n v="24989.579999999998"/>
    <n v="25873.02"/>
    <n v="-883.44000000000233"/>
    <n v="-3.5352334853166897E-2"/>
  </r>
  <r>
    <x v="407"/>
    <n v="1"/>
    <x v="338"/>
    <n v="202503"/>
    <n v="202302"/>
    <x v="3"/>
    <x v="36"/>
    <x v="3"/>
    <x v="4"/>
    <s v="Yes"/>
    <n v="7"/>
    <d v="2025-03-15T00:00:00"/>
    <d v="2025-03-15T00:00:00"/>
    <x v="1"/>
    <x v="4"/>
    <s v="Null"/>
    <s v="Corporate"/>
    <x v="3"/>
    <x v="11"/>
    <x v="4"/>
    <x v="406"/>
    <n v="475.66"/>
    <n v="529.14"/>
    <n v="815.10700000000008"/>
    <n v="1620.05"/>
    <s v="Medium"/>
    <n v="0.19600000000000001"/>
    <n v="0"/>
    <n v="11"/>
    <n v="5820.54"/>
    <n v="5232.26"/>
    <n v="588.27999999999975"/>
    <n v="0.10106966020334879"/>
  </r>
  <r>
    <x v="408"/>
    <n v="1"/>
    <x v="339"/>
    <n v="202312"/>
    <n v="202301"/>
    <x v="1"/>
    <x v="38"/>
    <x v="4"/>
    <x v="4"/>
    <s v="Yes"/>
    <n v="3"/>
    <d v="2023-12-19T00:00:00"/>
    <d v="2023-12-19T00:00:00"/>
    <x v="1"/>
    <x v="9"/>
    <s v="Beijing"/>
    <s v="Education"/>
    <x v="0"/>
    <x v="8"/>
    <x v="6"/>
    <x v="407"/>
    <n v="1415.05"/>
    <n v="1972.38"/>
    <n v="815.10700000000008"/>
    <n v="1620.05"/>
    <s v="Low"/>
    <n v="0"/>
    <n v="0"/>
    <n v="12"/>
    <n v="23668.560000000001"/>
    <n v="16980.599999999999"/>
    <n v="6687.9600000000028"/>
    <n v="0.28256725377462771"/>
  </r>
  <r>
    <x v="409"/>
    <m/>
    <x v="340"/>
    <d v="2454-03-03T00:00:00"/>
    <d v="2453-11-18T00:00:00"/>
    <x v="2"/>
    <x v="51"/>
    <x v="21"/>
    <x v="5"/>
    <s v="Yes"/>
    <d v="1900-01-05T00:00:00"/>
    <d v="2024-09-05T00:00:00"/>
    <d v="2024-09-05T00:00:00"/>
    <x v="1"/>
    <x v="2"/>
    <s v="Nagoya"/>
    <s v="Education"/>
    <x v="1"/>
    <x v="13"/>
    <x v="4"/>
    <x v="408"/>
    <n v="466.16"/>
    <n v="876.81"/>
    <n v="815.10700000000008"/>
    <n v="1620.05"/>
    <m/>
    <n v="0.24099999999999999"/>
    <n v="1"/>
    <n v="8"/>
    <n v="7014.48"/>
    <n v="3729.28"/>
    <n v="3285.1999999999994"/>
    <n v="0.46834547963640921"/>
  </r>
  <r>
    <x v="410"/>
    <m/>
    <x v="22"/>
    <d v="2454-02-28T00:00:00"/>
    <d v="2453-11-16T00:00:00"/>
    <x v="0"/>
    <x v="19"/>
    <x v="7"/>
    <x v="10"/>
    <s v="Yes"/>
    <d v="1900-01-02T00:00:00"/>
    <d v="2024-05-21T00:00:00"/>
    <d v="2024-05-21T00:00:00"/>
    <x v="3"/>
    <x v="7"/>
    <s v="Marseille"/>
    <s v="Non-Profit"/>
    <x v="2"/>
    <x v="14"/>
    <x v="1"/>
    <x v="409"/>
    <n v="663.66"/>
    <n v="824.26"/>
    <n v="815.10700000000008"/>
    <n v="1620.05"/>
    <m/>
    <n v="0.23899999999999999"/>
    <n v="1"/>
    <n v="11"/>
    <n v="9066.86"/>
    <n v="7300.2599999999993"/>
    <n v="1766.6000000000013"/>
    <n v="0.19484143352825578"/>
  </r>
  <r>
    <x v="411"/>
    <m/>
    <x v="341"/>
    <d v="2453-11-18T00:00:00"/>
    <d v="2453-11-16T00:00:00"/>
    <x v="0"/>
    <x v="32"/>
    <x v="22"/>
    <x v="6"/>
    <s v="No"/>
    <d v="1900-01-19T00:00:00"/>
    <d v="2023-04-06T00:00:00"/>
    <d v="2023-04-06T00:00:00"/>
    <x v="3"/>
    <x v="6"/>
    <s v="Munich"/>
    <s v="Consumer"/>
    <x v="0"/>
    <x v="7"/>
    <x v="3"/>
    <x v="410"/>
    <n v="692.18"/>
    <n v="1159.3499999999999"/>
    <n v="815.10700000000008"/>
    <n v="1620.05"/>
    <m/>
    <n v="0.112"/>
    <n v="0"/>
    <n v="2"/>
    <n v="2318.6999999999998"/>
    <n v="1384.36"/>
    <n v="934.33999999999992"/>
    <n v="0.40295855436235822"/>
  </r>
  <r>
    <x v="412"/>
    <n v="1"/>
    <x v="342"/>
    <n v="202308"/>
    <n v="202301"/>
    <x v="1"/>
    <x v="43"/>
    <x v="25"/>
    <x v="3"/>
    <s v="No"/>
    <n v="22"/>
    <d v="2023-09-16T00:00:00"/>
    <d v="2023-09-16T00:00:00"/>
    <x v="0"/>
    <x v="1"/>
    <s v="Abuja"/>
    <s v="Corporate"/>
    <x v="2"/>
    <x v="4"/>
    <x v="3"/>
    <x v="411"/>
    <n v="1196.83"/>
    <n v="2513.5100000000002"/>
    <n v="815.10700000000008"/>
    <n v="1620.05"/>
    <s v="Medium"/>
    <n v="8.3000000000000004E-2"/>
    <n v="0"/>
    <n v="7"/>
    <n v="17594.57"/>
    <n v="8377.81"/>
    <n v="9216.76"/>
    <n v="0.52384116235861411"/>
  </r>
  <r>
    <x v="413"/>
    <n v="1"/>
    <x v="343"/>
    <n v="202406"/>
    <n v="202302"/>
    <x v="3"/>
    <x v="7"/>
    <x v="17"/>
    <x v="11"/>
    <s v="No"/>
    <n v="18"/>
    <d v="2024-06-24T00:00:00"/>
    <d v="2024-06-24T00:00:00"/>
    <x v="1"/>
    <x v="4"/>
    <s v="Bengaluru"/>
    <s v="Small Business"/>
    <x v="4"/>
    <x v="10"/>
    <x v="2"/>
    <x v="412"/>
    <n v="1253.25"/>
    <n v="3087.13"/>
    <n v="815.10700000000008"/>
    <n v="1620.05"/>
    <s v="High"/>
    <n v="7.1999999999999995E-2"/>
    <n v="0"/>
    <n v="11"/>
    <n v="33958.43"/>
    <n v="13785.75"/>
    <n v="20172.68"/>
    <n v="0.59404041941868335"/>
  </r>
  <r>
    <x v="414"/>
    <n v="1"/>
    <x v="344"/>
    <n v="202308"/>
    <n v="202301"/>
    <x v="1"/>
    <x v="43"/>
    <x v="25"/>
    <x v="6"/>
    <s v="No"/>
    <n v="15"/>
    <d v="2023-09-13T00:00:00"/>
    <d v="2023-09-13T00:00:00"/>
    <x v="2"/>
    <x v="3"/>
    <s v="Vancouver"/>
    <s v="Small Business"/>
    <x v="2"/>
    <x v="7"/>
    <x v="1"/>
    <x v="413"/>
    <n v="1287.6400000000001"/>
    <n v="2717.15"/>
    <n v="815.10700000000008"/>
    <n v="1620.05"/>
    <s v="High"/>
    <n v="3.2000000000000001E-2"/>
    <n v="0"/>
    <n v="7"/>
    <n v="19020.05"/>
    <n v="9013.4800000000014"/>
    <n v="10006.569999999998"/>
    <n v="0.5261063982481643"/>
  </r>
  <r>
    <x v="415"/>
    <n v="1"/>
    <x v="25"/>
    <n v="202411"/>
    <n v="202302"/>
    <x v="3"/>
    <x v="1"/>
    <x v="18"/>
    <x v="11"/>
    <s v="No"/>
    <n v="10"/>
    <d v="2024-12-10T00:00:00"/>
    <d v="2024-12-10T00:00:00"/>
    <x v="1"/>
    <x v="4"/>
    <s v="Hyderabad"/>
    <s v="Small Business"/>
    <x v="0"/>
    <x v="9"/>
    <x v="6"/>
    <x v="414"/>
    <n v="851.49"/>
    <n v="901.79"/>
    <n v="815.10700000000008"/>
    <n v="1620.05"/>
    <s v="High"/>
    <n v="0.245"/>
    <n v="1"/>
    <n v="16"/>
    <n v="14428.64"/>
    <n v="13623.84"/>
    <n v="804.79999999999927"/>
    <n v="5.5777952738442382E-2"/>
  </r>
  <r>
    <x v="416"/>
    <n v="1"/>
    <x v="345"/>
    <n v="202506"/>
    <n v="202302"/>
    <x v="3"/>
    <x v="8"/>
    <x v="16"/>
    <x v="2"/>
    <s v="No"/>
    <n v="9"/>
    <d v="2025-06-14T00:00:00"/>
    <d v="2025-06-14T00:00:00"/>
    <x v="1"/>
    <x v="4"/>
    <s v="Delhi"/>
    <s v="Non-Profit"/>
    <x v="0"/>
    <x v="8"/>
    <x v="6"/>
    <x v="415"/>
    <n v="618.69000000000005"/>
    <n v="796.15"/>
    <n v="815.10700000000008"/>
    <n v="1620.05"/>
    <s v="Medium"/>
    <n v="0.09"/>
    <n v="0"/>
    <n v="11"/>
    <n v="8757.65"/>
    <n v="6805.59"/>
    <n v="1952.0599999999995"/>
    <n v="0.22289769515794758"/>
  </r>
  <r>
    <x v="417"/>
    <n v="1"/>
    <x v="251"/>
    <n v="202503"/>
    <n v="202301"/>
    <x v="1"/>
    <x v="3"/>
    <x v="3"/>
    <x v="7"/>
    <s v="No"/>
    <n v="25"/>
    <d v="2025-04-08T00:00:00"/>
    <d v="2025-04-08T00:00:00"/>
    <x v="1"/>
    <x v="9"/>
    <s v="Beijing"/>
    <s v="Corporate"/>
    <x v="3"/>
    <x v="14"/>
    <x v="1"/>
    <x v="416"/>
    <n v="80.59"/>
    <n v="157.82"/>
    <n v="815.10700000000008"/>
    <n v="1620.05"/>
    <s v="Low"/>
    <n v="0.217"/>
    <n v="1"/>
    <n v="6"/>
    <n v="946.92"/>
    <n v="483.54"/>
    <n v="463.37999999999994"/>
    <n v="0.48935496134837153"/>
  </r>
  <r>
    <x v="418"/>
    <m/>
    <x v="346"/>
    <d v="2454-02-24T00:00:00"/>
    <d v="2453-11-16T00:00:00"/>
    <x v="0"/>
    <x v="9"/>
    <x v="9"/>
    <x v="4"/>
    <s v="No"/>
    <d v="1900-01-25T00:00:00"/>
    <d v="2024-02-11T00:00:00"/>
    <d v="2024-02-11T00:00:00"/>
    <x v="3"/>
    <x v="6"/>
    <s v="Frankfurt"/>
    <s v="Non-Profit"/>
    <x v="3"/>
    <x v="6"/>
    <x v="5"/>
    <x v="417"/>
    <n v="504.93"/>
    <n v="819.06"/>
    <n v="815.10700000000008"/>
    <n v="1620.05"/>
    <m/>
    <n v="0.22600000000000001"/>
    <n v="1"/>
    <n v="15"/>
    <n v="12285.9"/>
    <n v="7573.95"/>
    <n v="4711.95"/>
    <n v="0.38352501648230897"/>
  </r>
  <r>
    <x v="419"/>
    <m/>
    <x v="347"/>
    <d v="2453-11-25T00:00:00"/>
    <d v="2453-11-18T00:00:00"/>
    <x v="2"/>
    <x v="34"/>
    <x v="32"/>
    <x v="1"/>
    <s v="No"/>
    <d v="1900-01-16T00:00:00"/>
    <d v="2023-10-29T00:00:00"/>
    <d v="2023-10-29T00:00:00"/>
    <x v="1"/>
    <x v="2"/>
    <s v="Nagoya"/>
    <s v="Non-Profit"/>
    <x v="4"/>
    <x v="10"/>
    <x v="3"/>
    <x v="418"/>
    <n v="1102.19"/>
    <n v="1711.16"/>
    <n v="815.10700000000008"/>
    <n v="1620.05"/>
    <m/>
    <n v="0.151"/>
    <n v="0"/>
    <n v="10"/>
    <n v="17111.600000000002"/>
    <n v="11021.900000000001"/>
    <n v="6089.7000000000007"/>
    <n v="0.3558813904018327"/>
  </r>
  <r>
    <x v="420"/>
    <m/>
    <x v="348"/>
    <d v="2454-06-05T00:00:00"/>
    <d v="2453-11-16T00:00:00"/>
    <x v="0"/>
    <x v="47"/>
    <x v="26"/>
    <x v="5"/>
    <s v="No"/>
    <d v="1900-01-19T00:00:00"/>
    <d v="2025-03-17T00:00:00"/>
    <d v="2025-03-17T00:00:00"/>
    <x v="2"/>
    <x v="10"/>
    <s v="San Francisco"/>
    <s v="Non-Profit"/>
    <x v="2"/>
    <x v="10"/>
    <x v="3"/>
    <x v="419"/>
    <n v="1205.26"/>
    <n v="1696.35"/>
    <n v="815.10700000000008"/>
    <n v="1620.05"/>
    <m/>
    <n v="1.9E-2"/>
    <n v="0"/>
    <n v="6"/>
    <n v="10178.099999999999"/>
    <n v="7231.5599999999995"/>
    <n v="2946.5399999999991"/>
    <n v="0.2894980399092168"/>
  </r>
  <r>
    <x v="421"/>
    <n v="1"/>
    <x v="349"/>
    <n v="202507"/>
    <n v="202301"/>
    <x v="1"/>
    <x v="15"/>
    <x v="13"/>
    <x v="4"/>
    <s v="Yes"/>
    <n v="3"/>
    <d v="2025-07-06T00:00:00"/>
    <d v="2025-07-06T00:00:00"/>
    <x v="0"/>
    <x v="1"/>
    <s v="Lagos"/>
    <s v="Consumer"/>
    <x v="1"/>
    <x v="15"/>
    <x v="4"/>
    <x v="420"/>
    <n v="1313.3"/>
    <n v="2884.34"/>
    <n v="815.10700000000008"/>
    <n v="1620.05"/>
    <s v="High"/>
    <n v="0.157"/>
    <n v="0"/>
    <n v="42"/>
    <n v="121142.28"/>
    <n v="55158.6"/>
    <n v="65983.679999999993"/>
    <n v="0.54467919870750325"/>
  </r>
  <r>
    <x v="422"/>
    <n v="1"/>
    <x v="165"/>
    <n v="202509"/>
    <n v="202302"/>
    <x v="3"/>
    <x v="54"/>
    <x v="11"/>
    <x v="8"/>
    <s v="No"/>
    <n v="10"/>
    <d v="2025-09-25T00:00:00"/>
    <d v="2025-09-25T00:00:00"/>
    <x v="1"/>
    <x v="4"/>
    <s v="Delhi"/>
    <s v="Consumer"/>
    <x v="0"/>
    <x v="8"/>
    <x v="3"/>
    <x v="421"/>
    <n v="1488.91"/>
    <n v="1483.74"/>
    <n v="815.10700000000008"/>
    <n v="1620.05"/>
    <s v="High"/>
    <n v="0.16800000000000001"/>
    <n v="0"/>
    <n v="24"/>
    <n v="35609.760000000002"/>
    <n v="35733.840000000004"/>
    <n v="-124.08000000000175"/>
    <n v="-3.4844379743082161E-3"/>
  </r>
  <r>
    <x v="423"/>
    <n v="1"/>
    <x v="350"/>
    <n v="202402"/>
    <n v="202301"/>
    <x v="1"/>
    <x v="56"/>
    <x v="31"/>
    <x v="8"/>
    <s v="No"/>
    <n v="16"/>
    <d v="2024-03-06T00:00:00"/>
    <d v="2024-03-06T00:00:00"/>
    <x v="1"/>
    <x v="9"/>
    <s v="Beijing"/>
    <s v="Education"/>
    <x v="2"/>
    <x v="7"/>
    <x v="1"/>
    <x v="422"/>
    <n v="1477.84"/>
    <n v="3197.47"/>
    <n v="815.10700000000008"/>
    <n v="1620.05"/>
    <s v="Medium"/>
    <n v="0.24299999999999999"/>
    <n v="1"/>
    <n v="24"/>
    <n v="76739.28"/>
    <n v="35468.159999999996"/>
    <n v="41271.120000000003"/>
    <n v="0.53780958069974083"/>
  </r>
  <r>
    <x v="424"/>
    <n v="1"/>
    <x v="351"/>
    <n v="202402"/>
    <n v="202302"/>
    <x v="3"/>
    <x v="65"/>
    <x v="31"/>
    <x v="1"/>
    <s v="No"/>
    <n v="28"/>
    <d v="2024-03-26T00:00:00"/>
    <d v="2024-03-26T00:00:00"/>
    <x v="1"/>
    <x v="4"/>
    <s v="Mumbai"/>
    <s v="Education"/>
    <x v="2"/>
    <x v="3"/>
    <x v="4"/>
    <x v="423"/>
    <n v="1035.19"/>
    <n v="2322.6999999999998"/>
    <n v="815.10700000000008"/>
    <n v="1620.05"/>
    <s v="High"/>
    <n v="0.17299999999999999"/>
    <n v="0"/>
    <n v="8"/>
    <n v="18581.599999999999"/>
    <n v="8281.52"/>
    <n v="10300.079999999998"/>
    <n v="0.55431609764498202"/>
  </r>
  <r>
    <x v="425"/>
    <n v="1"/>
    <x v="256"/>
    <n v="202508"/>
    <n v="202301"/>
    <x v="1"/>
    <x v="54"/>
    <x v="28"/>
    <x v="1"/>
    <s v="No"/>
    <n v="8"/>
    <d v="2025-09-05T00:00:00"/>
    <d v="2025-09-05T00:00:00"/>
    <x v="0"/>
    <x v="1"/>
    <s v="Port Harcourt"/>
    <s v="Small Business"/>
    <x v="2"/>
    <x v="6"/>
    <x v="4"/>
    <x v="424"/>
    <n v="1271.0999999999999"/>
    <n v="1932.42"/>
    <n v="815.10700000000008"/>
    <n v="1620.05"/>
    <s v="High"/>
    <n v="0.25"/>
    <n v="1"/>
    <n v="21"/>
    <n v="40580.82"/>
    <n v="26693.1"/>
    <n v="13887.720000000001"/>
    <n v="0.34222374018070612"/>
  </r>
  <r>
    <x v="426"/>
    <n v="1"/>
    <x v="352"/>
    <n v="202408"/>
    <n v="202302"/>
    <x v="3"/>
    <x v="59"/>
    <x v="21"/>
    <x v="8"/>
    <s v="No"/>
    <n v="25"/>
    <d v="2024-09-12T00:00:00"/>
    <d v="2024-09-12T00:00:00"/>
    <x v="1"/>
    <x v="4"/>
    <s v="Mumbai"/>
    <s v="Consumer"/>
    <x v="2"/>
    <x v="0"/>
    <x v="3"/>
    <x v="425"/>
    <n v="1154.03"/>
    <n v="1590.36"/>
    <n v="815.10700000000008"/>
    <n v="1620.05"/>
    <s v="High"/>
    <n v="0.314"/>
    <n v="1"/>
    <n v="18"/>
    <n v="28626.48"/>
    <n v="20772.54"/>
    <n v="7853.9399999999987"/>
    <n v="0.27435926456902837"/>
  </r>
  <r>
    <x v="427"/>
    <m/>
    <x v="353"/>
    <d v="2454-02-25T00:00:00"/>
    <d v="2453-11-16T00:00:00"/>
    <x v="0"/>
    <x v="58"/>
    <x v="31"/>
    <x v="10"/>
    <s v="No"/>
    <d v="1900-01-12T00:00:00"/>
    <d v="2024-03-09T00:00:00"/>
    <d v="2024-03-09T00:00:00"/>
    <x v="3"/>
    <x v="7"/>
    <s v="Marseille"/>
    <s v="Small Business"/>
    <x v="3"/>
    <x v="6"/>
    <x v="5"/>
    <x v="426"/>
    <n v="322.44"/>
    <n v="395.61"/>
    <n v="815.10700000000008"/>
    <n v="1620.05"/>
    <m/>
    <n v="0"/>
    <n v="0"/>
    <n v="34"/>
    <n v="13450.74"/>
    <n v="10962.96"/>
    <n v="2487.7800000000007"/>
    <n v="0.18495487980586947"/>
  </r>
  <r>
    <x v="428"/>
    <n v="1"/>
    <x v="354"/>
    <n v="202505"/>
    <n v="202302"/>
    <x v="3"/>
    <x v="35"/>
    <x v="8"/>
    <x v="1"/>
    <s v="Yes"/>
    <n v="6"/>
    <d v="2025-05-13T00:00:00"/>
    <d v="2025-05-13T00:00:00"/>
    <x v="1"/>
    <x v="4"/>
    <s v="Bengaluru"/>
    <s v="Enterprise"/>
    <x v="4"/>
    <x v="1"/>
    <x v="3"/>
    <x v="427"/>
    <n v="935.98"/>
    <n v="2077.69"/>
    <n v="815.10700000000008"/>
    <n v="1620.05"/>
    <s v="Low"/>
    <n v="0.17499999999999999"/>
    <n v="0"/>
    <n v="24"/>
    <n v="49864.56"/>
    <n v="22463.52"/>
    <n v="27401.039999999997"/>
    <n v="0.54950931082115229"/>
  </r>
  <r>
    <x v="429"/>
    <m/>
    <x v="355"/>
    <d v="2454-03-06T00:00:00"/>
    <d v="2453-11-16T00:00:00"/>
    <x v="0"/>
    <x v="10"/>
    <x v="18"/>
    <x v="7"/>
    <s v="No"/>
    <d v="1900-01-10T00:00:00"/>
    <d v="2024-11-12T00:00:00"/>
    <d v="2024-11-12T00:00:00"/>
    <x v="3"/>
    <x v="6"/>
    <s v="Frankfurt"/>
    <s v="Consumer"/>
    <x v="1"/>
    <x v="5"/>
    <x v="1"/>
    <x v="428"/>
    <n v="599.84"/>
    <n v="1330.85"/>
    <n v="815.10700000000008"/>
    <n v="1620.05"/>
    <m/>
    <n v="0.115"/>
    <n v="0"/>
    <n v="11"/>
    <n v="14639.349999999999"/>
    <n v="6598.2400000000007"/>
    <n v="8041.1099999999979"/>
    <n v="0.54928053499643081"/>
  </r>
  <r>
    <x v="430"/>
    <n v="1"/>
    <x v="356"/>
    <n v="202412"/>
    <n v="202301"/>
    <x v="1"/>
    <x v="41"/>
    <x v="6"/>
    <x v="2"/>
    <s v="No"/>
    <n v="11"/>
    <d v="2025-01-08T00:00:00"/>
    <d v="2025-01-08T00:00:00"/>
    <x v="1"/>
    <x v="9"/>
    <s v="Shenzhen"/>
    <s v="Enterprise"/>
    <x v="1"/>
    <x v="11"/>
    <x v="4"/>
    <x v="429"/>
    <n v="1201.31"/>
    <n v="2764.65"/>
    <n v="815.10700000000008"/>
    <n v="1620.05"/>
    <s v="Medium"/>
    <n v="0"/>
    <n v="0"/>
    <n v="21"/>
    <n v="58057.65"/>
    <n v="25227.51"/>
    <n v="32830.14"/>
    <n v="0.56547483406579491"/>
  </r>
  <r>
    <x v="431"/>
    <n v="1"/>
    <x v="258"/>
    <n v="202310"/>
    <n v="202301"/>
    <x v="1"/>
    <x v="61"/>
    <x v="32"/>
    <x v="2"/>
    <s v="Yes"/>
    <n v="0"/>
    <d v="2023-10-21T00:00:00"/>
    <d v="2023-10-21T00:00:00"/>
    <x v="3"/>
    <x v="8"/>
    <s v="Manchester"/>
    <s v="Enterprise"/>
    <x v="3"/>
    <x v="1"/>
    <x v="5"/>
    <x v="430"/>
    <n v="384.19"/>
    <n v="278.35000000000002"/>
    <n v="815.10700000000008"/>
    <n v="1620.05"/>
    <s v="High"/>
    <n v="5.6000000000000001E-2"/>
    <n v="0"/>
    <n v="10"/>
    <n v="2783.5"/>
    <n v="3841.9"/>
    <n v="-1058.4000000000001"/>
    <n v="-0.38024070414945216"/>
  </r>
  <r>
    <x v="432"/>
    <n v="1"/>
    <x v="16"/>
    <n v="202412"/>
    <n v="202301"/>
    <x v="1"/>
    <x v="41"/>
    <x v="6"/>
    <x v="5"/>
    <s v="No"/>
    <n v="9"/>
    <d v="2024-12-19T00:00:00"/>
    <d v="2024-12-19T00:00:00"/>
    <x v="0"/>
    <x v="1"/>
    <s v="Lagos"/>
    <s v="Corporate"/>
    <x v="0"/>
    <x v="7"/>
    <x v="5"/>
    <x v="431"/>
    <n v="488.68"/>
    <n v="984.36"/>
    <n v="815.10700000000008"/>
    <n v="1620.05"/>
    <s v="Low"/>
    <n v="5.8999999999999997E-2"/>
    <n v="0"/>
    <n v="14"/>
    <n v="13781.04"/>
    <n v="6841.52"/>
    <n v="6939.52"/>
    <n v="0.50355560973627533"/>
  </r>
  <r>
    <x v="433"/>
    <n v="1"/>
    <x v="254"/>
    <n v="202409"/>
    <n v="202301"/>
    <x v="1"/>
    <x v="31"/>
    <x v="29"/>
    <x v="2"/>
    <s v="No"/>
    <n v="11"/>
    <d v="2024-09-18T00:00:00"/>
    <d v="2024-09-18T00:00:00"/>
    <x v="1"/>
    <x v="9"/>
    <s v="Beijing"/>
    <s v="Consumer"/>
    <x v="3"/>
    <x v="7"/>
    <x v="2"/>
    <x v="432"/>
    <n v="181.74"/>
    <n v="190.84"/>
    <n v="815.10700000000008"/>
    <n v="1620.05"/>
    <s v="Medium"/>
    <n v="0.214"/>
    <n v="1"/>
    <n v="13"/>
    <n v="2480.92"/>
    <n v="2362.62"/>
    <n v="118.30000000000018"/>
    <n v="4.7683923705722144E-2"/>
  </r>
  <r>
    <x v="434"/>
    <m/>
    <x v="357"/>
    <d v="2453-11-25T00:00:00"/>
    <d v="2453-11-16T00:00:00"/>
    <x v="0"/>
    <x v="4"/>
    <x v="32"/>
    <x v="10"/>
    <s v="Yes"/>
    <d v="1900-01-01T00:00:00"/>
    <d v="2023-10-20T00:00:00"/>
    <d v="2023-10-20T00:00:00"/>
    <x v="0"/>
    <x v="0"/>
    <s v="Kisumu"/>
    <s v="Consumer"/>
    <x v="0"/>
    <x v="1"/>
    <x v="3"/>
    <x v="433"/>
    <n v="774.12"/>
    <n v="908.3"/>
    <n v="815.10700000000008"/>
    <n v="1620.05"/>
    <m/>
    <n v="0"/>
    <n v="0"/>
    <n v="30"/>
    <n v="27249"/>
    <n v="23223.599999999999"/>
    <n v="4025.4000000000015"/>
    <n v="0.14772652207420461"/>
  </r>
  <r>
    <x v="435"/>
    <n v="1"/>
    <x v="358"/>
    <n v="202412"/>
    <n v="202302"/>
    <x v="3"/>
    <x v="6"/>
    <x v="6"/>
    <x v="5"/>
    <s v="No"/>
    <n v="20"/>
    <d v="2025-01-13T00:00:00"/>
    <d v="2025-01-13T00:00:00"/>
    <x v="1"/>
    <x v="4"/>
    <s v="Bengaluru"/>
    <s v="Corporate"/>
    <x v="2"/>
    <x v="14"/>
    <x v="2"/>
    <x v="434"/>
    <n v="126.15"/>
    <n v="284.23"/>
    <n v="815.10700000000008"/>
    <n v="1620.05"/>
    <s v="Medium"/>
    <n v="0.113"/>
    <n v="0"/>
    <n v="22"/>
    <n v="6253.06"/>
    <n v="2775.3"/>
    <n v="3477.76"/>
    <n v="0.55616929951095939"/>
  </r>
  <r>
    <x v="436"/>
    <m/>
    <x v="67"/>
    <d v="2453-11-19T00:00:00"/>
    <d v="2453-11-18T00:00:00"/>
    <x v="2"/>
    <x v="2"/>
    <x v="12"/>
    <x v="2"/>
    <s v="Yes"/>
    <d v="1899-12-30T00:00:00"/>
    <d v="2023-04-21T00:00:00"/>
    <d v="2023-04-19T00:00:00"/>
    <x v="1"/>
    <x v="2"/>
    <s v="Nagoya"/>
    <s v="Small Business"/>
    <x v="4"/>
    <x v="12"/>
    <x v="0"/>
    <x v="435"/>
    <n v="607.04"/>
    <n v="1229.3399999999999"/>
    <n v="815.10700000000008"/>
    <n v="1620.05"/>
    <m/>
    <n v="0.14699999999999999"/>
    <n v="0"/>
    <n v="7"/>
    <n v="8605.3799999999992"/>
    <n v="4249.28"/>
    <n v="4356.0999999999995"/>
    <n v="0.50620658239380478"/>
  </r>
  <r>
    <x v="437"/>
    <m/>
    <x v="359"/>
    <d v="2453-11-27T00:00:00"/>
    <d v="2453-11-16T00:00:00"/>
    <x v="0"/>
    <x v="45"/>
    <x v="4"/>
    <x v="9"/>
    <s v="No"/>
    <d v="1900-01-08T00:00:00"/>
    <d v="2024-01-08T00:00:00"/>
    <d v="2024-01-08T00:00:00"/>
    <x v="3"/>
    <x v="7"/>
    <s v="Marseille"/>
    <s v="Consumer"/>
    <x v="2"/>
    <x v="4"/>
    <x v="6"/>
    <x v="436"/>
    <n v="861.1"/>
    <n v="1224.72"/>
    <n v="815.10700000000008"/>
    <n v="1620.05"/>
    <m/>
    <n v="0.17399999999999999"/>
    <n v="0"/>
    <n v="24"/>
    <n v="29393.279999999999"/>
    <n v="20666.400000000001"/>
    <n v="8726.8799999999974"/>
    <n v="0.29690051603631845"/>
  </r>
  <r>
    <x v="438"/>
    <m/>
    <x v="360"/>
    <d v="2453-11-17T00:00:00"/>
    <d v="2453-11-16T00:00:00"/>
    <x v="0"/>
    <x v="2"/>
    <x v="2"/>
    <x v="5"/>
    <s v="No"/>
    <d v="1900-01-18T00:00:00"/>
    <d v="2023-03-12T00:00:00"/>
    <d v="2023-03-12T00:00:00"/>
    <x v="0"/>
    <x v="0"/>
    <s v="Nakuru"/>
    <s v="Corporate"/>
    <x v="1"/>
    <x v="9"/>
    <x v="2"/>
    <x v="437"/>
    <n v="352.65"/>
    <n v="485.86"/>
    <n v="815.10700000000008"/>
    <n v="1620.05"/>
    <m/>
    <n v="4.1000000000000002E-2"/>
    <n v="0"/>
    <n v="6"/>
    <n v="2915.16"/>
    <n v="2115.8999999999996"/>
    <n v="799.26000000000022"/>
    <n v="0.2741736302638621"/>
  </r>
  <r>
    <x v="439"/>
    <n v="1"/>
    <x v="361"/>
    <n v="202305"/>
    <n v="202301"/>
    <x v="1"/>
    <x v="17"/>
    <x v="15"/>
    <x v="3"/>
    <s v="No"/>
    <n v="17"/>
    <d v="2023-06-03T00:00:00"/>
    <d v="2023-06-03T00:00:00"/>
    <x v="1"/>
    <x v="9"/>
    <s v="Beijing"/>
    <s v="Non-Profit"/>
    <x v="3"/>
    <x v="12"/>
    <x v="1"/>
    <x v="438"/>
    <n v="979.59"/>
    <n v="2210.94"/>
    <n v="815.10700000000008"/>
    <n v="1620.05"/>
    <s v="Low"/>
    <n v="0.15"/>
    <n v="0"/>
    <n v="11"/>
    <n v="24320.34"/>
    <n v="10775.49"/>
    <n v="13544.85"/>
    <n v="0.55693505929604603"/>
  </r>
  <r>
    <x v="440"/>
    <n v="1"/>
    <x v="362"/>
    <n v="202403"/>
    <n v="202302"/>
    <x v="3"/>
    <x v="56"/>
    <x v="0"/>
    <x v="9"/>
    <s v="Yes"/>
    <n v="3"/>
    <d v="2024-03-26T00:00:00"/>
    <d v="2024-03-26T00:00:00"/>
    <x v="1"/>
    <x v="4"/>
    <s v="Null"/>
    <s v="Education"/>
    <x v="4"/>
    <x v="3"/>
    <x v="3"/>
    <x v="439"/>
    <n v="382.21"/>
    <n v="571.89"/>
    <n v="815.10700000000008"/>
    <n v="1620.05"/>
    <s v="High"/>
    <n v="0.14799999999999999"/>
    <n v="0"/>
    <n v="26"/>
    <n v="14869.14"/>
    <n v="9937.4599999999991"/>
    <n v="4931.68"/>
    <n v="0.33167217471891453"/>
  </r>
  <r>
    <x v="441"/>
    <n v="1"/>
    <x v="363"/>
    <n v="202309"/>
    <n v="202302"/>
    <x v="3"/>
    <x v="43"/>
    <x v="27"/>
    <x v="1"/>
    <s v="No"/>
    <n v="8"/>
    <d v="2023-09-28T00:00:00"/>
    <d v="2023-09-28T00:00:00"/>
    <x v="1"/>
    <x v="4"/>
    <s v="Bengaluru"/>
    <s v="Corporate"/>
    <x v="1"/>
    <x v="5"/>
    <x v="6"/>
    <x v="440"/>
    <n v="1362.06"/>
    <n v="3398.37"/>
    <n v="815.10700000000008"/>
    <n v="1620.05"/>
    <s v="Low"/>
    <n v="0.157"/>
    <n v="0"/>
    <n v="11"/>
    <n v="37382.07"/>
    <n v="14982.66"/>
    <n v="22399.41"/>
    <n v="0.59920197035637679"/>
  </r>
  <r>
    <x v="442"/>
    <m/>
    <x v="364"/>
    <d v="2454-03-03T00:00:00"/>
    <d v="2453-11-16T00:00:00"/>
    <x v="0"/>
    <x v="24"/>
    <x v="21"/>
    <x v="11"/>
    <s v="No"/>
    <d v="1900-01-12T00:00:00"/>
    <d v="2024-09-04T00:00:00"/>
    <d v="2024-09-04T00:00:00"/>
    <x v="3"/>
    <x v="6"/>
    <s v="Frankfurt"/>
    <s v="Non-Profit"/>
    <x v="0"/>
    <x v="4"/>
    <x v="1"/>
    <x v="441"/>
    <n v="90.04"/>
    <n v="194.62"/>
    <n v="815.10700000000008"/>
    <n v="1620.05"/>
    <m/>
    <n v="4.2999999999999997E-2"/>
    <n v="0"/>
    <n v="32"/>
    <n v="6227.84"/>
    <n v="2881.28"/>
    <n v="3346.56"/>
    <n v="0.53735484533963618"/>
  </r>
  <r>
    <x v="443"/>
    <n v="1"/>
    <x v="365"/>
    <n v="202409"/>
    <n v="202301"/>
    <x v="1"/>
    <x v="31"/>
    <x v="29"/>
    <x v="10"/>
    <s v="No"/>
    <n v="8"/>
    <d v="2024-10-03T00:00:00"/>
    <d v="2024-10-03T00:00:00"/>
    <x v="2"/>
    <x v="3"/>
    <s v="Toronto"/>
    <s v="Consumer"/>
    <x v="1"/>
    <x v="6"/>
    <x v="1"/>
    <x v="442"/>
    <n v="558.19000000000005"/>
    <n v="1031.6400000000001"/>
    <n v="815.10700000000008"/>
    <n v="1620.05"/>
    <s v="Low"/>
    <n v="0"/>
    <n v="0"/>
    <n v="21"/>
    <n v="21664.440000000002"/>
    <n v="11721.990000000002"/>
    <n v="9942.4500000000007"/>
    <n v="0.45892947152107322"/>
  </r>
  <r>
    <x v="444"/>
    <n v="1"/>
    <x v="366"/>
    <n v="202306"/>
    <n v="202301"/>
    <x v="1"/>
    <x v="29"/>
    <x v="23"/>
    <x v="10"/>
    <s v="No"/>
    <n v="11"/>
    <d v="2023-06-24T00:00:00"/>
    <d v="2023-06-24T00:00:00"/>
    <x v="2"/>
    <x v="3"/>
    <s v="Toronto"/>
    <s v="Corporate"/>
    <x v="1"/>
    <x v="0"/>
    <x v="1"/>
    <x v="443"/>
    <n v="247.07"/>
    <n v="495.19"/>
    <n v="815.10700000000008"/>
    <n v="1620.05"/>
    <s v="Medium"/>
    <n v="2.8000000000000001E-2"/>
    <n v="0"/>
    <n v="4"/>
    <n v="1980.76"/>
    <n v="988.28"/>
    <n v="992.48"/>
    <n v="0.50106019911549105"/>
  </r>
  <r>
    <x v="445"/>
    <m/>
    <x v="239"/>
    <d v="2453-11-27T00:00:00"/>
    <d v="2453-11-18T00:00:00"/>
    <x v="2"/>
    <x v="4"/>
    <x v="4"/>
    <x v="9"/>
    <s v="No"/>
    <d v="1900-01-19T00:00:00"/>
    <d v="2024-01-13T00:00:00"/>
    <d v="2024-01-13T00:00:00"/>
    <x v="1"/>
    <x v="2"/>
    <s v="Nagoya"/>
    <s v="Education"/>
    <x v="4"/>
    <x v="5"/>
    <x v="4"/>
    <x v="444"/>
    <n v="625.37"/>
    <n v="1319.04"/>
    <n v="815.10700000000008"/>
    <n v="1620.05"/>
    <m/>
    <n v="7.3999999999999996E-2"/>
    <n v="0"/>
    <n v="8"/>
    <n v="10552.32"/>
    <n v="5002.96"/>
    <n v="5549.36"/>
    <n v="0.52589004124211547"/>
  </r>
  <r>
    <x v="446"/>
    <m/>
    <x v="257"/>
    <d v="2454-06-06T00:00:00"/>
    <d v="2453-11-16T00:00:00"/>
    <x v="0"/>
    <x v="50"/>
    <x v="3"/>
    <x v="5"/>
    <s v="No"/>
    <d v="1900-01-29T00:00:00"/>
    <d v="2025-04-29T00:00:00"/>
    <d v="2025-04-29T00:00:00"/>
    <x v="0"/>
    <x v="11"/>
    <s v="Durban"/>
    <s v="Consumer"/>
    <x v="2"/>
    <x v="1"/>
    <x v="5"/>
    <x v="445"/>
    <n v="194.6"/>
    <n v="314.87"/>
    <n v="815.10700000000008"/>
    <n v="1620.05"/>
    <m/>
    <n v="0.29299999999999998"/>
    <n v="1"/>
    <n v="25"/>
    <n v="7871.75"/>
    <n v="4865"/>
    <n v="3006.75"/>
    <n v="0.38196716105059231"/>
  </r>
  <r>
    <x v="447"/>
    <n v="1"/>
    <x v="367"/>
    <n v="202406"/>
    <n v="202301"/>
    <x v="1"/>
    <x v="21"/>
    <x v="17"/>
    <x v="4"/>
    <s v="No"/>
    <n v="21"/>
    <d v="2024-06-24T00:00:00"/>
    <d v="2024-06-24T00:00:00"/>
    <x v="2"/>
    <x v="3"/>
    <s v="Toronto"/>
    <s v="Small Business"/>
    <x v="4"/>
    <x v="3"/>
    <x v="5"/>
    <x v="446"/>
    <n v="1205.5"/>
    <n v="2210.17"/>
    <n v="815.10700000000008"/>
    <n v="1620.05"/>
    <s v="Low"/>
    <n v="0.104"/>
    <n v="0"/>
    <n v="23"/>
    <n v="50833.91"/>
    <n v="27726.5"/>
    <n v="23107.410000000003"/>
    <n v="0.45456684327449931"/>
  </r>
  <r>
    <x v="448"/>
    <n v="1"/>
    <x v="368"/>
    <n v="202406"/>
    <n v="202301"/>
    <x v="1"/>
    <x v="21"/>
    <x v="17"/>
    <x v="6"/>
    <s v="No"/>
    <n v="28"/>
    <d v="2024-07-09T00:00:00"/>
    <d v="2024-07-09T00:00:00"/>
    <x v="0"/>
    <x v="1"/>
    <s v="Port Harcourt"/>
    <s v="Corporate"/>
    <x v="2"/>
    <x v="2"/>
    <x v="3"/>
    <x v="447"/>
    <n v="895.54"/>
    <n v="1045"/>
    <n v="815.10700000000008"/>
    <n v="1620.05"/>
    <s v="High"/>
    <n v="0.216"/>
    <n v="1"/>
    <n v="15"/>
    <n v="15675"/>
    <n v="13433.099999999999"/>
    <n v="2241.9000000000015"/>
    <n v="0.14302392344497616"/>
  </r>
  <r>
    <x v="449"/>
    <n v="1"/>
    <x v="369"/>
    <n v="202307"/>
    <n v="202302"/>
    <x v="3"/>
    <x v="29"/>
    <x v="24"/>
    <x v="6"/>
    <s v="Yes"/>
    <n v="0"/>
    <d v="2023-07-22T00:00:00"/>
    <d v="2023-07-21T00:00:00"/>
    <x v="1"/>
    <x v="4"/>
    <s v="Delhi"/>
    <s v="Small Business"/>
    <x v="3"/>
    <x v="6"/>
    <x v="1"/>
    <x v="448"/>
    <n v="946.99"/>
    <n v="2132.19"/>
    <n v="815.10700000000008"/>
    <n v="1620.05"/>
    <s v="Medium"/>
    <n v="0.16500000000000001"/>
    <n v="0"/>
    <n v="7"/>
    <n v="14925.33"/>
    <n v="6628.93"/>
    <n v="8296.4"/>
    <n v="0.55586040643657453"/>
  </r>
  <r>
    <x v="450"/>
    <n v="1"/>
    <x v="370"/>
    <n v="202301"/>
    <n v="202301"/>
    <x v="1"/>
    <x v="5"/>
    <x v="5"/>
    <x v="11"/>
    <s v="No"/>
    <n v="15"/>
    <d v="2023-02-03T00:00:00"/>
    <d v="2023-02-03T00:00:00"/>
    <x v="3"/>
    <x v="8"/>
    <s v="London"/>
    <s v="Enterprise"/>
    <x v="3"/>
    <x v="3"/>
    <x v="6"/>
    <x v="449"/>
    <n v="873.06"/>
    <n v="2101.5500000000002"/>
    <n v="815.10700000000008"/>
    <n v="1620.05"/>
    <s v="High"/>
    <n v="6.6000000000000003E-2"/>
    <n v="0"/>
    <n v="10"/>
    <n v="21015.5"/>
    <n v="8730.5999999999985"/>
    <n v="12284.900000000001"/>
    <n v="0.58456377435702223"/>
  </r>
  <r>
    <x v="451"/>
    <n v="1"/>
    <x v="371"/>
    <n v="202405"/>
    <n v="202302"/>
    <x v="3"/>
    <x v="23"/>
    <x v="7"/>
    <x v="3"/>
    <s v="No"/>
    <n v="15"/>
    <d v="2024-05-16T00:00:00"/>
    <d v="2024-05-16T00:00:00"/>
    <x v="1"/>
    <x v="4"/>
    <s v="Null"/>
    <s v="Small Business"/>
    <x v="0"/>
    <x v="4"/>
    <x v="0"/>
    <x v="450"/>
    <n v="901.19"/>
    <n v="2125.44"/>
    <n v="815.10700000000008"/>
    <n v="1620.05"/>
    <s v="High"/>
    <n v="7.0999999999999994E-2"/>
    <n v="0"/>
    <n v="12"/>
    <n v="25505.279999999999"/>
    <n v="10814.28"/>
    <n v="14690.999999999998"/>
    <n v="0.57599838151159288"/>
  </r>
  <r>
    <x v="452"/>
    <m/>
    <x v="56"/>
    <d v="2454-06-09T00:00:00"/>
    <d v="2453-11-18T00:00:00"/>
    <x v="2"/>
    <x v="22"/>
    <x v="16"/>
    <x v="6"/>
    <s v="No"/>
    <d v="1900-01-14T00:00:00"/>
    <d v="2025-06-24T00:00:00"/>
    <d v="2025-06-24T00:00:00"/>
    <x v="1"/>
    <x v="2"/>
    <s v="Nagoya"/>
    <s v="Corporate"/>
    <x v="4"/>
    <x v="5"/>
    <x v="3"/>
    <x v="451"/>
    <n v="400.39"/>
    <n v="712.75"/>
    <n v="815.10700000000008"/>
    <n v="1620.05"/>
    <m/>
    <n v="0.115"/>
    <n v="0"/>
    <n v="19"/>
    <n v="13542.25"/>
    <n v="7607.41"/>
    <n v="5934.84"/>
    <n v="0.43824622939319541"/>
  </r>
  <r>
    <x v="453"/>
    <m/>
    <x v="372"/>
    <d v="2453-11-20T00:00:00"/>
    <d v="2453-11-16T00:00:00"/>
    <x v="0"/>
    <x v="42"/>
    <x v="15"/>
    <x v="7"/>
    <s v="No"/>
    <d v="1900-01-27T00:00:00"/>
    <d v="2023-06-21T00:00:00"/>
    <d v="2023-06-21T00:00:00"/>
    <x v="2"/>
    <x v="10"/>
    <s v="Austin"/>
    <s v="Small Business"/>
    <x v="2"/>
    <x v="3"/>
    <x v="5"/>
    <x v="452"/>
    <n v="813.97"/>
    <n v="1568.83"/>
    <n v="815.10700000000008"/>
    <n v="1620.05"/>
    <m/>
    <n v="1.7000000000000001E-2"/>
    <n v="0"/>
    <n v="15"/>
    <n v="23532.449999999997"/>
    <n v="12209.550000000001"/>
    <n v="11322.899999999996"/>
    <n v="0.48116112007037082"/>
  </r>
  <r>
    <x v="454"/>
    <n v="1"/>
    <x v="6"/>
    <n v="202412"/>
    <n v="202301"/>
    <x v="1"/>
    <x v="41"/>
    <x v="6"/>
    <x v="9"/>
    <s v="Yes"/>
    <n v="2"/>
    <d v="2024-12-29T00:00:00"/>
    <d v="2024-12-29T00:00:00"/>
    <x v="2"/>
    <x v="3"/>
    <s v="Vancouver"/>
    <s v="Enterprise"/>
    <x v="2"/>
    <x v="0"/>
    <x v="6"/>
    <x v="453"/>
    <n v="1146.72"/>
    <n v="2074.34"/>
    <n v="815.10700000000008"/>
    <n v="1620.05"/>
    <s v="Medium"/>
    <n v="0.111"/>
    <n v="0"/>
    <n v="8"/>
    <n v="16594.72"/>
    <n v="9173.76"/>
    <n v="7420.9600000000009"/>
    <n v="0.44718802125013257"/>
  </r>
  <r>
    <x v="455"/>
    <n v="1"/>
    <x v="373"/>
    <n v="202312"/>
    <n v="202301"/>
    <x v="1"/>
    <x v="38"/>
    <x v="4"/>
    <x v="2"/>
    <s v="Yes"/>
    <n v="7"/>
    <d v="2023-12-12T00:00:00"/>
    <d v="2023-12-12T00:00:00"/>
    <x v="2"/>
    <x v="5"/>
    <s v="Brasília"/>
    <s v="Corporate"/>
    <x v="4"/>
    <x v="9"/>
    <x v="3"/>
    <x v="454"/>
    <n v="307.43"/>
    <n v="495.19"/>
    <n v="815.10700000000008"/>
    <n v="1620.05"/>
    <s v="High"/>
    <n v="0"/>
    <n v="0"/>
    <n v="42"/>
    <n v="20797.98"/>
    <n v="12912.06"/>
    <n v="7885.92"/>
    <n v="0.37916759223732305"/>
  </r>
  <r>
    <x v="456"/>
    <n v="1"/>
    <x v="129"/>
    <n v="202305"/>
    <n v="202301"/>
    <x v="1"/>
    <x v="17"/>
    <x v="15"/>
    <x v="5"/>
    <s v="No"/>
    <n v="17"/>
    <d v="2023-05-19T00:00:00"/>
    <d v="2023-05-19T00:00:00"/>
    <x v="1"/>
    <x v="9"/>
    <s v="Shanghai"/>
    <s v="Non-Profit"/>
    <x v="4"/>
    <x v="1"/>
    <x v="5"/>
    <x v="455"/>
    <n v="714.28"/>
    <n v="757.59"/>
    <n v="815.10700000000008"/>
    <n v="1620.05"/>
    <s v="Low"/>
    <n v="0.13600000000000001"/>
    <n v="0"/>
    <n v="12"/>
    <n v="9091.08"/>
    <n v="8571.36"/>
    <n v="519.71999999999935"/>
    <n v="5.7168125239245429E-2"/>
  </r>
  <r>
    <x v="457"/>
    <m/>
    <x v="134"/>
    <d v="2453-11-26T00:00:00"/>
    <d v="2453-11-16T00:00:00"/>
    <x v="0"/>
    <x v="53"/>
    <x v="30"/>
    <x v="9"/>
    <s v="No"/>
    <d v="1900-01-09T00:00:00"/>
    <d v="2023-12-10T00:00:00"/>
    <d v="2023-12-10T00:00:00"/>
    <x v="3"/>
    <x v="6"/>
    <s v="Munich"/>
    <s v="Small Business"/>
    <x v="4"/>
    <x v="9"/>
    <x v="4"/>
    <x v="456"/>
    <n v="174.74"/>
    <n v="415.96"/>
    <n v="815.10700000000008"/>
    <n v="1620.05"/>
    <m/>
    <n v="0.125"/>
    <n v="0"/>
    <n v="21"/>
    <n v="8735.16"/>
    <n v="3669.54"/>
    <n v="5065.62"/>
    <n v="0.57991152995480333"/>
  </r>
  <r>
    <x v="458"/>
    <m/>
    <x v="374"/>
    <d v="2454-02-28T00:00:00"/>
    <d v="2453-11-16T00:00:00"/>
    <x v="0"/>
    <x v="19"/>
    <x v="7"/>
    <x v="5"/>
    <s v="No"/>
    <d v="1900-01-12T00:00:00"/>
    <d v="2024-05-18T00:00:00"/>
    <d v="2024-05-18T00:00:00"/>
    <x v="3"/>
    <x v="7"/>
    <s v="Marseille"/>
    <s v="Corporate"/>
    <x v="2"/>
    <x v="8"/>
    <x v="0"/>
    <x v="457"/>
    <n v="1264.04"/>
    <n v="1870.89"/>
    <n v="815.10700000000008"/>
    <n v="1620.05"/>
    <m/>
    <n v="0"/>
    <n v="0"/>
    <n v="13"/>
    <n v="24321.57"/>
    <n v="16432.52"/>
    <n v="7889.0499999999993"/>
    <n v="0.32436433996653996"/>
  </r>
  <r>
    <x v="459"/>
    <m/>
    <x v="375"/>
    <d v="2453-11-22T00:00:00"/>
    <d v="2453-11-18T00:00:00"/>
    <x v="2"/>
    <x v="42"/>
    <x v="24"/>
    <x v="6"/>
    <s v="No"/>
    <d v="1900-01-09T00:00:00"/>
    <d v="2023-07-19T00:00:00"/>
    <d v="2023-07-19T00:00:00"/>
    <x v="1"/>
    <x v="2"/>
    <s v="Tokyo"/>
    <s v="Enterprise"/>
    <x v="3"/>
    <x v="13"/>
    <x v="0"/>
    <x v="458"/>
    <n v="141.26"/>
    <n v="206.88"/>
    <n v="815.10700000000008"/>
    <n v="1620.05"/>
    <m/>
    <n v="0.107"/>
    <n v="0"/>
    <n v="9"/>
    <n v="1861.92"/>
    <n v="1271.3399999999999"/>
    <n v="590.58000000000015"/>
    <n v="0.31718870843000779"/>
  </r>
  <r>
    <x v="460"/>
    <m/>
    <x v="361"/>
    <d v="2453-11-20T00:00:00"/>
    <d v="2453-11-16T00:00:00"/>
    <x v="0"/>
    <x v="42"/>
    <x v="15"/>
    <x v="11"/>
    <s v="No"/>
    <d v="1900-01-28T00:00:00"/>
    <d v="2023-06-15T00:00:00"/>
    <d v="2023-06-15T00:00:00"/>
    <x v="0"/>
    <x v="11"/>
    <s v="Durban"/>
    <s v="Enterprise"/>
    <x v="0"/>
    <x v="11"/>
    <x v="6"/>
    <x v="459"/>
    <n v="40.89"/>
    <n v="62.82"/>
    <n v="815.10700000000008"/>
    <n v="1620.05"/>
    <m/>
    <n v="0.129"/>
    <n v="0"/>
    <n v="17"/>
    <n v="1067.94"/>
    <n v="695.13"/>
    <n v="372.81000000000006"/>
    <n v="0.3490926456542503"/>
  </r>
  <r>
    <x v="461"/>
    <m/>
    <x v="34"/>
    <d v="2454-02-26T00:00:00"/>
    <d v="2453-11-16T00:00:00"/>
    <x v="0"/>
    <x v="0"/>
    <x v="0"/>
    <x v="9"/>
    <s v="No"/>
    <d v="1900-01-26T00:00:00"/>
    <d v="2024-04-03T00:00:00"/>
    <d v="2024-04-03T00:00:00"/>
    <x v="3"/>
    <x v="6"/>
    <s v="Frankfurt"/>
    <s v="Corporate"/>
    <x v="4"/>
    <x v="12"/>
    <x v="1"/>
    <x v="460"/>
    <n v="738.16"/>
    <n v="956.49"/>
    <n v="815.10700000000008"/>
    <n v="1620.05"/>
    <m/>
    <n v="0.152"/>
    <n v="0"/>
    <n v="5"/>
    <n v="4782.45"/>
    <n v="3690.7999999999997"/>
    <n v="1091.6500000000001"/>
    <n v="0.22826166504615839"/>
  </r>
  <r>
    <x v="462"/>
    <m/>
    <x v="376"/>
    <d v="2454-06-07T00:00:00"/>
    <d v="2453-11-16T00:00:00"/>
    <x v="0"/>
    <x v="22"/>
    <x v="19"/>
    <x v="1"/>
    <s v="No"/>
    <d v="1900-01-08T00:00:00"/>
    <d v="2025-04-19T00:00:00"/>
    <d v="2025-04-19T00:00:00"/>
    <x v="0"/>
    <x v="11"/>
    <s v="Durban"/>
    <s v="Enterprise"/>
    <x v="1"/>
    <x v="3"/>
    <x v="2"/>
    <x v="461"/>
    <n v="113.74"/>
    <n v="165.7"/>
    <n v="815.10700000000008"/>
    <n v="1620.05"/>
    <m/>
    <n v="0.124"/>
    <n v="0"/>
    <n v="13"/>
    <n v="2154.1"/>
    <n v="1478.62"/>
    <n v="675.48"/>
    <n v="0.31357875678937841"/>
  </r>
  <r>
    <x v="463"/>
    <m/>
    <x v="377"/>
    <d v="2454-06-10T00:00:00"/>
    <d v="2453-11-18T00:00:00"/>
    <x v="2"/>
    <x v="27"/>
    <x v="13"/>
    <x v="7"/>
    <s v="No"/>
    <d v="1900-01-18T00:00:00"/>
    <d v="2025-08-15T00:00:00"/>
    <d v="2025-08-15T00:00:00"/>
    <x v="1"/>
    <x v="2"/>
    <s v="Tokyo"/>
    <s v="Small Business"/>
    <x v="2"/>
    <x v="1"/>
    <x v="0"/>
    <x v="462"/>
    <n v="275.43"/>
    <n v="608.36"/>
    <n v="815.10700000000008"/>
    <n v="1620.05"/>
    <m/>
    <n v="0.25700000000000001"/>
    <n v="1"/>
    <n v="4"/>
    <n v="2433.44"/>
    <n v="1101.72"/>
    <n v="1331.72"/>
    <n v="0.54725820238016964"/>
  </r>
  <r>
    <x v="464"/>
    <m/>
    <x v="378"/>
    <d v="2454-03-06T00:00:00"/>
    <d v="2453-11-16T00:00:00"/>
    <x v="0"/>
    <x v="10"/>
    <x v="18"/>
    <x v="8"/>
    <s v="No"/>
    <d v="1900-01-22T00:00:00"/>
    <d v="2024-12-15T00:00:00"/>
    <d v="2024-12-15T00:00:00"/>
    <x v="0"/>
    <x v="0"/>
    <s v="Mombasa"/>
    <s v="Non-Profit"/>
    <x v="3"/>
    <x v="0"/>
    <x v="0"/>
    <x v="463"/>
    <n v="1335.76"/>
    <n v="2665.91"/>
    <n v="815.10700000000008"/>
    <n v="1620.05"/>
    <m/>
    <n v="0.21099999999999999"/>
    <n v="1"/>
    <n v="40"/>
    <n v="106636.4"/>
    <n v="53430.400000000001"/>
    <n v="53205.999999999993"/>
    <n v="0.49894782644575392"/>
  </r>
  <r>
    <x v="465"/>
    <n v="1"/>
    <x v="303"/>
    <n v="202406"/>
    <n v="202301"/>
    <x v="1"/>
    <x v="21"/>
    <x v="17"/>
    <x v="2"/>
    <s v="Yes"/>
    <n v="5"/>
    <d v="2024-06-28T00:00:00"/>
    <d v="2024-06-28T00:00:00"/>
    <x v="0"/>
    <x v="1"/>
    <s v="Port Harcourt"/>
    <s v="Non-Profit"/>
    <x v="4"/>
    <x v="12"/>
    <x v="6"/>
    <x v="464"/>
    <n v="242.31"/>
    <n v="587.95000000000005"/>
    <n v="815.10700000000008"/>
    <n v="1620.05"/>
    <s v="High"/>
    <n v="0.22900000000000001"/>
    <n v="1"/>
    <n v="6"/>
    <n v="3527.7000000000003"/>
    <n v="1453.8600000000001"/>
    <n v="2073.84"/>
    <n v="0.58787311846245427"/>
  </r>
  <r>
    <x v="466"/>
    <n v="1"/>
    <x v="379"/>
    <n v="202312"/>
    <n v="202302"/>
    <x v="3"/>
    <x v="63"/>
    <x v="4"/>
    <x v="6"/>
    <s v="No"/>
    <n v="27"/>
    <d v="2024-01-14T00:00:00"/>
    <d v="2024-01-14T00:00:00"/>
    <x v="1"/>
    <x v="4"/>
    <s v="Mumbai"/>
    <s v="Consumer"/>
    <x v="3"/>
    <x v="14"/>
    <x v="2"/>
    <x v="465"/>
    <n v="1408.3"/>
    <n v="2193.13"/>
    <n v="815.10700000000008"/>
    <n v="1620.05"/>
    <s v="Low"/>
    <n v="7.0999999999999994E-2"/>
    <n v="0"/>
    <n v="7"/>
    <n v="15351.91"/>
    <n v="9858.1"/>
    <n v="5493.8099999999995"/>
    <n v="0.35785840328662682"/>
  </r>
  <r>
    <x v="467"/>
    <m/>
    <x v="261"/>
    <d v="2454-06-09T00:00:00"/>
    <d v="2453-11-16T00:00:00"/>
    <x v="0"/>
    <x v="37"/>
    <x v="16"/>
    <x v="5"/>
    <s v="Yes"/>
    <d v="1900-01-03T00:00:00"/>
    <d v="2025-06-05T00:00:00"/>
    <d v="2025-06-05T00:00:00"/>
    <x v="3"/>
    <x v="6"/>
    <s v="Munich"/>
    <s v="Enterprise"/>
    <x v="4"/>
    <x v="12"/>
    <x v="0"/>
    <x v="466"/>
    <n v="1171.42"/>
    <n v="2187.8000000000002"/>
    <n v="815.10700000000008"/>
    <n v="1620.05"/>
    <m/>
    <n v="0.23"/>
    <n v="1"/>
    <n v="15"/>
    <n v="32817"/>
    <n v="17571.300000000003"/>
    <n v="15245.699999999997"/>
    <n v="0.46456714507724645"/>
  </r>
  <r>
    <x v="468"/>
    <m/>
    <x v="380"/>
    <d v="2454-06-06T00:00:00"/>
    <d v="2453-11-16T00:00:00"/>
    <x v="0"/>
    <x v="50"/>
    <x v="3"/>
    <x v="7"/>
    <s v="No"/>
    <d v="1900-01-09T00:00:00"/>
    <d v="2025-04-02T00:00:00"/>
    <d v="2025-04-02T00:00:00"/>
    <x v="3"/>
    <x v="6"/>
    <s v="Berlin"/>
    <s v="Enterprise"/>
    <x v="1"/>
    <x v="6"/>
    <x v="1"/>
    <x v="467"/>
    <n v="663.61"/>
    <n v="1002.11"/>
    <n v="815.10700000000008"/>
    <n v="1620.05"/>
    <m/>
    <n v="4.5999999999999999E-2"/>
    <n v="0"/>
    <n v="17"/>
    <n v="17035.87"/>
    <n v="11281.37"/>
    <n v="5754.4999999999982"/>
    <n v="0.33778726886269961"/>
  </r>
  <r>
    <x v="469"/>
    <m/>
    <x v="381"/>
    <d v="2453-11-20T00:00:00"/>
    <d v="2453-11-16T00:00:00"/>
    <x v="0"/>
    <x v="42"/>
    <x v="15"/>
    <x v="4"/>
    <s v="No"/>
    <d v="1900-01-07T00:00:00"/>
    <d v="2023-05-22T00:00:00"/>
    <d v="2023-05-22T00:00:00"/>
    <x v="0"/>
    <x v="0"/>
    <s v="Mombasa"/>
    <s v="Small Business"/>
    <x v="3"/>
    <x v="9"/>
    <x v="1"/>
    <x v="468"/>
    <n v="432.01"/>
    <n v="913.78"/>
    <n v="815.10700000000008"/>
    <n v="1620.05"/>
    <m/>
    <n v="4.9000000000000002E-2"/>
    <n v="0"/>
    <n v="12"/>
    <n v="10965.36"/>
    <n v="5184.12"/>
    <n v="5781.2400000000007"/>
    <n v="0.5272275602442601"/>
  </r>
  <r>
    <x v="470"/>
    <m/>
    <x v="344"/>
    <d v="2453-11-23T00:00:00"/>
    <d v="2453-11-16T00:00:00"/>
    <x v="0"/>
    <x v="34"/>
    <x v="25"/>
    <x v="9"/>
    <s v="No"/>
    <d v="1900-01-20T00:00:00"/>
    <d v="2023-09-19T00:00:00"/>
    <d v="2023-09-19T00:00:00"/>
    <x v="3"/>
    <x v="7"/>
    <s v="Lyon"/>
    <s v="Small Business"/>
    <x v="4"/>
    <x v="5"/>
    <x v="1"/>
    <x v="469"/>
    <n v="784.46"/>
    <n v="1843.51"/>
    <n v="815.10700000000008"/>
    <n v="1620.05"/>
    <m/>
    <n v="0.13800000000000001"/>
    <n v="0"/>
    <n v="23"/>
    <n v="42400.73"/>
    <n v="18042.580000000002"/>
    <n v="24358.15"/>
    <n v="0.57447477908988831"/>
  </r>
  <r>
    <x v="471"/>
    <n v="1"/>
    <x v="349"/>
    <n v="202507"/>
    <n v="202301"/>
    <x v="1"/>
    <x v="15"/>
    <x v="13"/>
    <x v="11"/>
    <s v="No"/>
    <n v="20"/>
    <d v="2025-07-23T00:00:00"/>
    <d v="2025-07-23T00:00:00"/>
    <x v="1"/>
    <x v="9"/>
    <s v="Beijing"/>
    <s v="Small Business"/>
    <x v="1"/>
    <x v="12"/>
    <x v="0"/>
    <x v="470"/>
    <n v="647.36"/>
    <n v="1383.6"/>
    <n v="815.10700000000008"/>
    <n v="1620.05"/>
    <s v="High"/>
    <n v="7.3999999999999996E-2"/>
    <n v="0"/>
    <n v="12"/>
    <n v="16603.199999999997"/>
    <n v="7768.32"/>
    <n v="8834.8799999999974"/>
    <n v="0.53211910956923958"/>
  </r>
  <r>
    <x v="472"/>
    <m/>
    <x v="382"/>
    <d v="2454-02-25T00:00:00"/>
    <d v="2453-11-16T00:00:00"/>
    <x v="0"/>
    <x v="58"/>
    <x v="31"/>
    <x v="8"/>
    <s v="No"/>
    <d v="1900-01-21T00:00:00"/>
    <d v="2024-02-28T00:00:00"/>
    <d v="2024-02-28T00:00:00"/>
    <x v="0"/>
    <x v="0"/>
    <s v="Kisumu"/>
    <s v="Non-Profit"/>
    <x v="1"/>
    <x v="11"/>
    <x v="5"/>
    <x v="471"/>
    <n v="834.93"/>
    <n v="1588.53"/>
    <n v="815.10700000000008"/>
    <n v="1620.05"/>
    <m/>
    <n v="0.126"/>
    <n v="0"/>
    <n v="6"/>
    <n v="9531.18"/>
    <n v="5009.58"/>
    <n v="4521.6000000000004"/>
    <n v="0.4744008611735378"/>
  </r>
  <r>
    <x v="473"/>
    <m/>
    <x v="383"/>
    <d v="2454-06-11T00:00:00"/>
    <d v="2453-11-16T00:00:00"/>
    <x v="0"/>
    <x v="46"/>
    <x v="28"/>
    <x v="1"/>
    <s v="No"/>
    <d v="1900-01-20T00:00:00"/>
    <d v="2025-09-03T00:00:00"/>
    <d v="2025-09-03T00:00:00"/>
    <x v="3"/>
    <x v="7"/>
    <s v="Paris"/>
    <s v="Education"/>
    <x v="0"/>
    <x v="2"/>
    <x v="3"/>
    <x v="472"/>
    <n v="603.47"/>
    <n v="1344.05"/>
    <n v="815.10700000000008"/>
    <n v="1620.05"/>
    <m/>
    <n v="0.20499999999999999"/>
    <n v="1"/>
    <n v="18"/>
    <n v="24192.899999999998"/>
    <n v="10862.460000000001"/>
    <n v="13330.439999999997"/>
    <n v="0.55100628696849063"/>
  </r>
  <r>
    <x v="474"/>
    <n v="1"/>
    <x v="206"/>
    <n v="202305"/>
    <n v="202301"/>
    <x v="1"/>
    <x v="17"/>
    <x v="15"/>
    <x v="8"/>
    <s v="Yes"/>
    <n v="2"/>
    <d v="2023-05-25T00:00:00"/>
    <d v="2023-05-25T00:00:00"/>
    <x v="2"/>
    <x v="5"/>
    <s v="Rio de Janeiro"/>
    <s v="Enterprise"/>
    <x v="0"/>
    <x v="12"/>
    <x v="1"/>
    <x v="473"/>
    <n v="690.49"/>
    <n v="1290.29"/>
    <n v="815.10700000000008"/>
    <n v="1620.05"/>
    <s v="Medium"/>
    <n v="4.2000000000000003E-2"/>
    <n v="0"/>
    <n v="22"/>
    <n v="28386.379999999997"/>
    <n v="15190.78"/>
    <n v="13195.599999999997"/>
    <n v="0.46485673763262514"/>
  </r>
  <r>
    <x v="475"/>
    <n v="1"/>
    <x v="384"/>
    <n v="202405"/>
    <n v="202301"/>
    <x v="1"/>
    <x v="7"/>
    <x v="7"/>
    <x v="9"/>
    <s v="Yes"/>
    <n v="6"/>
    <d v="2024-05-16T00:00:00"/>
    <d v="2024-05-16T00:00:00"/>
    <x v="3"/>
    <x v="8"/>
    <s v="Birmingham"/>
    <s v="Non-Profit"/>
    <x v="4"/>
    <x v="3"/>
    <x v="4"/>
    <x v="474"/>
    <n v="210.76"/>
    <n v="221.58"/>
    <n v="815.10700000000008"/>
    <n v="1620.05"/>
    <s v="Medium"/>
    <n v="8.8999999999999996E-2"/>
    <n v="0"/>
    <n v="5"/>
    <n v="1107.9000000000001"/>
    <n v="1053.8"/>
    <n v="54.100000000000136"/>
    <n v="4.8831121942413694E-2"/>
  </r>
  <r>
    <x v="476"/>
    <m/>
    <x v="210"/>
    <d v="2453-11-18T00:00:00"/>
    <d v="2453-11-16T00:00:00"/>
    <x v="0"/>
    <x v="32"/>
    <x v="22"/>
    <x v="6"/>
    <s v="Yes"/>
    <d v="1900-01-03T00:00:00"/>
    <d v="2023-03-18T00:00:00"/>
    <d v="2023-03-18T00:00:00"/>
    <x v="3"/>
    <x v="6"/>
    <s v="Frankfurt"/>
    <s v="Enterprise"/>
    <x v="4"/>
    <x v="8"/>
    <x v="0"/>
    <x v="475"/>
    <n v="472.33"/>
    <n v="360.34"/>
    <n v="815.10700000000008"/>
    <n v="1620.05"/>
    <m/>
    <n v="0.16500000000000001"/>
    <n v="0"/>
    <n v="14"/>
    <n v="5044.7599999999993"/>
    <n v="6612.62"/>
    <n v="-1567.8600000000006"/>
    <n v="-0.31078980962424391"/>
  </r>
  <r>
    <x v="477"/>
    <n v="1"/>
    <x v="385"/>
    <n v="202307"/>
    <n v="202301"/>
    <x v="1"/>
    <x v="57"/>
    <x v="24"/>
    <x v="3"/>
    <s v="No"/>
    <n v="28"/>
    <d v="2023-08-13T00:00:00"/>
    <d v="2023-08-13T00:00:00"/>
    <x v="3"/>
    <x v="8"/>
    <s v="Manchester"/>
    <s v="Non-Profit"/>
    <x v="1"/>
    <x v="1"/>
    <x v="4"/>
    <x v="476"/>
    <n v="1039.03"/>
    <n v="2545.81"/>
    <n v="815.10700000000008"/>
    <n v="1620.05"/>
    <s v="Low"/>
    <n v="0.216"/>
    <n v="1"/>
    <n v="21"/>
    <n v="53462.01"/>
    <n v="21819.63"/>
    <n v="31642.38"/>
    <n v="0.59186663576621978"/>
  </r>
  <r>
    <x v="478"/>
    <m/>
    <x v="386"/>
    <d v="2453-11-19T00:00:00"/>
    <d v="2453-11-16T00:00:00"/>
    <x v="0"/>
    <x v="12"/>
    <x v="12"/>
    <x v="11"/>
    <s v="Yes"/>
    <d v="1900-01-02T00:00:00"/>
    <d v="2023-04-19T00:00:00"/>
    <d v="2023-04-19T00:00:00"/>
    <x v="3"/>
    <x v="6"/>
    <s v="Munich"/>
    <s v="Corporate"/>
    <x v="4"/>
    <x v="5"/>
    <x v="6"/>
    <x v="477"/>
    <n v="553.61"/>
    <n v="699.47"/>
    <n v="815.10700000000008"/>
    <n v="1620.05"/>
    <m/>
    <n v="0.02"/>
    <n v="0"/>
    <n v="33"/>
    <n v="23082.510000000002"/>
    <n v="18269.13"/>
    <n v="4813.380000000001"/>
    <n v="0.20852931505282574"/>
  </r>
  <r>
    <x v="479"/>
    <m/>
    <x v="278"/>
    <d v="2454-02-24T00:00:00"/>
    <d v="2453-11-18T00:00:00"/>
    <x v="2"/>
    <x v="53"/>
    <x v="9"/>
    <x v="9"/>
    <s v="No"/>
    <d v="1900-01-12T00:00:00"/>
    <d v="2024-01-15T00:00:00"/>
    <d v="2024-01-15T00:00:00"/>
    <x v="1"/>
    <x v="2"/>
    <s v="Nagoya"/>
    <s v="Small Business"/>
    <x v="2"/>
    <x v="3"/>
    <x v="2"/>
    <x v="478"/>
    <n v="1219.06"/>
    <n v="2738.69"/>
    <n v="815.10700000000008"/>
    <n v="1620.05"/>
    <m/>
    <n v="7.5999999999999998E-2"/>
    <n v="0"/>
    <n v="16"/>
    <n v="43819.040000000001"/>
    <n v="19504.96"/>
    <n v="24314.080000000002"/>
    <n v="0.55487477589650525"/>
  </r>
  <r>
    <x v="480"/>
    <m/>
    <x v="208"/>
    <d v="2454-03-04T00:00:00"/>
    <d v="2453-11-18T00:00:00"/>
    <x v="2"/>
    <x v="16"/>
    <x v="29"/>
    <x v="1"/>
    <s v="Yes"/>
    <d v="1900-01-03T00:00:00"/>
    <d v="2024-09-07T00:00:00"/>
    <d v="2024-09-07T00:00:00"/>
    <x v="1"/>
    <x v="2"/>
    <s v="Tokyo"/>
    <s v="Small Business"/>
    <x v="3"/>
    <x v="13"/>
    <x v="1"/>
    <x v="479"/>
    <n v="43.23"/>
    <n v="94.78"/>
    <n v="815.10700000000008"/>
    <n v="1620.05"/>
    <m/>
    <n v="9.0999999999999998E-2"/>
    <n v="0"/>
    <n v="55"/>
    <n v="5212.8999999999996"/>
    <n v="2377.6499999999996"/>
    <n v="2835.25"/>
    <n v="0.54389111626925513"/>
  </r>
  <r>
    <x v="481"/>
    <m/>
    <x v="387"/>
    <d v="2454-06-11T00:00:00"/>
    <d v="2453-11-16T00:00:00"/>
    <x v="0"/>
    <x v="46"/>
    <x v="28"/>
    <x v="10"/>
    <s v="Yes"/>
    <d v="1900-01-03T00:00:00"/>
    <d v="2025-09-03T00:00:00"/>
    <d v="2025-09-03T00:00:00"/>
    <x v="3"/>
    <x v="7"/>
    <s v="Marseille"/>
    <s v="Small Business"/>
    <x v="2"/>
    <x v="1"/>
    <x v="4"/>
    <x v="480"/>
    <n v="1286.56"/>
    <n v="2777.35"/>
    <n v="815.10700000000008"/>
    <n v="1620.05"/>
    <m/>
    <n v="0.13200000000000001"/>
    <n v="0"/>
    <n v="15"/>
    <n v="41660.25"/>
    <n v="19298.399999999998"/>
    <n v="22361.850000000002"/>
    <n v="0.53676706212756775"/>
  </r>
  <r>
    <x v="482"/>
    <m/>
    <x v="86"/>
    <d v="2454-06-07T00:00:00"/>
    <d v="2453-11-16T00:00:00"/>
    <x v="0"/>
    <x v="22"/>
    <x v="19"/>
    <x v="8"/>
    <s v="No"/>
    <d v="1900-01-20T00:00:00"/>
    <d v="2025-05-19T00:00:00"/>
    <d v="2025-05-19T00:00:00"/>
    <x v="3"/>
    <x v="6"/>
    <s v="Berlin"/>
    <s v="Corporate"/>
    <x v="3"/>
    <x v="5"/>
    <x v="3"/>
    <x v="481"/>
    <n v="350.76"/>
    <n v="492.18"/>
    <n v="815.10700000000008"/>
    <n v="1620.05"/>
    <m/>
    <n v="5.2999999999999999E-2"/>
    <n v="0"/>
    <n v="11"/>
    <n v="5413.9800000000005"/>
    <n v="3858.3599999999997"/>
    <n v="1555.6200000000008"/>
    <n v="0.28733390223089128"/>
  </r>
  <r>
    <x v="483"/>
    <n v="1"/>
    <x v="388"/>
    <n v="202308"/>
    <n v="202301"/>
    <x v="1"/>
    <x v="43"/>
    <x v="25"/>
    <x v="7"/>
    <s v="Yes"/>
    <n v="5"/>
    <d v="2023-08-15T00:00:00"/>
    <d v="2023-08-15T00:00:00"/>
    <x v="2"/>
    <x v="5"/>
    <s v="São Paulo"/>
    <s v="Education"/>
    <x v="4"/>
    <x v="3"/>
    <x v="2"/>
    <x v="482"/>
    <n v="1307.52"/>
    <n v="1921.65"/>
    <n v="815.10700000000008"/>
    <n v="1620.05"/>
    <s v="Low"/>
    <n v="0.123"/>
    <n v="0"/>
    <n v="13"/>
    <n v="24981.45"/>
    <n v="16997.759999999998"/>
    <n v="7983.6900000000023"/>
    <n v="0.31958473187104841"/>
  </r>
  <r>
    <x v="484"/>
    <m/>
    <x v="389"/>
    <d v="2454-03-07T00:00:00"/>
    <d v="2453-11-16T00:00:00"/>
    <x v="0"/>
    <x v="13"/>
    <x v="6"/>
    <x v="11"/>
    <s v="Yes"/>
    <d v="1899-12-30T00:00:00"/>
    <d v="2024-12-08T00:00:00"/>
    <d v="2024-12-08T00:00:00"/>
    <x v="3"/>
    <x v="7"/>
    <s v="Lyon"/>
    <s v="Enterprise"/>
    <x v="0"/>
    <x v="10"/>
    <x v="0"/>
    <x v="483"/>
    <n v="257.44"/>
    <n v="290.33"/>
    <n v="815.10700000000008"/>
    <n v="1620.05"/>
    <m/>
    <n v="9.1999999999999998E-2"/>
    <n v="0"/>
    <n v="23"/>
    <n v="6677.5899999999992"/>
    <n v="5921.12"/>
    <n v="756.46999999999935"/>
    <n v="0.11328488271966375"/>
  </r>
  <r>
    <x v="485"/>
    <m/>
    <x v="390"/>
    <d v="2453-11-25T00:00:00"/>
    <d v="2453-11-16T00:00:00"/>
    <x v="0"/>
    <x v="4"/>
    <x v="32"/>
    <x v="2"/>
    <s v="No"/>
    <d v="1900-01-29T00:00:00"/>
    <d v="2023-11-24T00:00:00"/>
    <d v="2023-11-24T00:00:00"/>
    <x v="3"/>
    <x v="7"/>
    <s v="Paris"/>
    <s v="Enterprise"/>
    <x v="3"/>
    <x v="0"/>
    <x v="3"/>
    <x v="484"/>
    <n v="287.85000000000002"/>
    <n v="602.91999999999996"/>
    <n v="815.10700000000008"/>
    <n v="1620.05"/>
    <m/>
    <n v="0.222"/>
    <n v="1"/>
    <n v="11"/>
    <n v="6632.12"/>
    <n v="3166.3500000000004"/>
    <n v="3465.7699999999995"/>
    <n v="0.52257347575134339"/>
  </r>
  <r>
    <x v="486"/>
    <n v="1"/>
    <x v="391"/>
    <n v="202411"/>
    <n v="202301"/>
    <x v="1"/>
    <x v="6"/>
    <x v="18"/>
    <x v="5"/>
    <s v="No"/>
    <n v="11"/>
    <d v="2024-11-28T00:00:00"/>
    <d v="2024-11-28T00:00:00"/>
    <x v="2"/>
    <x v="3"/>
    <s v="Null"/>
    <s v="Consumer"/>
    <x v="3"/>
    <x v="8"/>
    <x v="1"/>
    <x v="485"/>
    <n v="1008.16"/>
    <n v="2077.5"/>
    <n v="815.10700000000008"/>
    <n v="1620.05"/>
    <s v="Low"/>
    <n v="7.3999999999999996E-2"/>
    <n v="0"/>
    <n v="15"/>
    <n v="31162.5"/>
    <n v="15122.4"/>
    <n v="16040.1"/>
    <n v="0.51472442839951871"/>
  </r>
  <r>
    <x v="487"/>
    <n v="1"/>
    <x v="392"/>
    <n v="202405"/>
    <n v="202301"/>
    <x v="1"/>
    <x v="7"/>
    <x v="7"/>
    <x v="2"/>
    <s v="No"/>
    <n v="12"/>
    <d v="2024-05-24T00:00:00"/>
    <d v="2024-05-24T00:00:00"/>
    <x v="3"/>
    <x v="8"/>
    <s v="Manchester"/>
    <s v="Education"/>
    <x v="2"/>
    <x v="11"/>
    <x v="1"/>
    <x v="486"/>
    <n v="111.02"/>
    <n v="172.88"/>
    <n v="815.10700000000008"/>
    <n v="1620.05"/>
    <s v="High"/>
    <n v="0.19700000000000001"/>
    <n v="0"/>
    <n v="29"/>
    <n v="5013.5199999999995"/>
    <n v="3219.58"/>
    <n v="1793.9399999999996"/>
    <n v="0.35782045349375285"/>
  </r>
  <r>
    <x v="488"/>
    <m/>
    <x v="393"/>
    <d v="2454-06-08T00:00:00"/>
    <d v="2453-11-18T00:00:00"/>
    <x v="2"/>
    <x v="50"/>
    <x v="8"/>
    <x v="6"/>
    <s v="No"/>
    <d v="1900-01-20T00:00:00"/>
    <d v="2025-06-05T00:00:00"/>
    <d v="2025-06-05T00:00:00"/>
    <x v="1"/>
    <x v="2"/>
    <s v="Osaka"/>
    <s v="Enterprise"/>
    <x v="4"/>
    <x v="10"/>
    <x v="3"/>
    <x v="487"/>
    <n v="1466.5"/>
    <n v="2778.74"/>
    <n v="815.10700000000008"/>
    <n v="1620.05"/>
    <m/>
    <n v="0.13500000000000001"/>
    <n v="0"/>
    <n v="4"/>
    <n v="11114.96"/>
    <n v="5866"/>
    <n v="5248.9599999999991"/>
    <n v="0.47224281508885319"/>
  </r>
  <r>
    <x v="489"/>
    <n v="1"/>
    <x v="394"/>
    <n v="202404"/>
    <n v="202301"/>
    <x v="1"/>
    <x v="23"/>
    <x v="20"/>
    <x v="7"/>
    <s v="No"/>
    <n v="28"/>
    <d v="2024-05-19T00:00:00"/>
    <d v="2024-05-19T00:00:00"/>
    <x v="0"/>
    <x v="1"/>
    <s v="Lagos"/>
    <s v="Corporate"/>
    <x v="3"/>
    <x v="8"/>
    <x v="6"/>
    <x v="488"/>
    <n v="187.22"/>
    <n v="309.47000000000003"/>
    <n v="815.10700000000008"/>
    <n v="1620.05"/>
    <s v="High"/>
    <n v="0"/>
    <n v="0"/>
    <n v="5"/>
    <n v="1547.3500000000001"/>
    <n v="936.1"/>
    <n v="611.25000000000011"/>
    <n v="0.39503021294471197"/>
  </r>
  <r>
    <x v="490"/>
    <m/>
    <x v="395"/>
    <d v="2454-03-03T00:00:00"/>
    <d v="2453-11-16T00:00:00"/>
    <x v="0"/>
    <x v="24"/>
    <x v="21"/>
    <x v="6"/>
    <s v="No"/>
    <d v="1900-01-18T00:00:00"/>
    <d v="2024-09-07T00:00:00"/>
    <d v="2024-09-07T00:00:00"/>
    <x v="3"/>
    <x v="7"/>
    <s v="Lyon"/>
    <s v="Corporate"/>
    <x v="4"/>
    <x v="1"/>
    <x v="0"/>
    <x v="489"/>
    <n v="297.58999999999997"/>
    <n v="666.41"/>
    <n v="815.10700000000008"/>
    <n v="1620.05"/>
    <m/>
    <n v="0"/>
    <n v="0"/>
    <n v="10"/>
    <n v="6664.0999999999995"/>
    <n v="2975.8999999999996"/>
    <n v="3688.2"/>
    <n v="0.55344307558409989"/>
  </r>
  <r>
    <x v="491"/>
    <m/>
    <x v="318"/>
    <d v="2454-06-10T00:00:00"/>
    <d v="2453-11-18T00:00:00"/>
    <x v="2"/>
    <x v="27"/>
    <x v="13"/>
    <x v="10"/>
    <s v="No"/>
    <d v="1900-01-26T00:00:00"/>
    <d v="2025-08-19T00:00:00"/>
    <d v="2025-08-19T00:00:00"/>
    <x v="1"/>
    <x v="2"/>
    <s v="Nagoya"/>
    <s v="Consumer"/>
    <x v="2"/>
    <x v="5"/>
    <x v="6"/>
    <x v="490"/>
    <n v="896.09"/>
    <n v="744.27"/>
    <n v="815.10700000000008"/>
    <n v="1620.05"/>
    <m/>
    <n v="8.3000000000000004E-2"/>
    <n v="0"/>
    <n v="11"/>
    <n v="8186.9699999999993"/>
    <n v="9856.99"/>
    <n v="-1670.0200000000004"/>
    <n v="-0.20398511292944771"/>
  </r>
  <r>
    <x v="492"/>
    <n v="1"/>
    <x v="396"/>
    <n v="202403"/>
    <n v="202301"/>
    <x v="1"/>
    <x v="64"/>
    <x v="0"/>
    <x v="8"/>
    <s v="Yes"/>
    <n v="0"/>
    <d v="2024-03-01T00:00:00"/>
    <d v="2024-02-29T00:00:00"/>
    <x v="2"/>
    <x v="5"/>
    <s v="São Paulo"/>
    <s v="Non-Profit"/>
    <x v="4"/>
    <x v="2"/>
    <x v="3"/>
    <x v="491"/>
    <n v="5.34"/>
    <n v="12.69"/>
    <n v="815.10700000000008"/>
    <n v="1620.05"/>
    <s v="Low"/>
    <n v="0.13200000000000001"/>
    <n v="0"/>
    <n v="10"/>
    <n v="126.89999999999999"/>
    <n v="53.4"/>
    <n v="73.5"/>
    <n v="0.57919621749408989"/>
  </r>
  <r>
    <x v="493"/>
    <n v="1"/>
    <x v="397"/>
    <n v="202405"/>
    <n v="202302"/>
    <x v="3"/>
    <x v="23"/>
    <x v="7"/>
    <x v="1"/>
    <s v="No"/>
    <n v="21"/>
    <d v="2024-06-17T00:00:00"/>
    <d v="2024-06-17T00:00:00"/>
    <x v="1"/>
    <x v="4"/>
    <s v="Delhi"/>
    <s v="Small Business"/>
    <x v="1"/>
    <x v="10"/>
    <x v="6"/>
    <x v="492"/>
    <n v="465.02"/>
    <n v="651.55999999999995"/>
    <n v="815.10700000000008"/>
    <n v="1620.05"/>
    <s v="Low"/>
    <n v="4.2000000000000003E-2"/>
    <n v="0"/>
    <n v="19"/>
    <n v="12379.64"/>
    <n v="8835.3799999999992"/>
    <n v="3544.26"/>
    <n v="0.28629750138130028"/>
  </r>
  <r>
    <x v="494"/>
    <m/>
    <x v="398"/>
    <d v="2454-03-03T00:00:00"/>
    <d v="2453-11-16T00:00:00"/>
    <x v="0"/>
    <x v="24"/>
    <x v="21"/>
    <x v="6"/>
    <s v="No"/>
    <d v="1900-01-12T00:00:00"/>
    <d v="2024-08-17T00:00:00"/>
    <d v="2024-08-17T00:00:00"/>
    <x v="2"/>
    <x v="10"/>
    <s v="Austin"/>
    <s v="Consumer"/>
    <x v="0"/>
    <x v="14"/>
    <x v="5"/>
    <x v="493"/>
    <n v="352.79"/>
    <n v="754.22"/>
    <n v="815.10700000000008"/>
    <n v="1620.05"/>
    <m/>
    <n v="0.113"/>
    <n v="0"/>
    <n v="7"/>
    <n v="5279.54"/>
    <n v="2469.5300000000002"/>
    <n v="2810.0099999999998"/>
    <n v="0.53224523348625064"/>
  </r>
  <r>
    <x v="495"/>
    <n v="1"/>
    <x v="263"/>
    <n v="202306"/>
    <n v="202301"/>
    <x v="1"/>
    <x v="29"/>
    <x v="23"/>
    <x v="10"/>
    <s v="No"/>
    <n v="14"/>
    <d v="2023-07-04T00:00:00"/>
    <d v="2023-07-04T00:00:00"/>
    <x v="2"/>
    <x v="5"/>
    <s v="Brasília"/>
    <s v="Non-Profit"/>
    <x v="4"/>
    <x v="0"/>
    <x v="2"/>
    <x v="494"/>
    <n v="1292.8599999999999"/>
    <n v="2981.01"/>
    <n v="815.10700000000008"/>
    <n v="1620.05"/>
    <s v="Low"/>
    <n v="0.14199999999999999"/>
    <n v="0"/>
    <n v="12"/>
    <n v="35772.120000000003"/>
    <n v="15514.32"/>
    <n v="20257.800000000003"/>
    <n v="0.56630135423899952"/>
  </r>
  <r>
    <x v="496"/>
    <n v="1"/>
    <x v="190"/>
    <n v="202409"/>
    <n v="202301"/>
    <x v="1"/>
    <x v="31"/>
    <x v="29"/>
    <x v="9"/>
    <s v="Yes"/>
    <n v="4"/>
    <d v="2024-09-13T00:00:00"/>
    <d v="2024-09-13T00:00:00"/>
    <x v="3"/>
    <x v="8"/>
    <s v="London"/>
    <s v="Consumer"/>
    <x v="2"/>
    <x v="9"/>
    <x v="2"/>
    <x v="495"/>
    <n v="1133.08"/>
    <n v="976.17"/>
    <n v="815.10700000000008"/>
    <n v="1620.05"/>
    <s v="High"/>
    <n v="4.2000000000000003E-2"/>
    <n v="0"/>
    <n v="27"/>
    <n v="26356.59"/>
    <n v="30593.159999999996"/>
    <n v="-4236.5699999999961"/>
    <n v="-0.1607404447995737"/>
  </r>
  <r>
    <x v="497"/>
    <n v="1"/>
    <x v="390"/>
    <n v="202310"/>
    <n v="202301"/>
    <x v="1"/>
    <x v="61"/>
    <x v="32"/>
    <x v="10"/>
    <s v="Yes"/>
    <n v="3"/>
    <d v="2023-10-28T00:00:00"/>
    <d v="2023-10-28T00:00:00"/>
    <x v="2"/>
    <x v="5"/>
    <s v="Brasília"/>
    <s v="Corporate"/>
    <x v="3"/>
    <x v="4"/>
    <x v="6"/>
    <x v="496"/>
    <n v="509.31"/>
    <n v="1145.9000000000001"/>
    <n v="815.10700000000008"/>
    <n v="1620.05"/>
    <s v="Medium"/>
    <n v="5.7000000000000002E-2"/>
    <n v="0"/>
    <n v="8"/>
    <n v="9167.2000000000007"/>
    <n v="4074.48"/>
    <n v="5092.7200000000012"/>
    <n v="0.555537132385025"/>
  </r>
  <r>
    <x v="498"/>
    <n v="1"/>
    <x v="17"/>
    <n v="202509"/>
    <n v="202301"/>
    <x v="1"/>
    <x v="11"/>
    <x v="11"/>
    <x v="5"/>
    <s v="No"/>
    <n v="27"/>
    <d v="2025-10-05T00:00:00"/>
    <d v="2025-10-05T00:00:00"/>
    <x v="2"/>
    <x v="5"/>
    <s v="Rio de Janeiro"/>
    <s v="Education"/>
    <x v="1"/>
    <x v="0"/>
    <x v="5"/>
    <x v="497"/>
    <n v="660.78"/>
    <n v="1630.39"/>
    <n v="815.10700000000008"/>
    <n v="1620.05"/>
    <s v="Medium"/>
    <n v="0.218"/>
    <n v="1"/>
    <n v="13"/>
    <n v="21195.07"/>
    <n v="8590.14"/>
    <n v="12604.93"/>
    <n v="0.59471046804752237"/>
  </r>
  <r>
    <x v="499"/>
    <n v="1"/>
    <x v="129"/>
    <n v="202305"/>
    <n v="202302"/>
    <x v="3"/>
    <x v="39"/>
    <x v="15"/>
    <x v="8"/>
    <s v="No"/>
    <n v="14"/>
    <d v="2023-05-16T00:00:00"/>
    <d v="2023-05-16T00:00:00"/>
    <x v="1"/>
    <x v="4"/>
    <s v="Bengaluru"/>
    <s v="Non-Profit"/>
    <x v="0"/>
    <x v="4"/>
    <x v="5"/>
    <x v="498"/>
    <n v="475.37"/>
    <n v="963.73"/>
    <n v="815.10700000000008"/>
    <n v="1620.05"/>
    <s v="High"/>
    <n v="4.1000000000000002E-2"/>
    <n v="0"/>
    <n v="22"/>
    <n v="21202.06"/>
    <n v="10458.14"/>
    <n v="10743.920000000002"/>
    <n v="0.50673943946956101"/>
  </r>
  <r>
    <x v="500"/>
    <n v="1"/>
    <x v="399"/>
    <n v="202404"/>
    <n v="202301"/>
    <x v="1"/>
    <x v="23"/>
    <x v="20"/>
    <x v="9"/>
    <s v="Yes"/>
    <n v="0"/>
    <d v="2024-04-26T00:00:00"/>
    <d v="2024-04-24T00:00:00"/>
    <x v="3"/>
    <x v="8"/>
    <s v="London"/>
    <s v="Non-Profit"/>
    <x v="3"/>
    <x v="13"/>
    <x v="3"/>
    <x v="499"/>
    <n v="1232.77"/>
    <n v="891.73"/>
    <n v="815.10700000000008"/>
    <n v="1620.05"/>
    <s v="Medium"/>
    <n v="0.16700000000000001"/>
    <n v="0"/>
    <n v="10"/>
    <n v="8917.2999999999993"/>
    <n v="12327.7"/>
    <n v="-3410.4000000000015"/>
    <n v="-0.38244760185257887"/>
  </r>
  <r>
    <x v="501"/>
    <n v="1"/>
    <x v="29"/>
    <n v="202302"/>
    <n v="202301"/>
    <x v="1"/>
    <x v="20"/>
    <x v="2"/>
    <x v="6"/>
    <s v="No"/>
    <n v="23"/>
    <d v="2023-03-18T00:00:00"/>
    <d v="2023-03-18T00:00:00"/>
    <x v="1"/>
    <x v="9"/>
    <s v="Beijing"/>
    <s v="Education"/>
    <x v="3"/>
    <x v="11"/>
    <x v="1"/>
    <x v="500"/>
    <n v="770.11"/>
    <n v="1667.82"/>
    <n v="815.10700000000008"/>
    <n v="1620.05"/>
    <s v="Medium"/>
    <n v="6.9000000000000006E-2"/>
    <n v="0"/>
    <n v="7"/>
    <n v="11674.74"/>
    <n v="5390.77"/>
    <n v="6283.9699999999993"/>
    <n v="0.5382535285582376"/>
  </r>
  <r>
    <x v="502"/>
    <n v="1"/>
    <x v="400"/>
    <n v="202503"/>
    <n v="202301"/>
    <x v="1"/>
    <x v="3"/>
    <x v="3"/>
    <x v="3"/>
    <s v="Yes"/>
    <n v="1"/>
    <d v="2025-03-25T00:00:00"/>
    <d v="2025-03-25T00:00:00"/>
    <x v="1"/>
    <x v="9"/>
    <s v="Beijing"/>
    <s v="Non-Profit"/>
    <x v="1"/>
    <x v="3"/>
    <x v="2"/>
    <x v="501"/>
    <n v="1133.03"/>
    <n v="1921.51"/>
    <n v="815.10700000000008"/>
    <n v="1620.05"/>
    <s v="High"/>
    <n v="0.10100000000000001"/>
    <n v="0"/>
    <n v="5"/>
    <n v="9607.5499999999993"/>
    <n v="5665.15"/>
    <n v="3942.3999999999996"/>
    <n v="0.41034394824903331"/>
  </r>
  <r>
    <x v="503"/>
    <n v="1"/>
    <x v="401"/>
    <n v="202503"/>
    <n v="202301"/>
    <x v="1"/>
    <x v="3"/>
    <x v="3"/>
    <x v="4"/>
    <s v="No"/>
    <n v="17"/>
    <d v="2025-03-27T00:00:00"/>
    <d v="2025-03-27T00:00:00"/>
    <x v="2"/>
    <x v="5"/>
    <s v="Rio de Janeiro"/>
    <s v="Enterprise"/>
    <x v="4"/>
    <x v="9"/>
    <x v="2"/>
    <x v="502"/>
    <n v="996.73"/>
    <n v="1217.43"/>
    <n v="815.10700000000008"/>
    <n v="1620.05"/>
    <s v="High"/>
    <n v="7.0000000000000007E-2"/>
    <n v="0"/>
    <n v="9"/>
    <n v="10956.87"/>
    <n v="8970.57"/>
    <n v="1986.3000000000011"/>
    <n v="0.1812835234880035"/>
  </r>
  <r>
    <x v="504"/>
    <n v="1"/>
    <x v="402"/>
    <n v="202404"/>
    <n v="202301"/>
    <x v="1"/>
    <x v="23"/>
    <x v="20"/>
    <x v="4"/>
    <s v="Yes"/>
    <n v="4"/>
    <d v="2024-04-09T00:00:00"/>
    <d v="2024-04-09T00:00:00"/>
    <x v="0"/>
    <x v="1"/>
    <s v="Lagos"/>
    <s v="Non-Profit"/>
    <x v="4"/>
    <x v="11"/>
    <x v="0"/>
    <x v="503"/>
    <n v="395.07"/>
    <n v="970.27"/>
    <n v="815.10700000000008"/>
    <n v="1620.05"/>
    <s v="Medium"/>
    <n v="0.123"/>
    <n v="0"/>
    <n v="38"/>
    <n v="36870.26"/>
    <n v="15012.66"/>
    <n v="21857.600000000002"/>
    <n v="0.59282467766704117"/>
  </r>
  <r>
    <x v="505"/>
    <m/>
    <x v="60"/>
    <d v="2454-06-07T00:00:00"/>
    <d v="2453-11-16T00:00:00"/>
    <x v="0"/>
    <x v="22"/>
    <x v="19"/>
    <x v="6"/>
    <s v="No"/>
    <d v="1900-01-19T00:00:00"/>
    <d v="2025-05-17T00:00:00"/>
    <d v="2025-05-17T00:00:00"/>
    <x v="2"/>
    <x v="10"/>
    <s v="Austin"/>
    <s v="Corporate"/>
    <x v="4"/>
    <x v="13"/>
    <x v="3"/>
    <x v="504"/>
    <n v="932.26"/>
    <n v="1624.67"/>
    <n v="815.10700000000008"/>
    <n v="1620.05"/>
    <m/>
    <n v="0.23499999999999999"/>
    <n v="1"/>
    <n v="28"/>
    <n v="45490.76"/>
    <n v="26103.279999999999"/>
    <n v="19387.480000000003"/>
    <n v="0.42618500987892932"/>
  </r>
  <r>
    <x v="506"/>
    <n v="1"/>
    <x v="403"/>
    <n v="202410"/>
    <n v="202301"/>
    <x v="1"/>
    <x v="1"/>
    <x v="1"/>
    <x v="7"/>
    <s v="Yes"/>
    <n v="4"/>
    <d v="2024-10-28T00:00:00"/>
    <d v="2024-10-28T00:00:00"/>
    <x v="1"/>
    <x v="9"/>
    <s v="Shanghai"/>
    <s v="Small Business"/>
    <x v="3"/>
    <x v="2"/>
    <x v="2"/>
    <x v="505"/>
    <n v="1331.77"/>
    <n v="2606.11"/>
    <n v="815.10700000000008"/>
    <n v="1620.05"/>
    <s v="High"/>
    <n v="0.02"/>
    <n v="0"/>
    <n v="6"/>
    <n v="15636.66"/>
    <n v="7990.62"/>
    <n v="7646.04"/>
    <n v="0.48898166232430712"/>
  </r>
  <r>
    <x v="507"/>
    <m/>
    <x v="289"/>
    <d v="2453-11-19T00:00:00"/>
    <d v="2453-11-16T00:00:00"/>
    <x v="0"/>
    <x v="12"/>
    <x v="12"/>
    <x v="2"/>
    <s v="Yes"/>
    <d v="1900-01-06T00:00:00"/>
    <d v="2023-04-20T00:00:00"/>
    <d v="2023-04-20T00:00:00"/>
    <x v="3"/>
    <x v="7"/>
    <s v="Lyon"/>
    <s v="Small Business"/>
    <x v="1"/>
    <x v="8"/>
    <x v="4"/>
    <x v="506"/>
    <n v="227.02"/>
    <n v="434.72"/>
    <n v="815.10700000000008"/>
    <n v="1620.05"/>
    <m/>
    <n v="9.8000000000000004E-2"/>
    <n v="0"/>
    <n v="10"/>
    <n v="4347.2000000000007"/>
    <n v="2270.2000000000003"/>
    <n v="2077.0000000000005"/>
    <n v="0.47777880014722124"/>
  </r>
  <r>
    <x v="508"/>
    <n v="1"/>
    <x v="404"/>
    <n v="202411"/>
    <n v="202302"/>
    <x v="3"/>
    <x v="1"/>
    <x v="18"/>
    <x v="9"/>
    <s v="No"/>
    <n v="9"/>
    <d v="2024-11-21T00:00:00"/>
    <d v="2024-11-21T00:00:00"/>
    <x v="1"/>
    <x v="4"/>
    <s v="Mumbai"/>
    <s v="Corporate"/>
    <x v="4"/>
    <x v="10"/>
    <x v="4"/>
    <x v="507"/>
    <n v="903.41"/>
    <n v="1860.41"/>
    <n v="815.10700000000008"/>
    <n v="1620.05"/>
    <s v="Low"/>
    <n v="0.108"/>
    <n v="0"/>
    <n v="5"/>
    <n v="9302.0500000000011"/>
    <n v="4517.05"/>
    <n v="4785.0000000000009"/>
    <n v="0.51440273918114832"/>
  </r>
  <r>
    <x v="509"/>
    <n v="1"/>
    <x v="405"/>
    <n v="202305"/>
    <n v="202302"/>
    <x v="3"/>
    <x v="39"/>
    <x v="15"/>
    <x v="2"/>
    <s v="Yes"/>
    <n v="4"/>
    <d v="2023-05-14T00:00:00"/>
    <d v="2023-05-14T00:00:00"/>
    <x v="1"/>
    <x v="4"/>
    <s v="Delhi"/>
    <s v="Non-Profit"/>
    <x v="3"/>
    <x v="0"/>
    <x v="5"/>
    <x v="508"/>
    <n v="622.6"/>
    <n v="833.69"/>
    <n v="815.10700000000008"/>
    <n v="1620.05"/>
    <s v="High"/>
    <n v="0.20899999999999999"/>
    <n v="1"/>
    <n v="14"/>
    <n v="11671.66"/>
    <n v="8716.4"/>
    <n v="2955.26"/>
    <n v="0.25319963055812117"/>
  </r>
  <r>
    <x v="510"/>
    <m/>
    <x v="262"/>
    <d v="2454-02-26T00:00:00"/>
    <d v="2453-11-16T00:00:00"/>
    <x v="0"/>
    <x v="0"/>
    <x v="0"/>
    <x v="9"/>
    <s v="No"/>
    <d v="1900-01-20T00:00:00"/>
    <d v="2024-03-23T00:00:00"/>
    <d v="2024-03-23T00:00:00"/>
    <x v="2"/>
    <x v="10"/>
    <s v="Chicago"/>
    <s v="Small Business"/>
    <x v="1"/>
    <x v="9"/>
    <x v="0"/>
    <x v="509"/>
    <n v="225.01"/>
    <n v="333.48"/>
    <n v="815.10700000000008"/>
    <n v="1620.05"/>
    <m/>
    <n v="0.11899999999999999"/>
    <n v="0"/>
    <n v="12"/>
    <n v="4001.76"/>
    <n v="2700.12"/>
    <n v="1301.6400000000003"/>
    <n v="0.32526688257166853"/>
  </r>
  <r>
    <x v="511"/>
    <n v="1"/>
    <x v="406"/>
    <n v="202410"/>
    <n v="202301"/>
    <x v="1"/>
    <x v="1"/>
    <x v="1"/>
    <x v="1"/>
    <s v="Yes"/>
    <n v="1"/>
    <d v="2024-10-11T00:00:00"/>
    <d v="2024-10-11T00:00:00"/>
    <x v="3"/>
    <x v="8"/>
    <s v="Manchester"/>
    <s v="Non-Profit"/>
    <x v="3"/>
    <x v="4"/>
    <x v="0"/>
    <x v="510"/>
    <n v="1389.46"/>
    <n v="1784.7"/>
    <n v="815.10700000000008"/>
    <n v="1620.05"/>
    <s v="Low"/>
    <n v="0.14599999999999999"/>
    <n v="0"/>
    <n v="33"/>
    <n v="58895.1"/>
    <n v="45852.18"/>
    <n v="13042.919999999998"/>
    <n v="0.22146018938757212"/>
  </r>
  <r>
    <x v="512"/>
    <m/>
    <x v="407"/>
    <d v="2453-11-21T00:00:00"/>
    <d v="2453-11-16T00:00:00"/>
    <x v="0"/>
    <x v="25"/>
    <x v="23"/>
    <x v="2"/>
    <s v="Yes"/>
    <d v="1900-01-06T00:00:00"/>
    <d v="2023-06-08T00:00:00"/>
    <d v="2023-06-08T00:00:00"/>
    <x v="3"/>
    <x v="6"/>
    <s v="Frankfurt"/>
    <s v="Consumer"/>
    <x v="1"/>
    <x v="8"/>
    <x v="3"/>
    <x v="511"/>
    <n v="804.17"/>
    <n v="1072.29"/>
    <n v="815.10700000000008"/>
    <n v="1620.05"/>
    <m/>
    <n v="3.2000000000000001E-2"/>
    <n v="0"/>
    <n v="5"/>
    <n v="5361.45"/>
    <n v="4020.85"/>
    <n v="1340.6"/>
    <n v="0.2500442977179681"/>
  </r>
  <r>
    <x v="513"/>
    <n v="1"/>
    <x v="408"/>
    <n v="202501"/>
    <n v="202302"/>
    <x v="3"/>
    <x v="41"/>
    <x v="10"/>
    <x v="9"/>
    <s v="Yes"/>
    <n v="1"/>
    <d v="2025-01-05T00:00:00"/>
    <d v="2025-01-05T00:00:00"/>
    <x v="1"/>
    <x v="4"/>
    <s v="Delhi"/>
    <s v="Education"/>
    <x v="0"/>
    <x v="2"/>
    <x v="0"/>
    <x v="512"/>
    <n v="1428.33"/>
    <n v="3028.05"/>
    <n v="815.10700000000008"/>
    <n v="1620.05"/>
    <s v="Medium"/>
    <n v="0"/>
    <n v="0"/>
    <n v="11"/>
    <n v="33308.550000000003"/>
    <n v="15711.63"/>
    <n v="17596.920000000006"/>
    <n v="0.52830039134096207"/>
  </r>
  <r>
    <x v="514"/>
    <n v="1"/>
    <x v="117"/>
    <n v="202508"/>
    <n v="202302"/>
    <x v="3"/>
    <x v="15"/>
    <x v="28"/>
    <x v="4"/>
    <s v="No"/>
    <n v="23"/>
    <d v="2025-08-28T00:00:00"/>
    <d v="2025-08-28T00:00:00"/>
    <x v="1"/>
    <x v="4"/>
    <s v="Mumbai"/>
    <s v="Non-Profit"/>
    <x v="3"/>
    <x v="13"/>
    <x v="4"/>
    <x v="513"/>
    <n v="638.54"/>
    <n v="987.24"/>
    <n v="815.10700000000008"/>
    <n v="1620.05"/>
    <s v="High"/>
    <n v="0"/>
    <n v="0"/>
    <n v="11"/>
    <n v="10859.64"/>
    <n v="7023.94"/>
    <n v="3835.7"/>
    <n v="0.35320692030306716"/>
  </r>
  <r>
    <x v="515"/>
    <m/>
    <x v="322"/>
    <d v="2453-11-24T00:00:00"/>
    <d v="2453-11-18T00:00:00"/>
    <x v="2"/>
    <x v="30"/>
    <x v="27"/>
    <x v="8"/>
    <s v="No"/>
    <d v="1900-01-29T00:00:00"/>
    <d v="2023-10-30T00:00:00"/>
    <d v="2023-10-30T00:00:00"/>
    <x v="1"/>
    <x v="2"/>
    <s v="Tokyo"/>
    <s v="Enterprise"/>
    <x v="1"/>
    <x v="14"/>
    <x v="1"/>
    <x v="514"/>
    <n v="649.13"/>
    <n v="975.43"/>
    <n v="815.10700000000008"/>
    <n v="1620.05"/>
    <m/>
    <n v="0.157"/>
    <n v="0"/>
    <n v="27"/>
    <n v="26336.609999999997"/>
    <n v="17526.509999999998"/>
    <n v="8810.0999999999985"/>
    <n v="0.33451913515065151"/>
  </r>
  <r>
    <x v="516"/>
    <n v="1"/>
    <x v="252"/>
    <n v="202505"/>
    <n v="202301"/>
    <x v="1"/>
    <x v="8"/>
    <x v="8"/>
    <x v="11"/>
    <s v="No"/>
    <n v="13"/>
    <d v="2025-05-30T00:00:00"/>
    <d v="2025-05-30T00:00:00"/>
    <x v="0"/>
    <x v="1"/>
    <s v="Lagos"/>
    <s v="Consumer"/>
    <x v="3"/>
    <x v="9"/>
    <x v="6"/>
    <x v="515"/>
    <n v="66.400000000000006"/>
    <n v="141.43"/>
    <n v="815.10700000000008"/>
    <n v="1620.05"/>
    <s v="Medium"/>
    <n v="0.107"/>
    <n v="0"/>
    <n v="8"/>
    <n v="1131.44"/>
    <n v="531.20000000000005"/>
    <n v="600.24"/>
    <n v="0.53050979283037547"/>
  </r>
  <r>
    <x v="517"/>
    <m/>
    <x v="371"/>
    <d v="2454-02-28T00:00:00"/>
    <d v="2453-11-16T00:00:00"/>
    <x v="0"/>
    <x v="19"/>
    <x v="7"/>
    <x v="7"/>
    <s v="No"/>
    <d v="1900-01-24T00:00:00"/>
    <d v="2024-05-26T00:00:00"/>
    <d v="2024-05-26T00:00:00"/>
    <x v="3"/>
    <x v="6"/>
    <s v="Berlin"/>
    <s v="Non-Profit"/>
    <x v="0"/>
    <x v="5"/>
    <x v="2"/>
    <x v="516"/>
    <n v="930.71"/>
    <n v="1625.42"/>
    <n v="815.10700000000008"/>
    <n v="1620.05"/>
    <m/>
    <n v="0.13800000000000001"/>
    <n v="0"/>
    <n v="7"/>
    <n v="11377.94"/>
    <n v="6514.97"/>
    <n v="4862.97"/>
    <n v="0.42740337881901291"/>
  </r>
  <r>
    <x v="518"/>
    <n v="1"/>
    <x v="409"/>
    <n v="202305"/>
    <n v="202301"/>
    <x v="1"/>
    <x v="17"/>
    <x v="15"/>
    <x v="6"/>
    <s v="No"/>
    <n v="17"/>
    <d v="2023-05-18T00:00:00"/>
    <d v="2023-05-18T00:00:00"/>
    <x v="0"/>
    <x v="1"/>
    <s v="Port Harcourt"/>
    <s v="Corporate"/>
    <x v="4"/>
    <x v="9"/>
    <x v="0"/>
    <x v="517"/>
    <n v="327.97"/>
    <n v="299.94"/>
    <n v="815.10700000000008"/>
    <n v="1620.05"/>
    <s v="High"/>
    <n v="4.9000000000000002E-2"/>
    <n v="0"/>
    <n v="3"/>
    <n v="899.81999999999994"/>
    <n v="983.91000000000008"/>
    <n v="-84.090000000000146"/>
    <n v="-9.3452023738081119E-2"/>
  </r>
  <r>
    <x v="519"/>
    <m/>
    <x v="410"/>
    <d v="2454-03-02T00:00:00"/>
    <d v="2453-11-16T00:00:00"/>
    <x v="0"/>
    <x v="16"/>
    <x v="14"/>
    <x v="9"/>
    <s v="No"/>
    <d v="1900-01-29T00:00:00"/>
    <d v="2024-08-08T00:00:00"/>
    <d v="2024-08-08T00:00:00"/>
    <x v="3"/>
    <x v="7"/>
    <s v="Marseille"/>
    <s v="Corporate"/>
    <x v="4"/>
    <x v="1"/>
    <x v="0"/>
    <x v="518"/>
    <n v="1062.3800000000001"/>
    <n v="1503.96"/>
    <n v="815.10700000000008"/>
    <n v="1620.05"/>
    <m/>
    <n v="0.18"/>
    <n v="0"/>
    <n v="6"/>
    <n v="9023.76"/>
    <n v="6374.2800000000007"/>
    <n v="2649.4799999999996"/>
    <n v="0.29361153222160158"/>
  </r>
  <r>
    <x v="520"/>
    <n v="1"/>
    <x v="405"/>
    <n v="202305"/>
    <n v="202302"/>
    <x v="3"/>
    <x v="39"/>
    <x v="15"/>
    <x v="10"/>
    <s v="No"/>
    <n v="17"/>
    <d v="2023-05-27T00:00:00"/>
    <d v="2023-05-27T00:00:00"/>
    <x v="1"/>
    <x v="4"/>
    <s v="Mumbai"/>
    <s v="Consumer"/>
    <x v="0"/>
    <x v="12"/>
    <x v="4"/>
    <x v="519"/>
    <n v="1286.1600000000001"/>
    <n v="3101.11"/>
    <n v="815.10700000000008"/>
    <n v="1620.05"/>
    <s v="Medium"/>
    <n v="0.1"/>
    <n v="0"/>
    <n v="23"/>
    <n v="71325.53"/>
    <n v="29581.68"/>
    <n v="41743.85"/>
    <n v="0.58525818174782573"/>
  </r>
  <r>
    <x v="521"/>
    <n v="1"/>
    <x v="410"/>
    <n v="202407"/>
    <n v="202301"/>
    <x v="1"/>
    <x v="59"/>
    <x v="14"/>
    <x v="9"/>
    <s v="Yes"/>
    <n v="3"/>
    <d v="2024-07-12T00:00:00"/>
    <d v="2024-07-12T00:00:00"/>
    <x v="1"/>
    <x v="9"/>
    <s v="Shanghai"/>
    <s v="Small Business"/>
    <x v="0"/>
    <x v="14"/>
    <x v="6"/>
    <x v="520"/>
    <n v="748.39"/>
    <n v="979.42"/>
    <n v="815.10700000000008"/>
    <n v="1620.05"/>
    <s v="High"/>
    <n v="0"/>
    <n v="0"/>
    <n v="23"/>
    <n v="22526.66"/>
    <n v="17212.97"/>
    <n v="5313.6899999999987"/>
    <n v="0.23588450307324738"/>
  </r>
  <r>
    <x v="522"/>
    <m/>
    <x v="411"/>
    <d v="2454-02-27T00:00:00"/>
    <d v="2453-11-16T00:00:00"/>
    <x v="0"/>
    <x v="40"/>
    <x v="20"/>
    <x v="10"/>
    <s v="No"/>
    <d v="1900-01-15T00:00:00"/>
    <d v="2024-05-10T00:00:00"/>
    <d v="2024-05-10T00:00:00"/>
    <x v="0"/>
    <x v="0"/>
    <s v="Kisumu"/>
    <s v="Non-Profit"/>
    <x v="1"/>
    <x v="13"/>
    <x v="5"/>
    <x v="521"/>
    <n v="513.30999999999995"/>
    <n v="1186.26"/>
    <n v="815.10700000000008"/>
    <n v="1620.05"/>
    <m/>
    <n v="9.4E-2"/>
    <n v="0"/>
    <n v="15"/>
    <n v="17793.900000000001"/>
    <n v="7699.65"/>
    <n v="10094.250000000002"/>
    <n v="0.56728710400755322"/>
  </r>
  <r>
    <x v="523"/>
    <m/>
    <x v="94"/>
    <d v="2454-02-24T00:00:00"/>
    <d v="2453-11-16T00:00:00"/>
    <x v="0"/>
    <x v="9"/>
    <x v="9"/>
    <x v="6"/>
    <s v="Yes"/>
    <d v="1900-01-01T00:00:00"/>
    <d v="2024-01-15T00:00:00"/>
    <d v="2024-01-15T00:00:00"/>
    <x v="2"/>
    <x v="10"/>
    <s v="San Francisco"/>
    <s v="Non-Profit"/>
    <x v="4"/>
    <x v="6"/>
    <x v="0"/>
    <x v="522"/>
    <n v="1061.3699999999999"/>
    <n v="1938.33"/>
    <n v="815.10700000000008"/>
    <n v="1620.05"/>
    <m/>
    <n v="0.17"/>
    <n v="0"/>
    <n v="4"/>
    <n v="7753.32"/>
    <n v="4245.4799999999996"/>
    <n v="3507.84"/>
    <n v="0.45243070065468732"/>
  </r>
  <r>
    <x v="524"/>
    <m/>
    <x v="412"/>
    <d v="2454-02-27T00:00:00"/>
    <d v="2453-11-16T00:00:00"/>
    <x v="0"/>
    <x v="40"/>
    <x v="20"/>
    <x v="1"/>
    <s v="No"/>
    <d v="1900-01-10T00:00:00"/>
    <d v="2024-04-27T00:00:00"/>
    <d v="2024-04-27T00:00:00"/>
    <x v="0"/>
    <x v="0"/>
    <s v="Nakuru"/>
    <s v="Enterprise"/>
    <x v="1"/>
    <x v="14"/>
    <x v="1"/>
    <x v="523"/>
    <n v="401.3"/>
    <n v="826.47"/>
    <n v="815.10700000000008"/>
    <n v="1620.05"/>
    <m/>
    <n v="0.22500000000000001"/>
    <n v="1"/>
    <n v="13"/>
    <n v="10744.11"/>
    <n v="5216.9000000000005"/>
    <n v="5527.21"/>
    <n v="0.5144409355451498"/>
  </r>
  <r>
    <x v="525"/>
    <n v="1"/>
    <x v="413"/>
    <n v="202502"/>
    <n v="202301"/>
    <x v="1"/>
    <x v="36"/>
    <x v="26"/>
    <x v="6"/>
    <s v="No"/>
    <n v="9"/>
    <d v="2025-02-16T00:00:00"/>
    <d v="2025-02-16T00:00:00"/>
    <x v="0"/>
    <x v="1"/>
    <s v="Lagos"/>
    <s v="Small Business"/>
    <x v="3"/>
    <x v="0"/>
    <x v="1"/>
    <x v="524"/>
    <n v="90.68"/>
    <n v="118.17"/>
    <n v="815.10700000000008"/>
    <n v="1620.05"/>
    <s v="Medium"/>
    <n v="0.13500000000000001"/>
    <n v="0"/>
    <n v="21"/>
    <n v="2481.5700000000002"/>
    <n v="1904.2800000000002"/>
    <n v="577.29"/>
    <n v="0.23263095540323261"/>
  </r>
  <r>
    <x v="526"/>
    <n v="1"/>
    <x v="414"/>
    <n v="202301"/>
    <n v="202301"/>
    <x v="1"/>
    <x v="5"/>
    <x v="5"/>
    <x v="4"/>
    <s v="No"/>
    <n v="14"/>
    <d v="2023-01-26T00:00:00"/>
    <d v="2023-01-26T00:00:00"/>
    <x v="1"/>
    <x v="9"/>
    <s v="Shenzhen"/>
    <s v="Non-Profit"/>
    <x v="0"/>
    <x v="12"/>
    <x v="1"/>
    <x v="525"/>
    <n v="1083.0899999999999"/>
    <n v="1425.87"/>
    <n v="815.10700000000008"/>
    <n v="1620.05"/>
    <s v="Low"/>
    <n v="0"/>
    <n v="0"/>
    <n v="8"/>
    <n v="11406.96"/>
    <n v="8664.7199999999993"/>
    <n v="2742.24"/>
    <n v="0.24040059752992909"/>
  </r>
  <r>
    <x v="527"/>
    <m/>
    <x v="415"/>
    <d v="2454-03-01T00:00:00"/>
    <d v="2453-11-16T00:00:00"/>
    <x v="0"/>
    <x v="51"/>
    <x v="17"/>
    <x v="3"/>
    <s v="No"/>
    <d v="1900-01-17T00:00:00"/>
    <d v="2024-06-23T00:00:00"/>
    <d v="2024-06-23T00:00:00"/>
    <x v="0"/>
    <x v="0"/>
    <s v="Nairobi"/>
    <s v="Consumer"/>
    <x v="3"/>
    <x v="14"/>
    <x v="4"/>
    <x v="526"/>
    <n v="1208.74"/>
    <n v="1594.78"/>
    <n v="815.10700000000008"/>
    <n v="1620.05"/>
    <m/>
    <n v="5.8999999999999997E-2"/>
    <n v="0"/>
    <n v="39"/>
    <n v="62196.42"/>
    <n v="47140.86"/>
    <n v="15055.559999999998"/>
    <n v="0.24206473620185853"/>
  </r>
  <r>
    <x v="528"/>
    <m/>
    <x v="416"/>
    <d v="2453-11-23T00:00:00"/>
    <d v="2453-11-16T00:00:00"/>
    <x v="0"/>
    <x v="34"/>
    <x v="25"/>
    <x v="6"/>
    <s v="No"/>
    <d v="1900-01-26T00:00:00"/>
    <d v="2023-09-20T00:00:00"/>
    <d v="2023-09-20T00:00:00"/>
    <x v="0"/>
    <x v="11"/>
    <s v="Durban"/>
    <s v="Small Business"/>
    <x v="2"/>
    <x v="12"/>
    <x v="1"/>
    <x v="527"/>
    <n v="1399.64"/>
    <n v="3342.11"/>
    <n v="815.10700000000008"/>
    <n v="1620.05"/>
    <m/>
    <n v="0"/>
    <n v="0"/>
    <n v="10"/>
    <n v="33421.1"/>
    <n v="13996.400000000001"/>
    <n v="19424.699999999997"/>
    <n v="0.58121067229983447"/>
  </r>
  <r>
    <x v="529"/>
    <m/>
    <x v="246"/>
    <d v="2454-02-24T00:00:00"/>
    <d v="2453-11-18T00:00:00"/>
    <x v="2"/>
    <x v="53"/>
    <x v="9"/>
    <x v="11"/>
    <s v="No"/>
    <d v="1900-01-13T00:00:00"/>
    <d v="2024-02-08T00:00:00"/>
    <d v="2024-02-08T00:00:00"/>
    <x v="1"/>
    <x v="2"/>
    <s v="Osaka"/>
    <s v="Consumer"/>
    <x v="2"/>
    <x v="2"/>
    <x v="2"/>
    <x v="528"/>
    <n v="937.16"/>
    <n v="1069.77"/>
    <n v="815.10700000000008"/>
    <n v="1620.05"/>
    <m/>
    <n v="3.7999999999999999E-2"/>
    <n v="0"/>
    <n v="9"/>
    <n v="9627.93"/>
    <n v="8434.44"/>
    <n v="1193.4899999999998"/>
    <n v="0.12396122531011336"/>
  </r>
  <r>
    <x v="530"/>
    <m/>
    <x v="417"/>
    <d v="2454-06-06T00:00:00"/>
    <d v="2453-11-16T00:00:00"/>
    <x v="0"/>
    <x v="50"/>
    <x v="3"/>
    <x v="1"/>
    <s v="No"/>
    <d v="1900-01-14T00:00:00"/>
    <d v="2025-03-26T00:00:00"/>
    <d v="2025-03-26T00:00:00"/>
    <x v="3"/>
    <x v="6"/>
    <s v="Berlin"/>
    <s v="Small Business"/>
    <x v="1"/>
    <x v="2"/>
    <x v="3"/>
    <x v="529"/>
    <n v="116.97"/>
    <n v="140.82"/>
    <n v="815.10700000000008"/>
    <n v="1620.05"/>
    <m/>
    <n v="0.122"/>
    <n v="0"/>
    <n v="5"/>
    <n v="704.09999999999991"/>
    <n v="584.85"/>
    <n v="119.24999999999989"/>
    <n v="0.16936514699616517"/>
  </r>
  <r>
    <x v="531"/>
    <m/>
    <x v="221"/>
    <d v="2454-06-07T00:00:00"/>
    <d v="2453-11-16T00:00:00"/>
    <x v="0"/>
    <x v="22"/>
    <x v="19"/>
    <x v="4"/>
    <s v="No"/>
    <d v="1900-01-19T00:00:00"/>
    <d v="2025-05-12T00:00:00"/>
    <d v="2025-05-12T00:00:00"/>
    <x v="3"/>
    <x v="7"/>
    <s v="Lyon"/>
    <s v="Enterprise"/>
    <x v="2"/>
    <x v="11"/>
    <x v="5"/>
    <x v="530"/>
    <n v="59.51"/>
    <n v="67.040000000000006"/>
    <n v="815.10700000000008"/>
    <n v="1620.05"/>
    <m/>
    <n v="0.114"/>
    <n v="0"/>
    <n v="9"/>
    <n v="603.36"/>
    <n v="535.59"/>
    <n v="67.769999999999982"/>
    <n v="0.11232100238663481"/>
  </r>
  <r>
    <x v="532"/>
    <m/>
    <x v="418"/>
    <d v="2453-11-23T00:00:00"/>
    <d v="2453-11-16T00:00:00"/>
    <x v="0"/>
    <x v="34"/>
    <x v="25"/>
    <x v="7"/>
    <s v="No"/>
    <d v="1900-01-16T00:00:00"/>
    <d v="2023-09-03T00:00:00"/>
    <d v="2023-09-03T00:00:00"/>
    <x v="0"/>
    <x v="11"/>
    <s v="Durban"/>
    <s v="Enterprise"/>
    <x v="0"/>
    <x v="8"/>
    <x v="3"/>
    <x v="531"/>
    <n v="676.37"/>
    <n v="1276.67"/>
    <n v="815.10700000000008"/>
    <n v="1620.05"/>
    <m/>
    <n v="6.6000000000000003E-2"/>
    <n v="0"/>
    <n v="10"/>
    <n v="12766.7"/>
    <n v="6763.7"/>
    <n v="6003.0000000000009"/>
    <n v="0.47020764958838229"/>
  </r>
  <r>
    <x v="533"/>
    <m/>
    <x v="35"/>
    <d v="2454-06-09T00:00:00"/>
    <d v="2453-11-16T00:00:00"/>
    <x v="0"/>
    <x v="37"/>
    <x v="16"/>
    <x v="11"/>
    <s v="No"/>
    <d v="1900-01-19T00:00:00"/>
    <d v="2025-07-14T00:00:00"/>
    <d v="2025-07-14T00:00:00"/>
    <x v="0"/>
    <x v="11"/>
    <s v="Johannesburg"/>
    <s v="Enterprise"/>
    <x v="2"/>
    <x v="1"/>
    <x v="4"/>
    <x v="532"/>
    <n v="1151.06"/>
    <n v="2821.36"/>
    <n v="815.10700000000008"/>
    <n v="1620.05"/>
    <m/>
    <n v="0.248"/>
    <n v="1"/>
    <n v="20"/>
    <n v="56427.200000000004"/>
    <n v="23021.199999999997"/>
    <n v="33406.000000000007"/>
    <n v="0.59201945161198866"/>
  </r>
  <r>
    <x v="534"/>
    <n v="1"/>
    <x v="419"/>
    <n v="202501"/>
    <n v="202301"/>
    <x v="1"/>
    <x v="49"/>
    <x v="10"/>
    <x v="7"/>
    <s v="No"/>
    <n v="27"/>
    <d v="2025-02-06T00:00:00"/>
    <d v="2025-02-06T00:00:00"/>
    <x v="2"/>
    <x v="5"/>
    <s v="Brasília"/>
    <s v="Non-Profit"/>
    <x v="0"/>
    <x v="5"/>
    <x v="4"/>
    <x v="533"/>
    <n v="725.62"/>
    <n v="1559.19"/>
    <n v="815.10700000000008"/>
    <n v="1620.05"/>
    <s v="High"/>
    <n v="0.19"/>
    <n v="0"/>
    <n v="12"/>
    <n v="18710.28"/>
    <n v="8707.44"/>
    <n v="10002.839999999998"/>
    <n v="0.53461733335898765"/>
  </r>
  <r>
    <x v="535"/>
    <m/>
    <x v="305"/>
    <d v="2453-11-22T00:00:00"/>
    <d v="2453-11-16T00:00:00"/>
    <x v="0"/>
    <x v="30"/>
    <x v="24"/>
    <x v="4"/>
    <s v="No"/>
    <d v="1900-01-09T00:00:00"/>
    <d v="2023-07-11T00:00:00"/>
    <d v="2023-07-11T00:00:00"/>
    <x v="3"/>
    <x v="7"/>
    <s v="Paris"/>
    <s v="Corporate"/>
    <x v="4"/>
    <x v="9"/>
    <x v="2"/>
    <x v="534"/>
    <n v="479.5"/>
    <n v="656.66"/>
    <n v="815.10700000000008"/>
    <n v="1620.05"/>
    <m/>
    <n v="0.14899999999999999"/>
    <n v="0"/>
    <n v="14"/>
    <n v="9193.24"/>
    <n v="6713"/>
    <n v="2480.2399999999998"/>
    <n v="0.26978954101056862"/>
  </r>
  <r>
    <x v="536"/>
    <m/>
    <x v="420"/>
    <d v="2454-03-03T00:00:00"/>
    <d v="2453-11-16T00:00:00"/>
    <x v="0"/>
    <x v="24"/>
    <x v="21"/>
    <x v="11"/>
    <s v="No"/>
    <d v="1900-01-09T00:00:00"/>
    <d v="2024-08-26T00:00:00"/>
    <d v="2024-08-26T00:00:00"/>
    <x v="2"/>
    <x v="10"/>
    <s v="Chicago"/>
    <s v="Corporate"/>
    <x v="3"/>
    <x v="4"/>
    <x v="4"/>
    <x v="386"/>
    <n v="1291.7"/>
    <n v="2657.84"/>
    <n v="815.10700000000008"/>
    <n v="1620.05"/>
    <m/>
    <n v="8.6999999999999994E-2"/>
    <n v="0"/>
    <n v="21"/>
    <n v="55814.64"/>
    <n v="27125.7"/>
    <n v="28688.94"/>
    <n v="0.51400385275261118"/>
  </r>
  <r>
    <x v="537"/>
    <m/>
    <x v="421"/>
    <d v="2453-11-22T00:00:00"/>
    <d v="2453-11-16T00:00:00"/>
    <x v="0"/>
    <x v="30"/>
    <x v="24"/>
    <x v="10"/>
    <s v="Yes"/>
    <d v="1900-01-05T00:00:00"/>
    <d v="2023-07-13T00:00:00"/>
    <d v="2023-07-13T00:00:00"/>
    <x v="0"/>
    <x v="11"/>
    <s v="Cape Town"/>
    <s v="Small Business"/>
    <x v="2"/>
    <x v="5"/>
    <x v="6"/>
    <x v="535"/>
    <n v="612.59"/>
    <n v="1424.74"/>
    <n v="815.10700000000008"/>
    <n v="1620.05"/>
    <m/>
    <n v="4.3999999999999997E-2"/>
    <n v="0"/>
    <n v="15"/>
    <n v="21371.1"/>
    <n v="9188.85"/>
    <n v="12182.249999999998"/>
    <n v="0.57003383073402858"/>
  </r>
  <r>
    <x v="538"/>
    <m/>
    <x v="422"/>
    <d v="2453-11-27T00:00:00"/>
    <d v="2453-11-16T00:00:00"/>
    <x v="0"/>
    <x v="45"/>
    <x v="4"/>
    <x v="11"/>
    <s v="Yes"/>
    <d v="1900-01-03T00:00:00"/>
    <d v="2024-01-01T00:00:00"/>
    <d v="2024-01-01T00:00:00"/>
    <x v="0"/>
    <x v="11"/>
    <s v="Cape Town"/>
    <s v="Education"/>
    <x v="3"/>
    <x v="8"/>
    <x v="1"/>
    <x v="536"/>
    <n v="1141.8"/>
    <n v="2318.7399999999998"/>
    <n v="815.10700000000008"/>
    <n v="1620.05"/>
    <m/>
    <n v="0.107"/>
    <n v="0"/>
    <n v="32"/>
    <n v="74199.679999999993"/>
    <n v="36537.599999999999"/>
    <n v="37662.079999999994"/>
    <n v="0.50757739116934197"/>
  </r>
  <r>
    <x v="539"/>
    <m/>
    <x v="423"/>
    <d v="2453-11-16T00:00:00"/>
    <d v="2453-11-16T00:00:00"/>
    <x v="0"/>
    <x v="55"/>
    <x v="5"/>
    <x v="5"/>
    <s v="No"/>
    <d v="1900-01-19T00:00:00"/>
    <d v="2023-02-15T00:00:00"/>
    <d v="2023-02-15T00:00:00"/>
    <x v="3"/>
    <x v="6"/>
    <s v="Berlin"/>
    <s v="Small Business"/>
    <x v="1"/>
    <x v="7"/>
    <x v="2"/>
    <x v="537"/>
    <n v="492.62"/>
    <n v="366.7"/>
    <n v="815.10700000000008"/>
    <n v="1620.05"/>
    <m/>
    <n v="8.8999999999999996E-2"/>
    <n v="0"/>
    <n v="10"/>
    <n v="3667"/>
    <n v="4926.2"/>
    <n v="-1259.1999999999998"/>
    <n v="-0.34338696482137981"/>
  </r>
  <r>
    <x v="540"/>
    <m/>
    <x v="424"/>
    <d v="2453-11-22T00:00:00"/>
    <d v="2453-11-16T00:00:00"/>
    <x v="0"/>
    <x v="30"/>
    <x v="24"/>
    <x v="3"/>
    <s v="Yes"/>
    <d v="1899-12-31T00:00:00"/>
    <d v="2023-07-09T00:00:00"/>
    <d v="2023-07-09T00:00:00"/>
    <x v="0"/>
    <x v="0"/>
    <s v="Nairobi"/>
    <s v="Consumer"/>
    <x v="1"/>
    <x v="14"/>
    <x v="4"/>
    <x v="538"/>
    <n v="1258.72"/>
    <n v="2797.41"/>
    <n v="815.10700000000008"/>
    <n v="1620.05"/>
    <m/>
    <n v="0"/>
    <n v="0"/>
    <n v="7"/>
    <n v="19581.87"/>
    <n v="8811.0400000000009"/>
    <n v="10770.829999999998"/>
    <n v="0.55004093071805704"/>
  </r>
  <r>
    <x v="541"/>
    <n v="1"/>
    <x v="116"/>
    <n v="202406"/>
    <n v="202301"/>
    <x v="1"/>
    <x v="21"/>
    <x v="17"/>
    <x v="11"/>
    <s v="Yes"/>
    <n v="2"/>
    <d v="2024-06-09T00:00:00"/>
    <d v="2024-06-09T00:00:00"/>
    <x v="1"/>
    <x v="9"/>
    <s v="Shanghai"/>
    <s v="Corporate"/>
    <x v="0"/>
    <x v="7"/>
    <x v="5"/>
    <x v="539"/>
    <n v="1370.28"/>
    <n v="2209.66"/>
    <n v="815.10700000000008"/>
    <n v="1620.05"/>
    <s v="High"/>
    <n v="0.13300000000000001"/>
    <n v="0"/>
    <n v="16"/>
    <n v="35354.559999999998"/>
    <n v="21924.48"/>
    <n v="13430.079999999998"/>
    <n v="0.37986839604283007"/>
  </r>
  <r>
    <x v="542"/>
    <n v="1"/>
    <x v="425"/>
    <n v="202302"/>
    <n v="202301"/>
    <x v="1"/>
    <x v="20"/>
    <x v="2"/>
    <x v="6"/>
    <s v="Yes"/>
    <n v="1"/>
    <d v="2023-02-12T00:00:00"/>
    <d v="2023-02-12T00:00:00"/>
    <x v="0"/>
    <x v="1"/>
    <s v="Port Harcourt"/>
    <s v="Non-Profit"/>
    <x v="4"/>
    <x v="14"/>
    <x v="6"/>
    <x v="540"/>
    <n v="944.61"/>
    <n v="839.04"/>
    <n v="815.10700000000008"/>
    <n v="1620.05"/>
    <s v="High"/>
    <n v="5.8999999999999997E-2"/>
    <n v="0"/>
    <n v="6"/>
    <n v="5034.24"/>
    <n v="5667.66"/>
    <n v="-633.42000000000007"/>
    <n v="-0.12582236842105265"/>
  </r>
  <r>
    <x v="543"/>
    <m/>
    <x v="305"/>
    <d v="2453-11-22T00:00:00"/>
    <d v="2453-11-16T00:00:00"/>
    <x v="0"/>
    <x v="30"/>
    <x v="24"/>
    <x v="3"/>
    <s v="Yes"/>
    <d v="1900-01-06T00:00:00"/>
    <d v="2023-07-08T00:00:00"/>
    <d v="2023-07-08T00:00:00"/>
    <x v="3"/>
    <x v="6"/>
    <s v="Frankfurt"/>
    <s v="Small Business"/>
    <x v="3"/>
    <x v="13"/>
    <x v="4"/>
    <x v="541"/>
    <n v="460.21"/>
    <n v="1139.1500000000001"/>
    <n v="815.10700000000008"/>
    <n v="1620.05"/>
    <m/>
    <n v="0.115"/>
    <n v="0"/>
    <n v="14"/>
    <n v="15948.100000000002"/>
    <n v="6442.94"/>
    <n v="9505.1600000000035"/>
    <n v="0.59600579379361818"/>
  </r>
  <r>
    <x v="544"/>
    <m/>
    <x v="426"/>
    <d v="2454-06-11T00:00:00"/>
    <d v="2453-11-16T00:00:00"/>
    <x v="0"/>
    <x v="46"/>
    <x v="28"/>
    <x v="11"/>
    <s v="Yes"/>
    <d v="1900-01-05T00:00:00"/>
    <d v="2025-08-26T00:00:00"/>
    <d v="2025-08-26T00:00:00"/>
    <x v="2"/>
    <x v="10"/>
    <s v="New York"/>
    <s v="Corporate"/>
    <x v="0"/>
    <x v="12"/>
    <x v="2"/>
    <x v="542"/>
    <n v="1304.95"/>
    <n v="1712.03"/>
    <n v="815.10700000000008"/>
    <n v="1620.05"/>
    <m/>
    <n v="0.21199999999999999"/>
    <n v="1"/>
    <n v="8"/>
    <n v="13696.24"/>
    <n v="10439.6"/>
    <n v="3256.6399999999994"/>
    <n v="0.23777620719263093"/>
  </r>
  <r>
    <x v="545"/>
    <m/>
    <x v="427"/>
    <d v="2454-02-26T00:00:00"/>
    <d v="2453-11-16T00:00:00"/>
    <x v="0"/>
    <x v="0"/>
    <x v="0"/>
    <x v="8"/>
    <s v="No"/>
    <d v="1900-01-11T00:00:00"/>
    <d v="2024-03-16T00:00:00"/>
    <d v="2024-03-16T00:00:00"/>
    <x v="0"/>
    <x v="11"/>
    <s v="Johannesburg"/>
    <s v="Enterprise"/>
    <x v="3"/>
    <x v="12"/>
    <x v="5"/>
    <x v="543"/>
    <n v="441.08"/>
    <n v="1054.29"/>
    <n v="815.10700000000008"/>
    <n v="1620.05"/>
    <m/>
    <n v="0.23699999999999999"/>
    <n v="1"/>
    <n v="6"/>
    <n v="6325.74"/>
    <n v="2646.48"/>
    <n v="3679.2599999999998"/>
    <n v="0.58163313699266805"/>
  </r>
  <r>
    <x v="546"/>
    <n v="1"/>
    <x v="428"/>
    <n v="202309"/>
    <n v="202301"/>
    <x v="1"/>
    <x v="60"/>
    <x v="27"/>
    <x v="1"/>
    <s v="No"/>
    <n v="24"/>
    <d v="2023-10-02T00:00:00"/>
    <d v="2023-10-02T00:00:00"/>
    <x v="2"/>
    <x v="3"/>
    <s v="Toronto"/>
    <s v="Education"/>
    <x v="4"/>
    <x v="8"/>
    <x v="6"/>
    <x v="544"/>
    <n v="1299.03"/>
    <n v="2451.2199999999998"/>
    <n v="815.10700000000008"/>
    <n v="1620.05"/>
    <s v="Medium"/>
    <n v="0.20799999999999999"/>
    <n v="1"/>
    <n v="8"/>
    <n v="19609.759999999998"/>
    <n v="10392.24"/>
    <n v="9217.5199999999986"/>
    <n v="0.47004756814973764"/>
  </r>
  <r>
    <x v="547"/>
    <m/>
    <x v="2"/>
    <d v="2453-11-17T00:00:00"/>
    <d v="2453-11-16T00:00:00"/>
    <x v="0"/>
    <x v="2"/>
    <x v="2"/>
    <x v="11"/>
    <s v="Yes"/>
    <d v="1900-01-05T00:00:00"/>
    <d v="2023-03-06T00:00:00"/>
    <d v="2023-03-06T00:00:00"/>
    <x v="3"/>
    <x v="6"/>
    <s v="Frankfurt"/>
    <s v="Small Business"/>
    <x v="2"/>
    <x v="14"/>
    <x v="1"/>
    <x v="545"/>
    <n v="880.02"/>
    <n v="1251.21"/>
    <n v="815.10700000000008"/>
    <n v="1620.05"/>
    <m/>
    <n v="0.123"/>
    <n v="0"/>
    <n v="29"/>
    <n v="36285.090000000004"/>
    <n v="25520.579999999998"/>
    <n v="10764.510000000006"/>
    <n v="0.29666482844606434"/>
  </r>
  <r>
    <x v="548"/>
    <n v="1"/>
    <x v="292"/>
    <n v="202407"/>
    <n v="202301"/>
    <x v="1"/>
    <x v="59"/>
    <x v="14"/>
    <x v="3"/>
    <s v="No"/>
    <n v="21"/>
    <d v="2024-08-03T00:00:00"/>
    <d v="2024-08-03T00:00:00"/>
    <x v="2"/>
    <x v="5"/>
    <s v="Rio de Janeiro"/>
    <s v="Corporate"/>
    <x v="2"/>
    <x v="12"/>
    <x v="5"/>
    <x v="546"/>
    <n v="702.98"/>
    <n v="1104.8"/>
    <n v="815.10700000000008"/>
    <n v="1620.05"/>
    <s v="Medium"/>
    <n v="0.17499999999999999"/>
    <n v="0"/>
    <n v="12"/>
    <n v="13257.599999999999"/>
    <n v="8435.76"/>
    <n v="4821.8399999999983"/>
    <n v="0.36370383779869653"/>
  </r>
  <r>
    <x v="549"/>
    <n v="1"/>
    <x v="429"/>
    <n v="202412"/>
    <n v="202301"/>
    <x v="1"/>
    <x v="41"/>
    <x v="6"/>
    <x v="10"/>
    <s v="No"/>
    <n v="19"/>
    <d v="2024-12-26T00:00:00"/>
    <d v="2024-12-26T00:00:00"/>
    <x v="3"/>
    <x v="8"/>
    <s v="London"/>
    <s v="Enterprise"/>
    <x v="1"/>
    <x v="14"/>
    <x v="2"/>
    <x v="547"/>
    <n v="1035.24"/>
    <n v="2383.41"/>
    <n v="815.10700000000008"/>
    <n v="1620.05"/>
    <s v="Medium"/>
    <n v="0.17"/>
    <n v="0"/>
    <n v="15"/>
    <n v="35751.149999999994"/>
    <n v="15528.6"/>
    <n v="20222.549999999996"/>
    <n v="0.56564753861064609"/>
  </r>
  <r>
    <x v="550"/>
    <n v="1"/>
    <x v="430"/>
    <n v="202508"/>
    <n v="202301"/>
    <x v="1"/>
    <x v="54"/>
    <x v="28"/>
    <x v="2"/>
    <s v="No"/>
    <n v="17"/>
    <d v="2025-08-23T00:00:00"/>
    <d v="2025-08-23T00:00:00"/>
    <x v="2"/>
    <x v="5"/>
    <s v="Brasília"/>
    <s v="Consumer"/>
    <x v="3"/>
    <x v="8"/>
    <x v="5"/>
    <x v="548"/>
    <n v="86.64"/>
    <n v="213.06"/>
    <n v="815.10700000000008"/>
    <n v="1620.05"/>
    <s v="High"/>
    <n v="0.21199999999999999"/>
    <n v="1"/>
    <n v="11"/>
    <n v="2343.66"/>
    <n v="953.04"/>
    <n v="1390.62"/>
    <n v="0.59335398479301604"/>
  </r>
  <r>
    <x v="551"/>
    <m/>
    <x v="431"/>
    <d v="2453-11-18T00:00:00"/>
    <d v="2453-11-18T00:00:00"/>
    <x v="2"/>
    <x v="55"/>
    <x v="22"/>
    <x v="8"/>
    <s v="No"/>
    <d v="1900-01-16T00:00:00"/>
    <d v="2023-03-20T00:00:00"/>
    <d v="2023-03-20T00:00:00"/>
    <x v="1"/>
    <x v="2"/>
    <s v="Nagoya"/>
    <s v="Small Business"/>
    <x v="1"/>
    <x v="14"/>
    <x v="2"/>
    <x v="549"/>
    <n v="1171.17"/>
    <n v="2030.64"/>
    <n v="815.10700000000008"/>
    <n v="1620.05"/>
    <m/>
    <n v="0.157"/>
    <n v="0"/>
    <n v="11"/>
    <n v="22337.040000000001"/>
    <n v="12882.87"/>
    <n v="9454.17"/>
    <n v="0.42325079777804042"/>
  </r>
  <r>
    <x v="552"/>
    <m/>
    <x v="432"/>
    <d v="2454-06-05T00:00:00"/>
    <d v="2453-11-16T00:00:00"/>
    <x v="0"/>
    <x v="47"/>
    <x v="26"/>
    <x v="3"/>
    <s v="No"/>
    <d v="1900-01-28T00:00:00"/>
    <d v="2025-03-17T00:00:00"/>
    <d v="2025-03-17T00:00:00"/>
    <x v="3"/>
    <x v="6"/>
    <s v="Munich"/>
    <s v="Consumer"/>
    <x v="0"/>
    <x v="4"/>
    <x v="6"/>
    <x v="550"/>
    <n v="730.42"/>
    <n v="956.7"/>
    <n v="815.10700000000008"/>
    <n v="1620.05"/>
    <m/>
    <n v="4.2000000000000003E-2"/>
    <n v="0"/>
    <n v="22"/>
    <n v="21047.4"/>
    <n v="16069.24"/>
    <n v="4978.1600000000017"/>
    <n v="0.23652137556182717"/>
  </r>
  <r>
    <x v="553"/>
    <m/>
    <x v="146"/>
    <d v="2454-06-05T00:00:00"/>
    <d v="2453-11-16T00:00:00"/>
    <x v="0"/>
    <x v="47"/>
    <x v="26"/>
    <x v="4"/>
    <s v="No"/>
    <d v="1900-01-13T00:00:00"/>
    <d v="2025-03-01T00:00:00"/>
    <d v="2025-03-01T00:00:00"/>
    <x v="0"/>
    <x v="0"/>
    <s v="Mombasa"/>
    <s v="Education"/>
    <x v="4"/>
    <x v="4"/>
    <x v="6"/>
    <x v="551"/>
    <n v="1162.8599999999999"/>
    <n v="1447.68"/>
    <n v="815.10700000000008"/>
    <n v="1620.05"/>
    <m/>
    <n v="8.6999999999999994E-2"/>
    <n v="0"/>
    <n v="12"/>
    <n v="17372.16"/>
    <n v="13954.32"/>
    <n v="3417.84"/>
    <n v="0.19674237400530506"/>
  </r>
  <r>
    <x v="554"/>
    <m/>
    <x v="433"/>
    <d v="2454-03-03T00:00:00"/>
    <d v="2453-11-18T00:00:00"/>
    <x v="2"/>
    <x v="51"/>
    <x v="21"/>
    <x v="4"/>
    <s v="No"/>
    <d v="1900-01-25T00:00:00"/>
    <d v="2024-09-26T00:00:00"/>
    <d v="2024-09-26T00:00:00"/>
    <x v="1"/>
    <x v="2"/>
    <s v="Tokyo"/>
    <s v="Education"/>
    <x v="1"/>
    <x v="2"/>
    <x v="3"/>
    <x v="552"/>
    <n v="1189.03"/>
    <n v="2949.62"/>
    <n v="815.10700000000008"/>
    <n v="1620.05"/>
    <m/>
    <n v="0.125"/>
    <n v="0"/>
    <n v="13"/>
    <n v="38345.06"/>
    <n v="15457.39"/>
    <n v="22887.67"/>
    <n v="0.59688705663780417"/>
  </r>
  <r>
    <x v="555"/>
    <n v="1"/>
    <x v="238"/>
    <n v="202305"/>
    <n v="202302"/>
    <x v="3"/>
    <x v="39"/>
    <x v="15"/>
    <x v="10"/>
    <s v="No"/>
    <n v="13"/>
    <d v="2023-05-20T00:00:00"/>
    <d v="2023-05-20T00:00:00"/>
    <x v="1"/>
    <x v="4"/>
    <s v="Mumbai"/>
    <s v="Enterprise"/>
    <x v="0"/>
    <x v="14"/>
    <x v="6"/>
    <x v="553"/>
    <n v="1443.28"/>
    <n v="2580.5700000000002"/>
    <n v="815.10700000000008"/>
    <n v="1620.05"/>
    <s v="High"/>
    <n v="0"/>
    <n v="0"/>
    <n v="18"/>
    <n v="46450.26"/>
    <n v="25979.040000000001"/>
    <n v="20471.22"/>
    <n v="0.4407127107577008"/>
  </r>
  <r>
    <x v="556"/>
    <n v="1"/>
    <x v="78"/>
    <n v="202505"/>
    <n v="202301"/>
    <x v="1"/>
    <x v="8"/>
    <x v="8"/>
    <x v="9"/>
    <s v="Yes"/>
    <n v="0"/>
    <d v="2025-05-14T00:00:00"/>
    <d v="2025-05-12T00:00:00"/>
    <x v="2"/>
    <x v="3"/>
    <s v="Vancouver"/>
    <s v="Non-Profit"/>
    <x v="3"/>
    <x v="9"/>
    <x v="1"/>
    <x v="554"/>
    <n v="883.5"/>
    <n v="1978.91"/>
    <n v="815.10700000000008"/>
    <n v="1620.05"/>
    <s v="High"/>
    <n v="5.3999999999999999E-2"/>
    <n v="0"/>
    <n v="27"/>
    <n v="53430.57"/>
    <n v="23854.5"/>
    <n v="29576.07"/>
    <n v="0.55354210145989458"/>
  </r>
  <r>
    <x v="557"/>
    <m/>
    <x v="0"/>
    <d v="2454-02-26T00:00:00"/>
    <d v="2453-11-16T00:00:00"/>
    <x v="0"/>
    <x v="0"/>
    <x v="0"/>
    <x v="7"/>
    <s v="No"/>
    <d v="1900-01-17T00:00:00"/>
    <d v="2024-03-29T00:00:00"/>
    <d v="2024-03-29T00:00:00"/>
    <x v="2"/>
    <x v="10"/>
    <s v="New York"/>
    <s v="Corporate"/>
    <x v="0"/>
    <x v="12"/>
    <x v="5"/>
    <x v="555"/>
    <n v="710.98"/>
    <n v="1481.45"/>
    <n v="815.10700000000008"/>
    <n v="1620.05"/>
    <m/>
    <n v="0.21099999999999999"/>
    <n v="1"/>
    <n v="9"/>
    <n v="13333.050000000001"/>
    <n v="6398.82"/>
    <n v="6934.2300000000014"/>
    <n v="0.52007830166391045"/>
  </r>
  <r>
    <x v="558"/>
    <m/>
    <x v="22"/>
    <d v="2454-02-28T00:00:00"/>
    <d v="2453-11-16T00:00:00"/>
    <x v="0"/>
    <x v="19"/>
    <x v="7"/>
    <x v="1"/>
    <s v="Yes"/>
    <d v="1900-01-03T00:00:00"/>
    <d v="2024-05-22T00:00:00"/>
    <d v="2024-05-22T00:00:00"/>
    <x v="0"/>
    <x v="0"/>
    <s v="Nairobi"/>
    <s v="Corporate"/>
    <x v="4"/>
    <x v="10"/>
    <x v="6"/>
    <x v="556"/>
    <n v="857.42"/>
    <n v="1658.92"/>
    <n v="815.10700000000008"/>
    <n v="1620.05"/>
    <m/>
    <n v="0.122"/>
    <n v="0"/>
    <n v="9"/>
    <n v="14930.28"/>
    <n v="7716.78"/>
    <n v="7213.5000000000009"/>
    <n v="0.48314566103247902"/>
  </r>
  <r>
    <x v="559"/>
    <n v="1"/>
    <x v="434"/>
    <n v="202401"/>
    <n v="202302"/>
    <x v="3"/>
    <x v="38"/>
    <x v="9"/>
    <x v="6"/>
    <s v="Yes"/>
    <n v="4"/>
    <d v="2024-01-12T00:00:00"/>
    <d v="2024-01-12T00:00:00"/>
    <x v="1"/>
    <x v="4"/>
    <s v="Bengaluru"/>
    <s v="Corporate"/>
    <x v="4"/>
    <x v="6"/>
    <x v="1"/>
    <x v="557"/>
    <n v="802.32"/>
    <n v="602.34"/>
    <n v="815.10700000000008"/>
    <n v="1620.05"/>
    <s v="High"/>
    <n v="0.12"/>
    <n v="0"/>
    <n v="25"/>
    <n v="15058.5"/>
    <n v="20058"/>
    <n v="-4999.5"/>
    <n v="-0.33200517979878474"/>
  </r>
  <r>
    <x v="560"/>
    <m/>
    <x v="40"/>
    <d v="2454-03-05T00:00:00"/>
    <d v="2453-11-16T00:00:00"/>
    <x v="0"/>
    <x v="26"/>
    <x v="1"/>
    <x v="1"/>
    <s v="No"/>
    <d v="1900-01-10T00:00:00"/>
    <d v="2024-11-05T00:00:00"/>
    <d v="2024-11-05T00:00:00"/>
    <x v="2"/>
    <x v="10"/>
    <s v="New York"/>
    <s v="Corporate"/>
    <x v="3"/>
    <x v="13"/>
    <x v="0"/>
    <x v="558"/>
    <n v="446.66"/>
    <n v="527.64"/>
    <n v="815.10700000000008"/>
    <n v="1620.05"/>
    <m/>
    <n v="0.14499999999999999"/>
    <n v="0"/>
    <n v="15"/>
    <n v="7914.5999999999995"/>
    <n v="6699.9000000000005"/>
    <n v="1214.6999999999989"/>
    <n v="0.15347585474945025"/>
  </r>
  <r>
    <x v="561"/>
    <m/>
    <x v="25"/>
    <d v="2454-03-06T00:00:00"/>
    <d v="2453-11-16T00:00:00"/>
    <x v="0"/>
    <x v="10"/>
    <x v="18"/>
    <x v="2"/>
    <s v="No"/>
    <d v="1900-01-18T00:00:00"/>
    <d v="2024-12-19T00:00:00"/>
    <d v="2024-12-19T00:00:00"/>
    <x v="0"/>
    <x v="0"/>
    <s v="Kisumu"/>
    <s v="Corporate"/>
    <x v="1"/>
    <x v="4"/>
    <x v="3"/>
    <x v="559"/>
    <n v="1195.98"/>
    <n v="1841.9"/>
    <n v="815.10700000000008"/>
    <n v="1620.05"/>
    <m/>
    <n v="5.5E-2"/>
    <n v="0"/>
    <n v="19"/>
    <n v="34996.1"/>
    <n v="22723.62"/>
    <n v="12272.48"/>
    <n v="0.35068136163743963"/>
  </r>
  <r>
    <x v="562"/>
    <n v="1"/>
    <x v="289"/>
    <n v="202304"/>
    <n v="202301"/>
    <x v="1"/>
    <x v="39"/>
    <x v="12"/>
    <x v="2"/>
    <s v="No"/>
    <n v="19"/>
    <d v="2023-05-02T00:00:00"/>
    <d v="2023-05-02T00:00:00"/>
    <x v="2"/>
    <x v="3"/>
    <s v="Montreal"/>
    <s v="Consumer"/>
    <x v="3"/>
    <x v="6"/>
    <x v="5"/>
    <x v="560"/>
    <n v="671.05"/>
    <n v="1645.48"/>
    <n v="815.10700000000008"/>
    <n v="1620.05"/>
    <s v="High"/>
    <n v="0.13700000000000001"/>
    <n v="0"/>
    <n v="6"/>
    <n v="9872.880000000001"/>
    <n v="4026.2999999999997"/>
    <n v="5846.5800000000017"/>
    <n v="0.59218586673797324"/>
  </r>
  <r>
    <x v="563"/>
    <n v="1"/>
    <x v="184"/>
    <n v="202502"/>
    <n v="202301"/>
    <x v="1"/>
    <x v="36"/>
    <x v="26"/>
    <x v="9"/>
    <s v="Yes"/>
    <n v="4"/>
    <d v="2025-02-08T00:00:00"/>
    <d v="2025-02-08T00:00:00"/>
    <x v="3"/>
    <x v="8"/>
    <s v="Manchester"/>
    <s v="Enterprise"/>
    <x v="2"/>
    <x v="4"/>
    <x v="2"/>
    <x v="561"/>
    <n v="586.21"/>
    <n v="727.22"/>
    <n v="815.10700000000008"/>
    <n v="1620.05"/>
    <s v="High"/>
    <n v="6.8000000000000005E-2"/>
    <n v="0"/>
    <n v="15"/>
    <n v="10908.300000000001"/>
    <n v="8793.1500000000015"/>
    <n v="2115.1499999999996"/>
    <n v="0.19390280795357659"/>
  </r>
  <r>
    <x v="564"/>
    <n v="1"/>
    <x v="435"/>
    <n v="202401"/>
    <n v="202301"/>
    <x v="1"/>
    <x v="65"/>
    <x v="9"/>
    <x v="4"/>
    <s v="No"/>
    <n v="11"/>
    <d v="2024-02-04T00:00:00"/>
    <d v="2024-02-04T00:00:00"/>
    <x v="3"/>
    <x v="8"/>
    <s v="Manchester"/>
    <s v="Consumer"/>
    <x v="0"/>
    <x v="5"/>
    <x v="4"/>
    <x v="562"/>
    <n v="525.34"/>
    <n v="1233.79"/>
    <n v="815.10700000000008"/>
    <n v="1620.05"/>
    <s v="Low"/>
    <n v="0.14299999999999999"/>
    <n v="0"/>
    <n v="4"/>
    <n v="4935.16"/>
    <n v="2101.36"/>
    <n v="2833.7999999999997"/>
    <n v="0.57420630739428913"/>
  </r>
  <r>
    <x v="565"/>
    <m/>
    <x v="436"/>
    <d v="2454-02-25T00:00:00"/>
    <d v="2453-11-16T00:00:00"/>
    <x v="0"/>
    <x v="58"/>
    <x v="31"/>
    <x v="1"/>
    <s v="Yes"/>
    <d v="1899-12-31T00:00:00"/>
    <d v="2024-02-09T00:00:00"/>
    <d v="2024-02-09T00:00:00"/>
    <x v="0"/>
    <x v="0"/>
    <s v="Mombasa"/>
    <s v="Corporate"/>
    <x v="4"/>
    <x v="9"/>
    <x v="0"/>
    <x v="563"/>
    <n v="1233.52"/>
    <n v="1543.76"/>
    <n v="815.10700000000008"/>
    <n v="1620.05"/>
    <m/>
    <n v="0.126"/>
    <n v="0"/>
    <n v="13"/>
    <n v="20068.88"/>
    <n v="16035.76"/>
    <n v="4033.1200000000008"/>
    <n v="0.20096388039591651"/>
  </r>
  <r>
    <x v="566"/>
    <n v="1"/>
    <x v="437"/>
    <n v="202506"/>
    <n v="202301"/>
    <x v="1"/>
    <x v="18"/>
    <x v="16"/>
    <x v="1"/>
    <s v="No"/>
    <n v="15"/>
    <d v="2025-07-11T00:00:00"/>
    <d v="2025-07-11T00:00:00"/>
    <x v="0"/>
    <x v="1"/>
    <s v="Port Harcourt"/>
    <s v="Small Business"/>
    <x v="1"/>
    <x v="8"/>
    <x v="4"/>
    <x v="564"/>
    <n v="1170.1500000000001"/>
    <n v="2115.19"/>
    <n v="815.10700000000008"/>
    <n v="1620.05"/>
    <s v="Medium"/>
    <n v="9.1999999999999998E-2"/>
    <n v="0"/>
    <n v="23"/>
    <n v="48649.37"/>
    <n v="26913.45"/>
    <n v="21735.920000000002"/>
    <n v="0.44678728624851671"/>
  </r>
  <r>
    <x v="567"/>
    <m/>
    <x v="272"/>
    <d v="2454-03-06T00:00:00"/>
    <d v="2453-11-16T00:00:00"/>
    <x v="0"/>
    <x v="10"/>
    <x v="18"/>
    <x v="7"/>
    <s v="Yes"/>
    <d v="1900-01-02T00:00:00"/>
    <d v="2024-11-07T00:00:00"/>
    <d v="2024-11-07T00:00:00"/>
    <x v="3"/>
    <x v="7"/>
    <s v="Lyon"/>
    <s v="Corporate"/>
    <x v="1"/>
    <x v="7"/>
    <x v="5"/>
    <x v="565"/>
    <n v="740.68"/>
    <n v="1837.19"/>
    <n v="815.10700000000008"/>
    <n v="1620.05"/>
    <m/>
    <n v="0.19700000000000001"/>
    <n v="0"/>
    <n v="17"/>
    <n v="31232.23"/>
    <n v="12591.56"/>
    <n v="18640.669999999998"/>
    <n v="0.59684082756818835"/>
  </r>
  <r>
    <x v="568"/>
    <m/>
    <x v="438"/>
    <d v="2454-02-25T00:00:00"/>
    <d v="2453-11-16T00:00:00"/>
    <x v="0"/>
    <x v="58"/>
    <x v="31"/>
    <x v="2"/>
    <s v="Yes"/>
    <d v="1899-12-30T00:00:00"/>
    <d v="2024-02-20T00:00:00"/>
    <d v="2024-02-20T00:00:00"/>
    <x v="2"/>
    <x v="10"/>
    <s v="New York"/>
    <s v="Enterprise"/>
    <x v="1"/>
    <x v="0"/>
    <x v="2"/>
    <x v="566"/>
    <n v="1407.05"/>
    <n v="2858.93"/>
    <n v="815.10700000000008"/>
    <n v="1620.05"/>
    <m/>
    <n v="0"/>
    <n v="0"/>
    <n v="12"/>
    <n v="34307.159999999996"/>
    <n v="16884.599999999999"/>
    <n v="17422.559999999998"/>
    <n v="0.50784034586366222"/>
  </r>
  <r>
    <x v="569"/>
    <m/>
    <x v="439"/>
    <d v="2454-06-07T00:00:00"/>
    <d v="2453-11-18T00:00:00"/>
    <x v="2"/>
    <x v="47"/>
    <x v="19"/>
    <x v="1"/>
    <s v="Yes"/>
    <d v="1899-12-31T00:00:00"/>
    <d v="2025-04-14T00:00:00"/>
    <d v="2025-04-14T00:00:00"/>
    <x v="1"/>
    <x v="2"/>
    <s v="Osaka"/>
    <s v="Enterprise"/>
    <x v="1"/>
    <x v="3"/>
    <x v="0"/>
    <x v="567"/>
    <n v="138.9"/>
    <n v="289.92"/>
    <n v="815.10700000000008"/>
    <n v="1620.05"/>
    <m/>
    <n v="2.9000000000000001E-2"/>
    <n v="0"/>
    <n v="12"/>
    <n v="3479.04"/>
    <n v="1666.8000000000002"/>
    <n v="1812.2399999999998"/>
    <n v="0.52090231788079466"/>
  </r>
  <r>
    <x v="570"/>
    <n v="1"/>
    <x v="407"/>
    <n v="202306"/>
    <n v="202302"/>
    <x v="3"/>
    <x v="17"/>
    <x v="23"/>
    <x v="7"/>
    <s v="Yes"/>
    <n v="0"/>
    <d v="2023-06-01T00:00:00"/>
    <d v="2023-06-01T00:00:00"/>
    <x v="1"/>
    <x v="4"/>
    <s v="Bengaluru"/>
    <s v="Corporate"/>
    <x v="0"/>
    <x v="6"/>
    <x v="6"/>
    <x v="568"/>
    <n v="669.37"/>
    <n v="997.2"/>
    <n v="815.10700000000008"/>
    <n v="1620.05"/>
    <s v="Low"/>
    <n v="8.2000000000000003E-2"/>
    <n v="0"/>
    <n v="5"/>
    <n v="4986"/>
    <n v="3346.85"/>
    <n v="1639.15"/>
    <n v="0.32875050140393103"/>
  </r>
  <r>
    <x v="571"/>
    <n v="1"/>
    <x v="400"/>
    <n v="202503"/>
    <n v="202302"/>
    <x v="3"/>
    <x v="36"/>
    <x v="3"/>
    <x v="9"/>
    <s v="No"/>
    <n v="11"/>
    <d v="2025-04-04T00:00:00"/>
    <d v="2025-04-04T00:00:00"/>
    <x v="1"/>
    <x v="4"/>
    <s v="Mumbai"/>
    <s v="Education"/>
    <x v="2"/>
    <x v="1"/>
    <x v="3"/>
    <x v="569"/>
    <n v="23.83"/>
    <n v="47.29"/>
    <n v="815.10700000000008"/>
    <n v="1620.05"/>
    <s v="Medium"/>
    <n v="6.4000000000000001E-2"/>
    <n v="0"/>
    <n v="19"/>
    <n v="898.51"/>
    <n v="452.77"/>
    <n v="445.74"/>
    <n v="0.4960879678578981"/>
  </r>
  <r>
    <x v="572"/>
    <n v="1"/>
    <x v="278"/>
    <n v="202401"/>
    <n v="202301"/>
    <x v="1"/>
    <x v="65"/>
    <x v="9"/>
    <x v="4"/>
    <s v="Yes"/>
    <n v="0"/>
    <d v="2024-01-02T00:00:00"/>
    <d v="2024-01-02T00:00:00"/>
    <x v="2"/>
    <x v="3"/>
    <s v="Vancouver"/>
    <s v="Education"/>
    <x v="4"/>
    <x v="8"/>
    <x v="4"/>
    <x v="570"/>
    <n v="444.41"/>
    <n v="754.24"/>
    <n v="815.10700000000008"/>
    <n v="1620.05"/>
    <s v="Low"/>
    <n v="0.20699999999999999"/>
    <n v="1"/>
    <n v="32"/>
    <n v="24135.68"/>
    <n v="14221.12"/>
    <n v="9914.56"/>
    <n v="0.41078436571913446"/>
  </r>
  <r>
    <x v="573"/>
    <n v="1"/>
    <x v="201"/>
    <n v="202312"/>
    <n v="202301"/>
    <x v="1"/>
    <x v="38"/>
    <x v="4"/>
    <x v="1"/>
    <s v="No"/>
    <n v="13"/>
    <d v="2024-01-01T00:00:00"/>
    <d v="2024-01-01T00:00:00"/>
    <x v="2"/>
    <x v="3"/>
    <s v="Toronto"/>
    <s v="Enterprise"/>
    <x v="0"/>
    <x v="11"/>
    <x v="5"/>
    <x v="571"/>
    <n v="856.1"/>
    <n v="901.48"/>
    <n v="815.10700000000008"/>
    <n v="1620.05"/>
    <s v="Low"/>
    <n v="5.6000000000000001E-2"/>
    <n v="0"/>
    <n v="17"/>
    <n v="15325.16"/>
    <n v="14553.7"/>
    <n v="771.45999999999913"/>
    <n v="5.033944180680653E-2"/>
  </r>
  <r>
    <x v="574"/>
    <m/>
    <x v="440"/>
    <d v="2453-11-19T00:00:00"/>
    <d v="2453-11-16T00:00:00"/>
    <x v="0"/>
    <x v="12"/>
    <x v="12"/>
    <x v="5"/>
    <s v="Yes"/>
    <d v="1899-12-30T00:00:00"/>
    <d v="2023-04-26T00:00:00"/>
    <d v="2023-04-26T00:00:00"/>
    <x v="3"/>
    <x v="7"/>
    <s v="Marseille"/>
    <s v="Consumer"/>
    <x v="4"/>
    <x v="12"/>
    <x v="0"/>
    <x v="572"/>
    <n v="81.489999999999995"/>
    <n v="113.08"/>
    <n v="815.10700000000008"/>
    <n v="1620.05"/>
    <m/>
    <n v="0.121"/>
    <n v="0"/>
    <n v="5"/>
    <n v="565.4"/>
    <n v="407.45"/>
    <n v="157.94999999999999"/>
    <n v="0.27935974531305269"/>
  </r>
  <r>
    <x v="575"/>
    <n v="1"/>
    <x v="441"/>
    <n v="202508"/>
    <n v="202301"/>
    <x v="1"/>
    <x v="54"/>
    <x v="28"/>
    <x v="9"/>
    <s v="No"/>
    <n v="13"/>
    <d v="2025-08-16T00:00:00"/>
    <d v="2025-08-16T00:00:00"/>
    <x v="2"/>
    <x v="3"/>
    <s v="Montreal"/>
    <s v="Enterprise"/>
    <x v="3"/>
    <x v="7"/>
    <x v="2"/>
    <x v="573"/>
    <n v="698.66"/>
    <n v="868.62"/>
    <n v="815.10700000000008"/>
    <n v="1620.05"/>
    <s v="Low"/>
    <n v="7.1999999999999995E-2"/>
    <n v="0"/>
    <n v="15"/>
    <n v="13029.3"/>
    <n v="10479.9"/>
    <n v="2549.3999999999996"/>
    <n v="0.19566668969169485"/>
  </r>
  <r>
    <x v="576"/>
    <n v="1"/>
    <x v="442"/>
    <n v="202308"/>
    <n v="202301"/>
    <x v="1"/>
    <x v="43"/>
    <x v="25"/>
    <x v="8"/>
    <s v="No"/>
    <n v="17"/>
    <d v="2023-08-19T00:00:00"/>
    <d v="2023-08-19T00:00:00"/>
    <x v="2"/>
    <x v="3"/>
    <s v="Vancouver"/>
    <s v="Corporate"/>
    <x v="1"/>
    <x v="9"/>
    <x v="2"/>
    <x v="574"/>
    <n v="175.38"/>
    <n v="347.9"/>
    <n v="815.10700000000008"/>
    <n v="1620.05"/>
    <s v="Medium"/>
    <n v="7.1999999999999995E-2"/>
    <n v="0"/>
    <n v="43"/>
    <n v="14959.699999999999"/>
    <n v="7541.34"/>
    <n v="7418.3599999999988"/>
    <n v="0.49588962345501575"/>
  </r>
  <r>
    <x v="577"/>
    <n v="1"/>
    <x v="250"/>
    <n v="202306"/>
    <n v="202301"/>
    <x v="1"/>
    <x v="29"/>
    <x v="23"/>
    <x v="11"/>
    <s v="No"/>
    <n v="27"/>
    <d v="2023-07-12T00:00:00"/>
    <d v="2023-07-12T00:00:00"/>
    <x v="3"/>
    <x v="8"/>
    <s v="Manchester"/>
    <s v="Consumer"/>
    <x v="4"/>
    <x v="2"/>
    <x v="6"/>
    <x v="575"/>
    <n v="751.28"/>
    <n v="1111.8800000000001"/>
    <n v="815.10700000000008"/>
    <n v="1620.05"/>
    <s v="Low"/>
    <n v="0.13500000000000001"/>
    <n v="0"/>
    <n v="7"/>
    <n v="7783.1600000000008"/>
    <n v="5258.96"/>
    <n v="2524.2000000000007"/>
    <n v="0.32431557362305291"/>
  </r>
  <r>
    <x v="578"/>
    <n v="1"/>
    <x v="443"/>
    <n v="202411"/>
    <n v="202301"/>
    <x v="1"/>
    <x v="6"/>
    <x v="18"/>
    <x v="9"/>
    <s v="No"/>
    <n v="13"/>
    <d v="2024-11-24T00:00:00"/>
    <d v="2024-11-24T00:00:00"/>
    <x v="3"/>
    <x v="8"/>
    <s v="London"/>
    <s v="Corporate"/>
    <x v="0"/>
    <x v="6"/>
    <x v="2"/>
    <x v="576"/>
    <n v="164.53"/>
    <n v="327.72"/>
    <n v="815.10700000000008"/>
    <n v="1620.05"/>
    <s v="Medium"/>
    <n v="6.7000000000000004E-2"/>
    <n v="0"/>
    <n v="14"/>
    <n v="4588.08"/>
    <n v="2303.42"/>
    <n v="2284.66"/>
    <n v="0.49795557182961064"/>
  </r>
  <r>
    <x v="579"/>
    <m/>
    <x v="444"/>
    <d v="2454-06-10T00:00:00"/>
    <d v="2453-11-16T00:00:00"/>
    <x v="0"/>
    <x v="14"/>
    <x v="13"/>
    <x v="2"/>
    <s v="No"/>
    <d v="1900-01-22T00:00:00"/>
    <d v="2025-08-03T00:00:00"/>
    <d v="2025-08-03T00:00:00"/>
    <x v="0"/>
    <x v="0"/>
    <s v="Nakuru"/>
    <s v="Small Business"/>
    <x v="0"/>
    <x v="0"/>
    <x v="3"/>
    <x v="577"/>
    <n v="389.93"/>
    <n v="486.13"/>
    <n v="815.10700000000008"/>
    <n v="1620.05"/>
    <m/>
    <n v="0.13200000000000001"/>
    <n v="0"/>
    <n v="17"/>
    <n v="8264.2099999999991"/>
    <n v="6628.81"/>
    <n v="1635.3999999999987"/>
    <n v="0.19788945343838055"/>
  </r>
  <r>
    <x v="580"/>
    <n v="1"/>
    <x v="445"/>
    <n v="202306"/>
    <n v="202301"/>
    <x v="1"/>
    <x v="29"/>
    <x v="23"/>
    <x v="8"/>
    <s v="No"/>
    <n v="28"/>
    <d v="2023-07-01T00:00:00"/>
    <d v="2023-07-01T00:00:00"/>
    <x v="2"/>
    <x v="5"/>
    <s v="Brasília"/>
    <s v="Small Business"/>
    <x v="2"/>
    <x v="8"/>
    <x v="0"/>
    <x v="578"/>
    <n v="860.4"/>
    <n v="2066.6"/>
    <n v="815.10700000000008"/>
    <n v="1620.05"/>
    <s v="Low"/>
    <n v="0.01"/>
    <n v="0"/>
    <n v="3"/>
    <n v="6199.7999999999993"/>
    <n v="2581.1999999999998"/>
    <n v="3618.5999999999995"/>
    <n v="0.58366398916094064"/>
  </r>
  <r>
    <x v="581"/>
    <n v="1"/>
    <x v="446"/>
    <n v="202301"/>
    <n v="202301"/>
    <x v="1"/>
    <x v="5"/>
    <x v="5"/>
    <x v="9"/>
    <s v="No"/>
    <n v="8"/>
    <d v="2023-02-06T00:00:00"/>
    <d v="2023-02-06T00:00:00"/>
    <x v="2"/>
    <x v="5"/>
    <s v="Brasília"/>
    <s v="Corporate"/>
    <x v="2"/>
    <x v="14"/>
    <x v="5"/>
    <x v="579"/>
    <n v="41.84"/>
    <n v="86.2"/>
    <n v="815.10700000000008"/>
    <n v="1620.05"/>
    <s v="High"/>
    <n v="0.22600000000000001"/>
    <n v="1"/>
    <n v="27"/>
    <n v="2327.4"/>
    <n v="1129.68"/>
    <n v="1197.72"/>
    <n v="0.51461716937354984"/>
  </r>
  <r>
    <x v="582"/>
    <m/>
    <x v="330"/>
    <d v="2454-03-04T00:00:00"/>
    <d v="2453-11-18T00:00:00"/>
    <x v="2"/>
    <x v="16"/>
    <x v="29"/>
    <x v="3"/>
    <s v="Yes"/>
    <d v="1899-12-30T00:00:00"/>
    <d v="2024-09-06T00:00:00"/>
    <d v="2024-09-04T00:00:00"/>
    <x v="1"/>
    <x v="2"/>
    <s v="Osaka"/>
    <s v="Corporate"/>
    <x v="4"/>
    <x v="8"/>
    <x v="4"/>
    <x v="580"/>
    <n v="1368.17"/>
    <n v="2307.75"/>
    <n v="815.10700000000008"/>
    <n v="1620.05"/>
    <m/>
    <n v="0.16300000000000001"/>
    <n v="0"/>
    <n v="21"/>
    <n v="48462.75"/>
    <n v="28731.57"/>
    <n v="19731.18"/>
    <n v="0.40714115480446322"/>
  </r>
  <r>
    <x v="583"/>
    <m/>
    <x v="447"/>
    <d v="2454-03-03T00:00:00"/>
    <d v="2453-11-16T00:00:00"/>
    <x v="0"/>
    <x v="24"/>
    <x v="21"/>
    <x v="10"/>
    <s v="Yes"/>
    <d v="1900-01-05T00:00:00"/>
    <d v="2024-08-09T00:00:00"/>
    <d v="2024-08-09T00:00:00"/>
    <x v="0"/>
    <x v="0"/>
    <s v="Mombasa"/>
    <s v="Consumer"/>
    <x v="2"/>
    <x v="10"/>
    <x v="4"/>
    <x v="581"/>
    <n v="643.21"/>
    <n v="1112.81"/>
    <n v="815.10700000000008"/>
    <n v="1620.05"/>
    <m/>
    <n v="0.14099999999999999"/>
    <n v="0"/>
    <n v="4"/>
    <n v="4451.24"/>
    <n v="2572.84"/>
    <n v="1878.3999999999996"/>
    <n v="0.42199476999667501"/>
  </r>
  <r>
    <x v="584"/>
    <n v="1"/>
    <x v="448"/>
    <n v="202504"/>
    <n v="202301"/>
    <x v="1"/>
    <x v="35"/>
    <x v="19"/>
    <x v="10"/>
    <s v="Yes"/>
    <n v="0"/>
    <d v="2025-04-17T00:00:00"/>
    <d v="2025-04-17T00:00:00"/>
    <x v="2"/>
    <x v="5"/>
    <s v="São Paulo"/>
    <s v="Corporate"/>
    <x v="3"/>
    <x v="4"/>
    <x v="3"/>
    <x v="582"/>
    <n v="719.41"/>
    <n v="1125.99"/>
    <n v="815.10700000000008"/>
    <n v="1620.05"/>
    <s v="Medium"/>
    <n v="4.1000000000000002E-2"/>
    <n v="0"/>
    <n v="21"/>
    <n v="23645.79"/>
    <n v="15107.609999999999"/>
    <n v="8538.1800000000021"/>
    <n v="0.36108668815886474"/>
  </r>
  <r>
    <x v="585"/>
    <m/>
    <x v="449"/>
    <d v="2453-11-20T00:00:00"/>
    <d v="2453-11-16T00:00:00"/>
    <x v="0"/>
    <x v="42"/>
    <x v="15"/>
    <x v="7"/>
    <s v="No"/>
    <d v="1900-01-12T00:00:00"/>
    <d v="2023-05-16T00:00:00"/>
    <d v="2023-05-16T00:00:00"/>
    <x v="2"/>
    <x v="10"/>
    <s v="New York"/>
    <s v="Corporate"/>
    <x v="2"/>
    <x v="4"/>
    <x v="3"/>
    <x v="583"/>
    <n v="64.5"/>
    <n v="123.62"/>
    <n v="815.10700000000008"/>
    <n v="1620.05"/>
    <m/>
    <n v="0"/>
    <n v="0"/>
    <n v="3"/>
    <n v="370.86"/>
    <n v="193.5"/>
    <n v="177.36"/>
    <n v="0.47823976702798904"/>
  </r>
  <r>
    <x v="586"/>
    <n v="1"/>
    <x v="450"/>
    <n v="202403"/>
    <n v="202301"/>
    <x v="1"/>
    <x v="64"/>
    <x v="0"/>
    <x v="9"/>
    <s v="No"/>
    <n v="24"/>
    <d v="2024-04-06T00:00:00"/>
    <d v="2024-04-06T00:00:00"/>
    <x v="0"/>
    <x v="1"/>
    <s v="Abuja"/>
    <s v="Consumer"/>
    <x v="3"/>
    <x v="4"/>
    <x v="0"/>
    <x v="584"/>
    <n v="1232.78"/>
    <n v="1731.75"/>
    <n v="815.10700000000008"/>
    <n v="1620.05"/>
    <s v="Low"/>
    <n v="9.2999999999999999E-2"/>
    <n v="0"/>
    <n v="16"/>
    <n v="27708"/>
    <n v="19724.48"/>
    <n v="7983.52"/>
    <n v="0.28813050382560995"/>
  </r>
  <r>
    <x v="587"/>
    <m/>
    <x v="248"/>
    <d v="2454-03-01T00:00:00"/>
    <d v="2453-11-18T00:00:00"/>
    <x v="2"/>
    <x v="40"/>
    <x v="17"/>
    <x v="1"/>
    <s v="Yes"/>
    <d v="1900-01-04T00:00:00"/>
    <d v="2024-06-21T00:00:00"/>
    <d v="2024-06-21T00:00:00"/>
    <x v="1"/>
    <x v="2"/>
    <s v="Tokyo"/>
    <s v="Small Business"/>
    <x v="3"/>
    <x v="9"/>
    <x v="3"/>
    <x v="585"/>
    <n v="1367.13"/>
    <n v="3062.01"/>
    <n v="815.10700000000008"/>
    <n v="1620.05"/>
    <m/>
    <n v="0.10299999999999999"/>
    <n v="0"/>
    <n v="25"/>
    <n v="76550.25"/>
    <n v="34178.25"/>
    <n v="42372"/>
    <n v="0.5535187670843662"/>
  </r>
  <r>
    <x v="588"/>
    <m/>
    <x v="146"/>
    <d v="2454-06-05T00:00:00"/>
    <d v="2453-11-16T00:00:00"/>
    <x v="0"/>
    <x v="47"/>
    <x v="26"/>
    <x v="6"/>
    <s v="No"/>
    <d v="1900-01-11T00:00:00"/>
    <d v="2025-02-27T00:00:00"/>
    <d v="2025-02-27T00:00:00"/>
    <x v="3"/>
    <x v="7"/>
    <s v="Lyon"/>
    <s v="Non-Profit"/>
    <x v="4"/>
    <x v="11"/>
    <x v="6"/>
    <x v="586"/>
    <n v="1027.26"/>
    <n v="2200.41"/>
    <n v="815.10700000000008"/>
    <n v="1620.05"/>
    <m/>
    <n v="8.7999999999999995E-2"/>
    <n v="0"/>
    <n v="6"/>
    <n v="13202.46"/>
    <n v="6163.5599999999995"/>
    <n v="7038.9"/>
    <n v="0.53315064010797986"/>
  </r>
  <r>
    <x v="589"/>
    <m/>
    <x v="451"/>
    <d v="2453-11-19T00:00:00"/>
    <d v="2453-11-16T00:00:00"/>
    <x v="0"/>
    <x v="12"/>
    <x v="12"/>
    <x v="4"/>
    <s v="No"/>
    <d v="1900-01-12T00:00:00"/>
    <d v="2023-04-16T00:00:00"/>
    <d v="2023-04-16T00:00:00"/>
    <x v="3"/>
    <x v="7"/>
    <s v="Marseille"/>
    <s v="Non-Profit"/>
    <x v="2"/>
    <x v="12"/>
    <x v="6"/>
    <x v="587"/>
    <n v="790.54"/>
    <n v="601.49"/>
    <n v="815.10700000000008"/>
    <n v="1620.05"/>
    <m/>
    <n v="0"/>
    <n v="0"/>
    <n v="15"/>
    <n v="9022.35"/>
    <n v="11858.099999999999"/>
    <n v="-2835.7499999999982"/>
    <n v="-0.31430281467688553"/>
  </r>
  <r>
    <x v="590"/>
    <m/>
    <x v="387"/>
    <d v="2454-06-11T00:00:00"/>
    <d v="2453-11-16T00:00:00"/>
    <x v="0"/>
    <x v="46"/>
    <x v="28"/>
    <x v="9"/>
    <s v="No"/>
    <d v="1900-01-22T00:00:00"/>
    <d v="2025-09-22T00:00:00"/>
    <d v="2025-09-22T00:00:00"/>
    <x v="3"/>
    <x v="7"/>
    <s v="Marseille"/>
    <s v="Corporate"/>
    <x v="4"/>
    <x v="6"/>
    <x v="0"/>
    <x v="588"/>
    <n v="663.9"/>
    <n v="947.77"/>
    <n v="815.10700000000008"/>
    <n v="1620.05"/>
    <m/>
    <n v="0.17399999999999999"/>
    <n v="0"/>
    <n v="15"/>
    <n v="14216.55"/>
    <n v="9958.5"/>
    <n v="4258.0499999999993"/>
    <n v="0.29951359507053393"/>
  </r>
  <r>
    <x v="591"/>
    <m/>
    <x v="452"/>
    <d v="2453-11-17T00:00:00"/>
    <d v="2453-11-16T00:00:00"/>
    <x v="0"/>
    <x v="2"/>
    <x v="2"/>
    <x v="8"/>
    <s v="Yes"/>
    <d v="1899-12-30T00:00:00"/>
    <d v="2023-02-27T00:00:00"/>
    <d v="2023-02-26T00:00:00"/>
    <x v="2"/>
    <x v="10"/>
    <s v="San Francisco"/>
    <s v="Non-Profit"/>
    <x v="1"/>
    <x v="4"/>
    <x v="2"/>
    <x v="589"/>
    <n v="1015.91"/>
    <n v="2331.48"/>
    <n v="815.10700000000008"/>
    <n v="1620.05"/>
    <m/>
    <n v="0.14599999999999999"/>
    <n v="0"/>
    <n v="26"/>
    <n v="60618.48"/>
    <n v="26413.66"/>
    <n v="34204.820000000007"/>
    <n v="0.56426390104139867"/>
  </r>
  <r>
    <x v="592"/>
    <m/>
    <x v="453"/>
    <d v="2454-03-02T00:00:00"/>
    <d v="2453-11-18T00:00:00"/>
    <x v="2"/>
    <x v="19"/>
    <x v="14"/>
    <x v="3"/>
    <s v="No"/>
    <d v="1900-01-14T00:00:00"/>
    <d v="2024-08-15T00:00:00"/>
    <d v="2024-08-15T00:00:00"/>
    <x v="1"/>
    <x v="2"/>
    <s v="Tokyo"/>
    <s v="Corporate"/>
    <x v="2"/>
    <x v="9"/>
    <x v="5"/>
    <x v="590"/>
    <n v="1252.52"/>
    <n v="1417.24"/>
    <n v="815.10700000000008"/>
    <n v="1620.05"/>
    <m/>
    <n v="0.192"/>
    <n v="0"/>
    <n v="5"/>
    <n v="7086.2"/>
    <n v="6262.6"/>
    <n v="823.59999999999945"/>
    <n v="0.11622590386949275"/>
  </r>
  <r>
    <x v="593"/>
    <m/>
    <x v="324"/>
    <d v="2454-06-09T00:00:00"/>
    <d v="2453-11-16T00:00:00"/>
    <x v="0"/>
    <x v="37"/>
    <x v="16"/>
    <x v="10"/>
    <s v="No"/>
    <d v="1900-01-26T00:00:00"/>
    <d v="2025-07-12T00:00:00"/>
    <d v="2025-07-12T00:00:00"/>
    <x v="3"/>
    <x v="7"/>
    <s v="Marseille"/>
    <s v="Consumer"/>
    <x v="4"/>
    <x v="0"/>
    <x v="6"/>
    <x v="591"/>
    <n v="318.83"/>
    <n v="699.5"/>
    <n v="815.10700000000008"/>
    <n v="1620.05"/>
    <m/>
    <n v="0.08"/>
    <n v="0"/>
    <n v="13"/>
    <n v="9093.5"/>
    <n v="4144.79"/>
    <n v="4948.71"/>
    <n v="0.54420300214438888"/>
  </r>
  <r>
    <x v="594"/>
    <m/>
    <x v="24"/>
    <d v="2454-03-01T00:00:00"/>
    <d v="2453-11-16T00:00:00"/>
    <x v="0"/>
    <x v="51"/>
    <x v="17"/>
    <x v="7"/>
    <s v="No"/>
    <d v="1900-01-20T00:00:00"/>
    <d v="2024-07-21T00:00:00"/>
    <d v="2024-07-21T00:00:00"/>
    <x v="0"/>
    <x v="0"/>
    <s v="Kisumu"/>
    <s v="Small Business"/>
    <x v="0"/>
    <x v="11"/>
    <x v="4"/>
    <x v="592"/>
    <n v="753.43"/>
    <n v="1787.2"/>
    <n v="815.10700000000008"/>
    <n v="1620.05"/>
    <m/>
    <n v="7.2999999999999995E-2"/>
    <n v="0"/>
    <n v="9"/>
    <n v="16084.800000000001"/>
    <n v="6780.87"/>
    <n v="9303.93"/>
    <n v="0.57842994628469113"/>
  </r>
  <r>
    <x v="595"/>
    <n v="1"/>
    <x v="454"/>
    <n v="202502"/>
    <n v="202301"/>
    <x v="1"/>
    <x v="36"/>
    <x v="26"/>
    <x v="6"/>
    <s v="Yes"/>
    <n v="0"/>
    <d v="2025-02-17T00:00:00"/>
    <d v="2025-02-15T00:00:00"/>
    <x v="2"/>
    <x v="3"/>
    <s v="Toronto"/>
    <s v="Small Business"/>
    <x v="0"/>
    <x v="14"/>
    <x v="0"/>
    <x v="593"/>
    <n v="1133.47"/>
    <n v="1698.75"/>
    <n v="815.10700000000008"/>
    <n v="1620.05"/>
    <s v="High"/>
    <n v="4.2999999999999997E-2"/>
    <n v="0"/>
    <n v="5"/>
    <n v="8493.75"/>
    <n v="5667.35"/>
    <n v="2826.3999999999996"/>
    <n v="0.33276232523914639"/>
  </r>
  <r>
    <x v="596"/>
    <m/>
    <x v="455"/>
    <d v="2453-11-16T00:00:00"/>
    <d v="2453-11-16T00:00:00"/>
    <x v="0"/>
    <x v="55"/>
    <x v="5"/>
    <x v="4"/>
    <s v="No"/>
    <d v="1900-01-22T00:00:00"/>
    <d v="2023-01-30T00:00:00"/>
    <d v="2023-01-30T00:00:00"/>
    <x v="0"/>
    <x v="11"/>
    <s v="Cape Town"/>
    <s v="Consumer"/>
    <x v="1"/>
    <x v="8"/>
    <x v="1"/>
    <x v="594"/>
    <n v="299.02"/>
    <n v="724.7"/>
    <n v="815.10700000000008"/>
    <n v="1620.05"/>
    <m/>
    <n v="0.14000000000000001"/>
    <n v="0"/>
    <n v="5"/>
    <n v="3623.5"/>
    <n v="1495.1"/>
    <n v="2128.4"/>
    <n v="0.58738788464192082"/>
  </r>
  <r>
    <x v="597"/>
    <m/>
    <x v="401"/>
    <d v="2454-06-06T00:00:00"/>
    <d v="2453-11-18T00:00:00"/>
    <x v="2"/>
    <x v="33"/>
    <x v="3"/>
    <x v="3"/>
    <s v="No"/>
    <d v="1900-01-24T00:00:00"/>
    <d v="2025-04-04T00:00:00"/>
    <d v="2025-04-04T00:00:00"/>
    <x v="1"/>
    <x v="2"/>
    <s v="Osaka"/>
    <s v="Corporate"/>
    <x v="4"/>
    <x v="10"/>
    <x v="1"/>
    <x v="595"/>
    <n v="783.72"/>
    <n v="1355.94"/>
    <n v="815.10700000000008"/>
    <n v="1620.05"/>
    <m/>
    <n v="0.187"/>
    <n v="0"/>
    <n v="4"/>
    <n v="5423.76"/>
    <n v="3134.88"/>
    <n v="2288.88"/>
    <n v="0.42200982344351523"/>
  </r>
  <r>
    <x v="598"/>
    <n v="1"/>
    <x v="456"/>
    <n v="202408"/>
    <n v="202301"/>
    <x v="1"/>
    <x v="44"/>
    <x v="21"/>
    <x v="4"/>
    <s v="Yes"/>
    <n v="0"/>
    <d v="2024-08-17T00:00:00"/>
    <d v="2024-08-15T00:00:00"/>
    <x v="2"/>
    <x v="5"/>
    <s v="Rio de Janeiro"/>
    <s v="Consumer"/>
    <x v="4"/>
    <x v="12"/>
    <x v="5"/>
    <x v="596"/>
    <n v="165.3"/>
    <n v="275.07"/>
    <n v="815.10700000000008"/>
    <n v="1620.05"/>
    <s v="Medium"/>
    <n v="0.13300000000000001"/>
    <n v="0"/>
    <n v="25"/>
    <n v="6876.75"/>
    <n v="4132.5"/>
    <n v="2744.25"/>
    <n v="0.39906205693096303"/>
  </r>
  <r>
    <x v="599"/>
    <n v="1"/>
    <x v="306"/>
    <n v="202403"/>
    <n v="202301"/>
    <x v="1"/>
    <x v="64"/>
    <x v="0"/>
    <x v="10"/>
    <s v="No"/>
    <n v="13"/>
    <d v="2024-03-22T00:00:00"/>
    <d v="2024-03-22T00:00:00"/>
    <x v="3"/>
    <x v="8"/>
    <s v="Manchester"/>
    <s v="Consumer"/>
    <x v="1"/>
    <x v="6"/>
    <x v="4"/>
    <x v="597"/>
    <n v="985.45"/>
    <n v="1802.44"/>
    <n v="815.10700000000008"/>
    <n v="1620.05"/>
    <s v="Low"/>
    <n v="8.9999999999999993E-3"/>
    <n v="0"/>
    <n v="19"/>
    <n v="34246.36"/>
    <n v="18723.55"/>
    <n v="15522.810000000001"/>
    <n v="0.45326890215485677"/>
  </r>
  <r>
    <x v="600"/>
    <n v="1"/>
    <x v="395"/>
    <n v="202408"/>
    <n v="202301"/>
    <x v="1"/>
    <x v="44"/>
    <x v="21"/>
    <x v="1"/>
    <s v="No"/>
    <n v="14"/>
    <d v="2024-09-02T00:00:00"/>
    <d v="2024-09-02T00:00:00"/>
    <x v="2"/>
    <x v="3"/>
    <s v="Toronto"/>
    <s v="Consumer"/>
    <x v="3"/>
    <x v="0"/>
    <x v="1"/>
    <x v="598"/>
    <n v="1337.01"/>
    <n v="1269.78"/>
    <n v="815.10700000000008"/>
    <n v="1620.05"/>
    <s v="High"/>
    <n v="0.16"/>
    <n v="0"/>
    <n v="7"/>
    <n v="8888.4599999999991"/>
    <n v="9359.07"/>
    <n v="-470.61000000000058"/>
    <n v="-5.2946179653168335E-2"/>
  </r>
  <r>
    <x v="601"/>
    <m/>
    <x v="457"/>
    <d v="2454-06-11T00:00:00"/>
    <d v="2453-11-16T00:00:00"/>
    <x v="0"/>
    <x v="46"/>
    <x v="28"/>
    <x v="10"/>
    <s v="No"/>
    <d v="1900-01-16T00:00:00"/>
    <d v="2025-08-28T00:00:00"/>
    <d v="2025-08-28T00:00:00"/>
    <x v="3"/>
    <x v="7"/>
    <s v="Paris"/>
    <s v="Education"/>
    <x v="1"/>
    <x v="9"/>
    <x v="2"/>
    <x v="599"/>
    <n v="416.16"/>
    <n v="571.9"/>
    <n v="815.10700000000008"/>
    <n v="1620.05"/>
    <m/>
    <n v="7.0999999999999994E-2"/>
    <n v="0"/>
    <n v="2"/>
    <n v="1143.8"/>
    <n v="832.32"/>
    <n v="311.4799999999999"/>
    <n v="0.27232033572302844"/>
  </r>
  <r>
    <x v="602"/>
    <m/>
    <x v="216"/>
    <d v="2454-06-08T00:00:00"/>
    <d v="2453-11-18T00:00:00"/>
    <x v="2"/>
    <x v="50"/>
    <x v="8"/>
    <x v="8"/>
    <s v="Yes"/>
    <d v="1900-01-01T00:00:00"/>
    <d v="2025-05-18T00:00:00"/>
    <d v="2025-05-18T00:00:00"/>
    <x v="1"/>
    <x v="2"/>
    <s v="Tokyo"/>
    <s v="Enterprise"/>
    <x v="0"/>
    <x v="1"/>
    <x v="1"/>
    <x v="600"/>
    <n v="1144.3800000000001"/>
    <n v="2755.04"/>
    <n v="815.10700000000008"/>
    <n v="1620.05"/>
    <m/>
    <n v="0.15"/>
    <n v="0"/>
    <n v="17"/>
    <n v="46835.68"/>
    <n v="19454.460000000003"/>
    <n v="27381.219999999998"/>
    <n v="0.58462309077182173"/>
  </r>
  <r>
    <x v="603"/>
    <n v="1"/>
    <x v="458"/>
    <n v="202304"/>
    <n v="202301"/>
    <x v="1"/>
    <x v="39"/>
    <x v="12"/>
    <x v="7"/>
    <s v="No"/>
    <n v="15"/>
    <d v="2023-04-25T00:00:00"/>
    <d v="2023-04-25T00:00:00"/>
    <x v="3"/>
    <x v="8"/>
    <s v="London"/>
    <s v="Small Business"/>
    <x v="0"/>
    <x v="14"/>
    <x v="1"/>
    <x v="601"/>
    <n v="405.66"/>
    <n v="962.51"/>
    <n v="815.10700000000008"/>
    <n v="1620.05"/>
    <s v="High"/>
    <n v="0.19"/>
    <n v="0"/>
    <n v="7"/>
    <n v="6737.57"/>
    <n v="2839.6200000000003"/>
    <n v="3897.9499999999994"/>
    <n v="0.57853944374603894"/>
  </r>
  <r>
    <x v="604"/>
    <n v="1"/>
    <x v="459"/>
    <n v="202309"/>
    <n v="202301"/>
    <x v="1"/>
    <x v="60"/>
    <x v="27"/>
    <x v="9"/>
    <s v="No"/>
    <n v="15"/>
    <d v="2023-10-02T00:00:00"/>
    <d v="2023-10-02T00:00:00"/>
    <x v="2"/>
    <x v="5"/>
    <s v="Rio de Janeiro"/>
    <s v="Small Business"/>
    <x v="0"/>
    <x v="5"/>
    <x v="4"/>
    <x v="602"/>
    <n v="689.33"/>
    <n v="668.27"/>
    <n v="815.10700000000008"/>
    <n v="1620.05"/>
    <s v="Medium"/>
    <n v="0.186"/>
    <n v="0"/>
    <n v="13"/>
    <n v="8687.51"/>
    <n v="8961.2900000000009"/>
    <n v="-273.78000000000065"/>
    <n v="-3.1514208328968903E-2"/>
  </r>
  <r>
    <x v="605"/>
    <m/>
    <x v="460"/>
    <d v="2453-11-19T00:00:00"/>
    <d v="2453-11-18T00:00:00"/>
    <x v="2"/>
    <x v="2"/>
    <x v="12"/>
    <x v="11"/>
    <s v="No"/>
    <d v="1900-01-21T00:00:00"/>
    <d v="2023-05-14T00:00:00"/>
    <d v="2023-05-14T00:00:00"/>
    <x v="1"/>
    <x v="2"/>
    <s v="Nagoya"/>
    <s v="Enterprise"/>
    <x v="0"/>
    <x v="8"/>
    <x v="6"/>
    <x v="603"/>
    <n v="1209.22"/>
    <n v="1404.33"/>
    <n v="815.10700000000008"/>
    <n v="1620.05"/>
    <m/>
    <n v="0.10299999999999999"/>
    <n v="0"/>
    <n v="11"/>
    <n v="15447.63"/>
    <n v="13301.42"/>
    <n v="2146.2099999999991"/>
    <n v="0.13893458090334887"/>
  </r>
  <r>
    <x v="606"/>
    <m/>
    <x v="111"/>
    <d v="2454-06-09T00:00:00"/>
    <d v="2453-11-16T00:00:00"/>
    <x v="0"/>
    <x v="37"/>
    <x v="16"/>
    <x v="9"/>
    <s v="Yes"/>
    <d v="1900-01-01T00:00:00"/>
    <d v="2025-06-21T00:00:00"/>
    <d v="2025-06-21T00:00:00"/>
    <x v="0"/>
    <x v="11"/>
    <s v="Johannesburg"/>
    <s v="Small Business"/>
    <x v="1"/>
    <x v="10"/>
    <x v="3"/>
    <x v="604"/>
    <n v="1466.27"/>
    <n v="3589.89"/>
    <n v="815.10700000000008"/>
    <n v="1620.05"/>
    <m/>
    <n v="9.7000000000000003E-2"/>
    <n v="0"/>
    <n v="9"/>
    <n v="32309.01"/>
    <n v="13196.43"/>
    <n v="19112.579999999998"/>
    <n v="0.5915557301198644"/>
  </r>
  <r>
    <x v="607"/>
    <m/>
    <x v="461"/>
    <d v="2454-03-06T00:00:00"/>
    <d v="2453-11-16T00:00:00"/>
    <x v="0"/>
    <x v="10"/>
    <x v="18"/>
    <x v="7"/>
    <s v="No"/>
    <d v="1900-01-26T00:00:00"/>
    <d v="2024-12-24T00:00:00"/>
    <d v="2024-12-24T00:00:00"/>
    <x v="0"/>
    <x v="0"/>
    <s v="Mombasa"/>
    <s v="Corporate"/>
    <x v="3"/>
    <x v="5"/>
    <x v="1"/>
    <x v="605"/>
    <n v="143.33000000000001"/>
    <n v="233.51"/>
    <n v="815.10700000000008"/>
    <n v="1620.05"/>
    <m/>
    <n v="0.16300000000000001"/>
    <n v="0"/>
    <n v="14"/>
    <n v="3269.14"/>
    <n v="2006.6200000000001"/>
    <n v="1262.5199999999998"/>
    <n v="0.38619331077898156"/>
  </r>
  <r>
    <x v="608"/>
    <m/>
    <x v="10"/>
    <d v="2454-02-24T00:00:00"/>
    <d v="2453-11-16T00:00:00"/>
    <x v="0"/>
    <x v="9"/>
    <x v="9"/>
    <x v="2"/>
    <s v="Yes"/>
    <d v="1899-12-30T00:00:00"/>
    <d v="2024-01-28T00:00:00"/>
    <d v="2024-01-27T00:00:00"/>
    <x v="0"/>
    <x v="11"/>
    <s v="Cape Town"/>
    <s v="Enterprise"/>
    <x v="4"/>
    <x v="7"/>
    <x v="0"/>
    <x v="606"/>
    <n v="109.75"/>
    <n v="124.25"/>
    <n v="815.10700000000008"/>
    <n v="1620.05"/>
    <m/>
    <n v="0.12"/>
    <n v="0"/>
    <n v="19"/>
    <n v="2360.75"/>
    <n v="2085.25"/>
    <n v="275.5"/>
    <n v="0.11670020120724346"/>
  </r>
  <r>
    <x v="609"/>
    <m/>
    <x v="386"/>
    <d v="2453-11-19T00:00:00"/>
    <d v="2453-11-16T00:00:00"/>
    <x v="0"/>
    <x v="12"/>
    <x v="12"/>
    <x v="1"/>
    <s v="Yes"/>
    <d v="1900-01-06T00:00:00"/>
    <d v="2023-04-23T00:00:00"/>
    <d v="2023-04-23T00:00:00"/>
    <x v="2"/>
    <x v="10"/>
    <s v="Austin"/>
    <s v="Corporate"/>
    <x v="3"/>
    <x v="7"/>
    <x v="1"/>
    <x v="607"/>
    <n v="1099.1500000000001"/>
    <n v="1431.37"/>
    <n v="815.10700000000008"/>
    <n v="1620.05"/>
    <m/>
    <n v="0.104"/>
    <n v="0"/>
    <n v="8"/>
    <n v="11450.96"/>
    <n v="8793.2000000000007"/>
    <n v="2657.7599999999984"/>
    <n v="0.23209931743714052"/>
  </r>
  <r>
    <x v="610"/>
    <m/>
    <x v="145"/>
    <d v="2454-02-25T00:00:00"/>
    <d v="2453-11-16T00:00:00"/>
    <x v="0"/>
    <x v="58"/>
    <x v="31"/>
    <x v="9"/>
    <s v="Yes"/>
    <d v="1899-12-30T00:00:00"/>
    <d v="2024-02-01T00:00:00"/>
    <d v="2024-02-01T00:00:00"/>
    <x v="2"/>
    <x v="10"/>
    <s v="Austin"/>
    <s v="Consumer"/>
    <x v="3"/>
    <x v="10"/>
    <x v="1"/>
    <x v="608"/>
    <n v="714.43"/>
    <n v="1595.52"/>
    <n v="815.10700000000008"/>
    <n v="1620.05"/>
    <m/>
    <n v="0.19400000000000001"/>
    <n v="0"/>
    <n v="14"/>
    <n v="22337.279999999999"/>
    <n v="10002.019999999999"/>
    <n v="12335.26"/>
    <n v="0.55222748696349788"/>
  </r>
  <r>
    <x v="611"/>
    <m/>
    <x v="462"/>
    <d v="2454-03-05T00:00:00"/>
    <d v="2453-11-16T00:00:00"/>
    <x v="0"/>
    <x v="26"/>
    <x v="1"/>
    <x v="1"/>
    <s v="No"/>
    <d v="1900-01-17T00:00:00"/>
    <d v="2024-11-06T00:00:00"/>
    <d v="2024-11-06T00:00:00"/>
    <x v="2"/>
    <x v="10"/>
    <s v="Chicago"/>
    <s v="Education"/>
    <x v="1"/>
    <x v="0"/>
    <x v="5"/>
    <x v="609"/>
    <n v="942.02"/>
    <n v="1028.46"/>
    <n v="815.10700000000008"/>
    <n v="1620.05"/>
    <m/>
    <n v="0"/>
    <n v="0"/>
    <n v="9"/>
    <n v="9256.14"/>
    <n v="8478.18"/>
    <n v="777.95999999999913"/>
    <n v="8.4047994088248354E-2"/>
  </r>
  <r>
    <x v="612"/>
    <m/>
    <x v="463"/>
    <d v="2454-03-01T00:00:00"/>
    <d v="2453-11-16T00:00:00"/>
    <x v="0"/>
    <x v="51"/>
    <x v="17"/>
    <x v="2"/>
    <s v="Yes"/>
    <d v="1900-01-04T00:00:00"/>
    <d v="2024-06-30T00:00:00"/>
    <d v="2024-06-30T00:00:00"/>
    <x v="0"/>
    <x v="0"/>
    <s v="Kisumu"/>
    <s v="Education"/>
    <x v="4"/>
    <x v="12"/>
    <x v="2"/>
    <x v="610"/>
    <n v="1323.55"/>
    <n v="3230.35"/>
    <n v="815.10700000000008"/>
    <n v="1620.05"/>
    <m/>
    <n v="2.1999999999999999E-2"/>
    <n v="0"/>
    <n v="26"/>
    <n v="83989.099999999991"/>
    <n v="34412.299999999996"/>
    <n v="49576.799999999996"/>
    <n v="0.59027659541535749"/>
  </r>
  <r>
    <x v="613"/>
    <m/>
    <x v="202"/>
    <d v="2453-11-22T00:00:00"/>
    <d v="2453-11-16T00:00:00"/>
    <x v="0"/>
    <x v="30"/>
    <x v="24"/>
    <x v="6"/>
    <s v="No"/>
    <d v="1900-01-19T00:00:00"/>
    <d v="2023-08-19T00:00:00"/>
    <d v="2023-08-19T00:00:00"/>
    <x v="3"/>
    <x v="7"/>
    <s v="Paris"/>
    <s v="Enterprise"/>
    <x v="2"/>
    <x v="3"/>
    <x v="2"/>
    <x v="611"/>
    <n v="1418.51"/>
    <n v="2789.61"/>
    <n v="815.10700000000008"/>
    <n v="1620.05"/>
    <m/>
    <n v="0.17100000000000001"/>
    <n v="0"/>
    <n v="8"/>
    <n v="22316.880000000001"/>
    <n v="11348.08"/>
    <n v="10968.800000000001"/>
    <n v="0.49150239639232729"/>
  </r>
  <r>
    <x v="614"/>
    <m/>
    <x v="417"/>
    <d v="2454-06-06T00:00:00"/>
    <d v="2453-11-18T00:00:00"/>
    <x v="2"/>
    <x v="33"/>
    <x v="3"/>
    <x v="11"/>
    <s v="No"/>
    <d v="1900-01-15T00:00:00"/>
    <d v="2025-03-27T00:00:00"/>
    <d v="2025-03-27T00:00:00"/>
    <x v="1"/>
    <x v="2"/>
    <s v="Tokyo"/>
    <s v="Enterprise"/>
    <x v="3"/>
    <x v="5"/>
    <x v="1"/>
    <x v="612"/>
    <n v="1317.58"/>
    <n v="1897.74"/>
    <n v="815.10700000000008"/>
    <n v="1620.05"/>
    <m/>
    <n v="8.1000000000000003E-2"/>
    <n v="0"/>
    <n v="6"/>
    <n v="11386.44"/>
    <n v="7905.48"/>
    <n v="3480.9600000000009"/>
    <n v="0.30571100361482612"/>
  </r>
  <r>
    <x v="615"/>
    <n v="1"/>
    <x v="326"/>
    <n v="202310"/>
    <n v="202301"/>
    <x v="1"/>
    <x v="61"/>
    <x v="32"/>
    <x v="4"/>
    <s v="Yes"/>
    <n v="2"/>
    <d v="2023-10-11T00:00:00"/>
    <d v="2023-10-11T00:00:00"/>
    <x v="0"/>
    <x v="1"/>
    <s v="Port Harcourt"/>
    <s v="Education"/>
    <x v="2"/>
    <x v="11"/>
    <x v="2"/>
    <x v="613"/>
    <n v="391.16"/>
    <n v="902.47"/>
    <n v="815.10700000000008"/>
    <n v="1620.05"/>
    <s v="High"/>
    <n v="4.0000000000000001E-3"/>
    <n v="0"/>
    <n v="12"/>
    <n v="10829.64"/>
    <n v="4693.92"/>
    <n v="6135.7199999999993"/>
    <n v="0.56656730971666647"/>
  </r>
  <r>
    <x v="616"/>
    <n v="1"/>
    <x v="55"/>
    <n v="202412"/>
    <n v="202301"/>
    <x v="1"/>
    <x v="41"/>
    <x v="6"/>
    <x v="5"/>
    <s v="No"/>
    <n v="30"/>
    <d v="2025-01-16T00:00:00"/>
    <d v="2025-01-16T00:00:00"/>
    <x v="3"/>
    <x v="8"/>
    <s v="Manchester"/>
    <s v="Corporate"/>
    <x v="0"/>
    <x v="14"/>
    <x v="5"/>
    <x v="614"/>
    <n v="722.87"/>
    <n v="33.659999999999997"/>
    <n v="815.10700000000008"/>
    <n v="1620.05"/>
    <s v="Medium"/>
    <n v="0.10199999999999999"/>
    <n v="0"/>
    <n v="28"/>
    <n v="942.4799999999999"/>
    <n v="20240.36"/>
    <n v="-19297.88"/>
    <n v="-20.475638740344625"/>
  </r>
  <r>
    <x v="617"/>
    <n v="1"/>
    <x v="444"/>
    <n v="202507"/>
    <n v="202301"/>
    <x v="1"/>
    <x v="15"/>
    <x v="13"/>
    <x v="2"/>
    <s v="Yes"/>
    <n v="5"/>
    <d v="2025-07-16T00:00:00"/>
    <d v="2025-07-16T00:00:00"/>
    <x v="3"/>
    <x v="8"/>
    <s v="London"/>
    <s v="Enterprise"/>
    <x v="1"/>
    <x v="11"/>
    <x v="1"/>
    <x v="615"/>
    <n v="930.03"/>
    <n v="1086.68"/>
    <n v="815.10700000000008"/>
    <n v="1620.05"/>
    <s v="Low"/>
    <n v="0.109"/>
    <n v="0"/>
    <n v="26"/>
    <n v="28253.68"/>
    <n v="24180.78"/>
    <n v="4072.9000000000015"/>
    <n v="0.14415467294879822"/>
  </r>
  <r>
    <x v="618"/>
    <m/>
    <x v="464"/>
    <d v="2454-03-05T00:00:00"/>
    <d v="2453-11-16T00:00:00"/>
    <x v="0"/>
    <x v="26"/>
    <x v="1"/>
    <x v="8"/>
    <s v="No"/>
    <d v="1900-01-10T00:00:00"/>
    <d v="2024-10-24T00:00:00"/>
    <d v="2024-10-24T00:00:00"/>
    <x v="3"/>
    <x v="7"/>
    <s v="Paris"/>
    <s v="Education"/>
    <x v="3"/>
    <x v="9"/>
    <x v="0"/>
    <x v="616"/>
    <n v="816.7"/>
    <n v="1010.75"/>
    <n v="815.10700000000008"/>
    <n v="1620.05"/>
    <m/>
    <n v="4.7E-2"/>
    <n v="0"/>
    <n v="43"/>
    <n v="43462.25"/>
    <n v="35118.1"/>
    <n v="8344.1500000000015"/>
    <n v="0.19198614889933222"/>
  </r>
  <r>
    <x v="619"/>
    <m/>
    <x v="428"/>
    <d v="2453-11-24T00:00:00"/>
    <d v="2453-11-16T00:00:00"/>
    <x v="0"/>
    <x v="52"/>
    <x v="27"/>
    <x v="2"/>
    <s v="Yes"/>
    <d v="1900-01-05T00:00:00"/>
    <d v="2023-09-14T00:00:00"/>
    <d v="2023-09-14T00:00:00"/>
    <x v="0"/>
    <x v="0"/>
    <s v="Nakuru"/>
    <s v="Education"/>
    <x v="4"/>
    <x v="2"/>
    <x v="6"/>
    <x v="617"/>
    <n v="251.03"/>
    <n v="411.48"/>
    <n v="815.10700000000008"/>
    <n v="1620.05"/>
    <m/>
    <n v="0.16500000000000001"/>
    <n v="0"/>
    <n v="3"/>
    <n v="1234.44"/>
    <n v="753.09"/>
    <n v="481.35"/>
    <n v="0.38993389715174492"/>
  </r>
  <r>
    <x v="620"/>
    <n v="1"/>
    <x v="448"/>
    <n v="202504"/>
    <n v="202301"/>
    <x v="1"/>
    <x v="35"/>
    <x v="19"/>
    <x v="11"/>
    <s v="No"/>
    <n v="16"/>
    <d v="2025-05-03T00:00:00"/>
    <d v="2025-05-03T00:00:00"/>
    <x v="2"/>
    <x v="5"/>
    <s v="Rio de Janeiro"/>
    <s v="Consumer"/>
    <x v="2"/>
    <x v="1"/>
    <x v="2"/>
    <x v="618"/>
    <n v="168.68"/>
    <n v="413.34"/>
    <n v="815.10700000000008"/>
    <n v="1620.05"/>
    <s v="Low"/>
    <n v="0.186"/>
    <n v="0"/>
    <n v="7"/>
    <n v="2893.3799999999997"/>
    <n v="1180.76"/>
    <n v="1712.6199999999997"/>
    <n v="0.59190980790632408"/>
  </r>
  <r>
    <x v="621"/>
    <n v="1"/>
    <x v="465"/>
    <n v="202407"/>
    <n v="202302"/>
    <x v="3"/>
    <x v="21"/>
    <x v="14"/>
    <x v="7"/>
    <s v="No"/>
    <n v="26"/>
    <d v="2024-08-23T00:00:00"/>
    <d v="2024-08-23T00:00:00"/>
    <x v="1"/>
    <x v="4"/>
    <s v="Hyderabad"/>
    <s v="Corporate"/>
    <x v="0"/>
    <x v="1"/>
    <x v="2"/>
    <x v="619"/>
    <n v="1339.24"/>
    <n v="1558.89"/>
    <n v="815.10700000000008"/>
    <n v="1620.05"/>
    <s v="Low"/>
    <n v="0.192"/>
    <n v="0"/>
    <n v="24"/>
    <n v="37413.360000000001"/>
    <n v="32141.760000000002"/>
    <n v="5271.5999999999985"/>
    <n v="0.14090153891551035"/>
  </r>
  <r>
    <x v="622"/>
    <m/>
    <x v="466"/>
    <d v="2454-06-10T00:00:00"/>
    <d v="2453-11-16T00:00:00"/>
    <x v="0"/>
    <x v="14"/>
    <x v="13"/>
    <x v="10"/>
    <s v="No"/>
    <d v="1900-01-11T00:00:00"/>
    <d v="2025-07-31T00:00:00"/>
    <d v="2025-07-31T00:00:00"/>
    <x v="0"/>
    <x v="0"/>
    <s v="Nairobi"/>
    <s v="Small Business"/>
    <x v="2"/>
    <x v="7"/>
    <x v="6"/>
    <x v="620"/>
    <n v="619.64"/>
    <n v="861.16"/>
    <n v="815.10700000000008"/>
    <n v="1620.05"/>
    <m/>
    <n v="0.113"/>
    <n v="0"/>
    <n v="14"/>
    <n v="12056.24"/>
    <n v="8674.9599999999991"/>
    <n v="3381.2800000000007"/>
    <n v="0.28045891588090488"/>
  </r>
  <r>
    <x v="623"/>
    <n v="1"/>
    <x v="241"/>
    <n v="202308"/>
    <n v="202301"/>
    <x v="1"/>
    <x v="43"/>
    <x v="25"/>
    <x v="8"/>
    <s v="Yes"/>
    <n v="0"/>
    <d v="2023-08-03T00:00:00"/>
    <d v="2023-08-02T00:00:00"/>
    <x v="1"/>
    <x v="9"/>
    <s v="Shanghai"/>
    <s v="Non-Profit"/>
    <x v="4"/>
    <x v="1"/>
    <x v="2"/>
    <x v="621"/>
    <n v="1021.97"/>
    <n v="2296.25"/>
    <n v="815.10700000000008"/>
    <n v="1620.05"/>
    <s v="Medium"/>
    <n v="0.161"/>
    <n v="0"/>
    <n v="26"/>
    <n v="59702.5"/>
    <n v="26571.22"/>
    <n v="33131.279999999999"/>
    <n v="0.55493957539466521"/>
  </r>
  <r>
    <x v="624"/>
    <n v="1"/>
    <x v="112"/>
    <n v="202311"/>
    <n v="202302"/>
    <x v="3"/>
    <x v="61"/>
    <x v="30"/>
    <x v="11"/>
    <s v="No"/>
    <n v="23"/>
    <d v="2023-12-12T00:00:00"/>
    <d v="2023-12-12T00:00:00"/>
    <x v="1"/>
    <x v="4"/>
    <s v="Delhi"/>
    <s v="Small Business"/>
    <x v="4"/>
    <x v="0"/>
    <x v="2"/>
    <x v="622"/>
    <n v="1349.04"/>
    <n v="2636.6"/>
    <n v="815.10700000000008"/>
    <n v="1620.05"/>
    <s v="High"/>
    <n v="0.114"/>
    <n v="0"/>
    <n v="14"/>
    <n v="36912.400000000001"/>
    <n v="18886.559999999998"/>
    <n v="18025.840000000004"/>
    <n v="0.48834104528559519"/>
  </r>
  <r>
    <x v="625"/>
    <n v="1"/>
    <x v="81"/>
    <n v="202312"/>
    <n v="202302"/>
    <x v="3"/>
    <x v="63"/>
    <x v="4"/>
    <x v="5"/>
    <s v="No"/>
    <n v="25"/>
    <d v="2024-01-16T00:00:00"/>
    <d v="2024-01-16T00:00:00"/>
    <x v="1"/>
    <x v="4"/>
    <s v="Hyderabad"/>
    <s v="Small Business"/>
    <x v="0"/>
    <x v="8"/>
    <x v="0"/>
    <x v="623"/>
    <n v="1346.81"/>
    <n v="978.09"/>
    <n v="815.10700000000008"/>
    <n v="1620.05"/>
    <s v="High"/>
    <n v="0.159"/>
    <n v="0"/>
    <n v="17"/>
    <n v="16627.53"/>
    <n v="22895.77"/>
    <n v="-6268.2400000000016"/>
    <n v="-0.37697962355202497"/>
  </r>
  <r>
    <x v="626"/>
    <n v="1"/>
    <x v="241"/>
    <n v="202308"/>
    <n v="202301"/>
    <x v="1"/>
    <x v="43"/>
    <x v="25"/>
    <x v="5"/>
    <s v="No"/>
    <n v="27"/>
    <d v="2023-08-30T00:00:00"/>
    <d v="2023-08-30T00:00:00"/>
    <x v="1"/>
    <x v="9"/>
    <s v="Shanghai"/>
    <s v="Consumer"/>
    <x v="3"/>
    <x v="13"/>
    <x v="5"/>
    <x v="624"/>
    <n v="226.04"/>
    <n v="545.72"/>
    <n v="815.10700000000008"/>
    <n v="1620.05"/>
    <s v="Medium"/>
    <n v="0.151"/>
    <n v="0"/>
    <n v="11"/>
    <n v="6002.92"/>
    <n v="2486.44"/>
    <n v="3516.48"/>
    <n v="0.58579491314227072"/>
  </r>
  <r>
    <x v="627"/>
    <n v="1"/>
    <x v="44"/>
    <n v="202306"/>
    <n v="202301"/>
    <x v="1"/>
    <x v="29"/>
    <x v="23"/>
    <x v="11"/>
    <s v="No"/>
    <n v="25"/>
    <d v="2023-07-18T00:00:00"/>
    <d v="2023-07-18T00:00:00"/>
    <x v="2"/>
    <x v="3"/>
    <s v="Vancouver"/>
    <s v="Enterprise"/>
    <x v="1"/>
    <x v="13"/>
    <x v="3"/>
    <x v="625"/>
    <n v="807.02"/>
    <n v="1435.54"/>
    <n v="815.10700000000008"/>
    <n v="1620.05"/>
    <s v="Low"/>
    <n v="0"/>
    <n v="0"/>
    <n v="23"/>
    <n v="33017.42"/>
    <n v="18561.46"/>
    <n v="14455.96"/>
    <n v="0.43782827368098415"/>
  </r>
  <r>
    <x v="628"/>
    <m/>
    <x v="141"/>
    <d v="2453-11-27T00:00:00"/>
    <d v="2453-11-16T00:00:00"/>
    <x v="0"/>
    <x v="45"/>
    <x v="4"/>
    <x v="9"/>
    <s v="No"/>
    <d v="1900-01-25T00:00:00"/>
    <d v="2024-01-02T00:00:00"/>
    <d v="2024-01-02T00:00:00"/>
    <x v="3"/>
    <x v="6"/>
    <s v="Frankfurt"/>
    <s v="Enterprise"/>
    <x v="3"/>
    <x v="6"/>
    <x v="0"/>
    <x v="626"/>
    <n v="1071.99"/>
    <n v="2397.3000000000002"/>
    <n v="815.10700000000008"/>
    <n v="1620.05"/>
    <m/>
    <n v="6.2E-2"/>
    <n v="0"/>
    <n v="18"/>
    <n v="43151.4"/>
    <n v="19295.82"/>
    <n v="23855.58"/>
    <n v="0.55283443874358651"/>
  </r>
  <r>
    <x v="629"/>
    <m/>
    <x v="112"/>
    <d v="2453-11-26T00:00:00"/>
    <d v="2453-11-18T00:00:00"/>
    <x v="2"/>
    <x v="52"/>
    <x v="30"/>
    <x v="5"/>
    <s v="No"/>
    <d v="1900-01-29T00:00:00"/>
    <d v="2023-12-19T00:00:00"/>
    <d v="2023-12-19T00:00:00"/>
    <x v="1"/>
    <x v="2"/>
    <s v="Nagoya"/>
    <s v="Consumer"/>
    <x v="0"/>
    <x v="15"/>
    <x v="3"/>
    <x v="627"/>
    <n v="807.11"/>
    <n v="1853.86"/>
    <n v="815.10700000000008"/>
    <n v="1620.05"/>
    <m/>
    <n v="0.13900000000000001"/>
    <n v="0"/>
    <n v="8"/>
    <n v="14830.88"/>
    <n v="6456.88"/>
    <n v="8374"/>
    <n v="0.56463271228679623"/>
  </r>
  <r>
    <x v="630"/>
    <m/>
    <x v="467"/>
    <d v="2454-06-05T00:00:00"/>
    <d v="2453-11-18T00:00:00"/>
    <x v="2"/>
    <x v="13"/>
    <x v="26"/>
    <x v="5"/>
    <s v="No"/>
    <d v="1900-01-09T00:00:00"/>
    <d v="2025-03-10T00:00:00"/>
    <d v="2025-03-10T00:00:00"/>
    <x v="1"/>
    <x v="2"/>
    <s v="Osaka"/>
    <s v="Education"/>
    <x v="3"/>
    <x v="13"/>
    <x v="4"/>
    <x v="628"/>
    <n v="51.86"/>
    <n v="45.98"/>
    <n v="815.10700000000008"/>
    <n v="1620.05"/>
    <m/>
    <n v="0.17299999999999999"/>
    <n v="0"/>
    <n v="7"/>
    <n v="321.85999999999996"/>
    <n v="363.02"/>
    <n v="-41.160000000000025"/>
    <n v="-0.127881687690300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m/>
    <x v="0"/>
    <d v="2454-02-26T00:00:00"/>
    <d v="2453-11-16T00:00:00"/>
    <d v="2453-11-16T00:00:00"/>
    <d v="1900-01-13T00:00:00"/>
    <s v="Mar-2024"/>
    <x v="0"/>
    <x v="0"/>
    <d v="1900-01-25T00:00:00"/>
    <d v="2024-04-06T00:00:00"/>
    <d v="2024-04-06T00:00:00"/>
    <x v="0"/>
    <x v="0"/>
    <s v="Kisumu"/>
    <s v="Corporate"/>
    <x v="0"/>
    <x v="0"/>
    <x v="0"/>
    <s v="CMP-8270"/>
    <n v="279.24"/>
    <n v="608.9"/>
    <n v="815.10700000000008"/>
    <n v="1620.05"/>
    <m/>
    <n v="0.112"/>
    <n v="0"/>
    <n v="9"/>
    <n v="5480.0999999999995"/>
    <n v="2513.16"/>
    <n v="2966.9399999999996"/>
    <n v="0.5414025291509279"/>
  </r>
  <r>
    <s v="ORD-2024-358795"/>
    <n v="1"/>
    <x v="1"/>
    <n v="202410"/>
    <n v="202301"/>
    <n v="202301"/>
    <n v="21"/>
    <s v="Oct-2024"/>
    <x v="1"/>
    <x v="1"/>
    <n v="0"/>
    <d v="2024-10-23T00:00:00"/>
    <d v="2024-10-22T00:00:00"/>
    <x v="0"/>
    <x v="1"/>
    <s v="Port Harcourt"/>
    <s v="Education"/>
    <x v="1"/>
    <x v="1"/>
    <x v="1"/>
    <s v="PRN-9322"/>
    <n v="1084.3900000000001"/>
    <n v="759.33"/>
    <n v="815.10700000000008"/>
    <n v="1620.05"/>
    <s v="Low"/>
    <n v="0.23699999999999999"/>
    <n v="1"/>
    <n v="31"/>
    <n v="23539.23"/>
    <n v="33616.090000000004"/>
    <n v="-10076.860000000004"/>
    <n v="-0.42808791961334353"/>
  </r>
  <r>
    <s v="ORD-2023-373538"/>
    <m/>
    <x v="2"/>
    <d v="2453-11-17T00:00:00"/>
    <d v="2453-11-16T00:00:00"/>
    <d v="2453-11-16T00:00:00"/>
    <d v="1899-12-31T00:00:00"/>
    <s v="Feb-2023"/>
    <x v="2"/>
    <x v="0"/>
    <d v="1900-01-24T00:00:00"/>
    <d v="2023-03-25T00:00:00"/>
    <d v="2023-03-25T00:00:00"/>
    <x v="0"/>
    <x v="0"/>
    <s v="Nairobi"/>
    <s v="Corporate"/>
    <x v="0"/>
    <x v="2"/>
    <x v="2"/>
    <s v="NET-9666"/>
    <n v="1460.76"/>
    <n v="30.66"/>
    <n v="815.10700000000008"/>
    <n v="1620.05"/>
    <s v="   IF(F2 &lt;= $H$2, &quot;Medium&quot;, &quot;High&quot;))"/>
    <n v="0.13100000000000001"/>
    <n v="0"/>
    <n v="12"/>
    <n v="367.92"/>
    <n v="17529.12"/>
    <n v="-17161.2"/>
    <n v="-46.643835616438359"/>
  </r>
  <r>
    <s v="ORD-2025-168148"/>
    <n v="1"/>
    <x v="3"/>
    <n v="202503"/>
    <n v="202301"/>
    <n v="202301"/>
    <n v="26"/>
    <s v="Mar-2025"/>
    <x v="3"/>
    <x v="1"/>
    <n v="4"/>
    <d v="2025-04-02T00:00:00"/>
    <d v="2025-04-02T00:00:00"/>
    <x v="0"/>
    <x v="1"/>
    <s v="Null"/>
    <s v="Non-Profit"/>
    <x v="2"/>
    <x v="3"/>
    <x v="3"/>
    <s v="PHN-4556"/>
    <n v="259.93"/>
    <n v="255.94"/>
    <n v="815.10700000000008"/>
    <n v="1620.05"/>
    <s v="Low"/>
    <n v="7.1999999999999995E-2"/>
    <n v="0"/>
    <n v="22"/>
    <n v="5630.68"/>
    <n v="5718.46"/>
    <n v="-87.779999999999745"/>
    <n v="-1.5589591310463344E-2"/>
  </r>
  <r>
    <s v="ORD-2023-824839"/>
    <m/>
    <x v="4"/>
    <d v="2453-11-27T00:00:00"/>
    <d v="2453-11-18T00:00:00"/>
    <d v="2453-11-18T00:00:00"/>
    <d v="1900-01-08T00:00:00"/>
    <s v="Dec-2023"/>
    <x v="4"/>
    <x v="0"/>
    <d v="1900-01-24T00:00:00"/>
    <d v="2023-12-31T00:00:00"/>
    <d v="2023-12-31T00:00:00"/>
    <x v="1"/>
    <x v="2"/>
    <s v="Osaka"/>
    <s v="Consumer"/>
    <x v="0"/>
    <x v="4"/>
    <x v="1"/>
    <s v="PRN-8041"/>
    <n v="663.03"/>
    <n v="813.51"/>
    <n v="815.10700000000008"/>
    <n v="1620.05"/>
    <m/>
    <n v="0.10199999999999999"/>
    <n v="0"/>
    <n v="15"/>
    <n v="12202.65"/>
    <n v="9945.4499999999989"/>
    <n v="2257.2000000000007"/>
    <n v="0.1849762141829849"/>
  </r>
  <r>
    <s v="ORD-2023-723587"/>
    <n v="1"/>
    <x v="5"/>
    <n v="202301"/>
    <n v="202301"/>
    <n v="202301"/>
    <n v="0"/>
    <s v="Jan-2023"/>
    <x v="5"/>
    <x v="1"/>
    <n v="3"/>
    <d v="2023-01-05T00:00:00"/>
    <d v="2023-01-05T00:00:00"/>
    <x v="2"/>
    <x v="3"/>
    <s v="Toronto"/>
    <s v="Corporate"/>
    <x v="3"/>
    <x v="5"/>
    <x v="4"/>
    <s v="LAP-8555"/>
    <n v="315.87"/>
    <n v="591.67999999999995"/>
    <n v="815.10700000000008"/>
    <n v="1620.05"/>
    <s v="Low"/>
    <n v="0"/>
    <n v="0"/>
    <n v="7"/>
    <n v="4141.7599999999993"/>
    <n v="2211.09"/>
    <n v="1930.6699999999992"/>
    <n v="0.46614724175229844"/>
  </r>
  <r>
    <s v="ORD-2024-336584"/>
    <n v="1"/>
    <x v="6"/>
    <n v="202412"/>
    <n v="202302"/>
    <n v="202302"/>
    <n v="22"/>
    <s v="Dec-2024"/>
    <x v="3"/>
    <x v="0"/>
    <n v="18"/>
    <d v="2025-01-14T00:00:00"/>
    <d v="2025-01-14T00:00:00"/>
    <x v="1"/>
    <x v="4"/>
    <s v="Bengaluru"/>
    <s v="Small Business"/>
    <x v="2"/>
    <x v="6"/>
    <x v="5"/>
    <s v="MON-8629"/>
    <n v="586.07000000000005"/>
    <n v="845.97"/>
    <n v="815.10700000000008"/>
    <n v="1620.05"/>
    <s v="Low"/>
    <n v="0.14699999999999999"/>
    <n v="0"/>
    <n v="4"/>
    <n v="3383.88"/>
    <n v="2344.2800000000002"/>
    <n v="1039.5999999999999"/>
    <n v="0.30722129626346084"/>
  </r>
  <r>
    <s v="ORD-2023-112666"/>
    <n v="1"/>
    <x v="7"/>
    <n v="202301"/>
    <n v="202301"/>
    <n v="202301"/>
    <n v="0"/>
    <s v="Jan-2023"/>
    <x v="2"/>
    <x v="1"/>
    <n v="0"/>
    <d v="2023-01-15T00:00:00"/>
    <d v="2023-01-13T00:00:00"/>
    <x v="0"/>
    <x v="1"/>
    <s v="Abuja"/>
    <s v="Education"/>
    <x v="1"/>
    <x v="7"/>
    <x v="1"/>
    <s v="PRN-6276"/>
    <n v="28.38"/>
    <n v="47.22"/>
    <n v="815.10700000000008"/>
    <n v="1620.05"/>
    <s v="Medium"/>
    <n v="0.19400000000000001"/>
    <n v="0"/>
    <n v="18"/>
    <n v="849.96"/>
    <n v="510.84"/>
    <n v="339.12000000000006"/>
    <n v="0.39898348157560359"/>
  </r>
  <r>
    <s v="ORD-2024-589570"/>
    <n v="1"/>
    <x v="8"/>
    <n v="202405"/>
    <n v="202301"/>
    <n v="202301"/>
    <n v="16"/>
    <s v="May-2024"/>
    <x v="3"/>
    <x v="0"/>
    <n v="25"/>
    <d v="2024-05-29T00:00:00"/>
    <d v="2024-05-29T00:00:00"/>
    <x v="0"/>
    <x v="1"/>
    <s v="Abuja"/>
    <s v="Non-Profit"/>
    <x v="2"/>
    <x v="7"/>
    <x v="5"/>
    <s v="MON-6892"/>
    <n v="1295.3399999999999"/>
    <n v="2530.81"/>
    <n v="815.10700000000008"/>
    <n v="1620.05"/>
    <s v="Low"/>
    <n v="3.1E-2"/>
    <n v="0"/>
    <n v="6"/>
    <n v="15184.86"/>
    <n v="7772.0399999999991"/>
    <n v="7412.8200000000015"/>
    <n v="0.48817177109304932"/>
  </r>
  <r>
    <s v="ORD-2025-997421"/>
    <n v="1"/>
    <x v="9"/>
    <n v="202505"/>
    <n v="202301"/>
    <n v="202301"/>
    <n v="28"/>
    <s v="May-2025"/>
    <x v="6"/>
    <x v="0"/>
    <n v="19"/>
    <d v="2025-06-09T00:00:00"/>
    <d v="2025-06-09T00:00:00"/>
    <x v="2"/>
    <x v="5"/>
    <s v="São Paulo"/>
    <s v="Non-Profit"/>
    <x v="1"/>
    <x v="8"/>
    <x v="0"/>
    <s v="CMP-3731"/>
    <n v="1331.38"/>
    <n v="2309.56"/>
    <n v="815.10700000000008"/>
    <n v="1620.05"/>
    <s v="High"/>
    <n v="0.14899999999999999"/>
    <n v="0"/>
    <n v="31"/>
    <n v="71596.36"/>
    <n v="41272.780000000006"/>
    <n v="30323.579999999994"/>
    <n v="0.42353521882956052"/>
  </r>
  <r>
    <s v="ORD-2024-210687"/>
    <m/>
    <x v="10"/>
    <d v="2454-02-24T00:00:00"/>
    <d v="2453-11-16T00:00:00"/>
    <d v="2453-11-16T00:00:00"/>
    <d v="1900-01-11T00:00:00"/>
    <s v="Jan-2024"/>
    <x v="7"/>
    <x v="0"/>
    <d v="1900-01-11T00:00:00"/>
    <d v="2024-02-09T00:00:00"/>
    <d v="2024-02-09T00:00:00"/>
    <x v="3"/>
    <x v="6"/>
    <s v="Berlin"/>
    <s v="Corporate"/>
    <x v="1"/>
    <x v="3"/>
    <x v="6"/>
    <s v="ACC-7938"/>
    <n v="644.16999999999996"/>
    <n v="700.12"/>
    <n v="815.10700000000008"/>
    <n v="1620.05"/>
    <m/>
    <n v="6.0000000000000001E-3"/>
    <n v="0"/>
    <n v="23"/>
    <n v="16102.76"/>
    <n v="14815.91"/>
    <n v="1286.8500000000004"/>
    <n v="7.9914871736273804E-2"/>
  </r>
  <r>
    <s v="ORD-2025-515515"/>
    <m/>
    <x v="11"/>
    <d v="2454-06-04T00:00:00"/>
    <d v="2453-11-18T00:00:00"/>
    <d v="2453-11-18T00:00:00"/>
    <d v="1900-01-21T00:00:00"/>
    <s v="Jan-2025"/>
    <x v="1"/>
    <x v="0"/>
    <d v="1900-01-19T00:00:00"/>
    <d v="2025-01-23T00:00:00"/>
    <d v="2025-01-23T00:00:00"/>
    <x v="1"/>
    <x v="2"/>
    <s v="Osaka"/>
    <s v="Corporate"/>
    <x v="3"/>
    <x v="9"/>
    <x v="3"/>
    <s v="PHN-7019"/>
    <n v="908.6"/>
    <n v="691.37"/>
    <n v="815.10700000000008"/>
    <n v="1620.05"/>
    <m/>
    <n v="0.25"/>
    <n v="1"/>
    <n v="20"/>
    <n v="13827.4"/>
    <n v="18172"/>
    <n v="-4344.6000000000004"/>
    <n v="-0.31420223613983833"/>
  </r>
  <r>
    <s v="ORD-2025-487261"/>
    <n v="1"/>
    <x v="12"/>
    <n v="202503"/>
    <n v="202301"/>
    <n v="202301"/>
    <n v="26"/>
    <s v="Mar-2025"/>
    <x v="4"/>
    <x v="0"/>
    <n v="25"/>
    <d v="2025-03-31T00:00:00"/>
    <d v="2025-03-31T00:00:00"/>
    <x v="2"/>
    <x v="5"/>
    <s v="Brasília"/>
    <s v="Non-Profit"/>
    <x v="1"/>
    <x v="1"/>
    <x v="0"/>
    <s v="CMP-3693"/>
    <n v="331.57"/>
    <n v="548.4"/>
    <n v="815.10700000000008"/>
    <n v="1620.05"/>
    <s v="Low"/>
    <n v="9.4E-2"/>
    <n v="0"/>
    <n v="10"/>
    <n v="5484"/>
    <n v="3315.7"/>
    <n v="2168.3000000000002"/>
    <n v="0.39538657913931441"/>
  </r>
  <r>
    <s v="ORD-2024-890180"/>
    <m/>
    <x v="13"/>
    <d v="2454-02-24T00:00:00"/>
    <d v="2453-11-16T00:00:00"/>
    <d v="2453-11-16T00:00:00"/>
    <d v="1900-01-11T00:00:00"/>
    <s v="Jan-2024"/>
    <x v="4"/>
    <x v="0"/>
    <d v="1900-01-23T00:00:00"/>
    <d v="2024-02-13T00:00:00"/>
    <d v="2024-02-13T00:00:00"/>
    <x v="3"/>
    <x v="7"/>
    <s v="Marseille"/>
    <s v="Corporate"/>
    <x v="0"/>
    <x v="10"/>
    <x v="1"/>
    <s v="PRN-8392"/>
    <n v="643.53"/>
    <n v="1439.01"/>
    <n v="815.10700000000008"/>
    <n v="1620.05"/>
    <m/>
    <n v="0"/>
    <n v="0"/>
    <n v="15"/>
    <n v="21585.15"/>
    <n v="9652.9499999999989"/>
    <n v="11932.200000000003"/>
    <n v="0.55279671440782208"/>
  </r>
  <r>
    <s v="ORD-2025-840976"/>
    <n v="1"/>
    <x v="14"/>
    <n v="202509"/>
    <n v="202301"/>
    <n v="202301"/>
    <n v="32"/>
    <s v="Sept-2025"/>
    <x v="1"/>
    <x v="0"/>
    <n v="29"/>
    <d v="2025-09-30T00:00:00"/>
    <d v="2025-09-30T00:00:00"/>
    <x v="2"/>
    <x v="5"/>
    <s v="Brasília"/>
    <s v="Education"/>
    <x v="0"/>
    <x v="11"/>
    <x v="6"/>
    <s v="ACC-1663"/>
    <n v="780.59"/>
    <n v="631.57000000000005"/>
    <n v="815.10700000000008"/>
    <n v="1620.05"/>
    <s v="Medium"/>
    <n v="0"/>
    <n v="0"/>
    <n v="12"/>
    <n v="7578.84"/>
    <n v="9367.08"/>
    <n v="-1788.2399999999998"/>
    <n v="-0.23595167598207639"/>
  </r>
  <r>
    <s v="ORD-2023-937291"/>
    <m/>
    <x v="15"/>
    <d v="2453-11-19T00:00:00"/>
    <d v="2453-11-16T00:00:00"/>
    <d v="2453-11-16T00:00:00"/>
    <d v="1900-01-02T00:00:00"/>
    <s v="Apr-2023"/>
    <x v="8"/>
    <x v="1"/>
    <d v="1899-12-30T00:00:00"/>
    <d v="2023-04-23T00:00:00"/>
    <d v="2023-04-22T00:00:00"/>
    <x v="0"/>
    <x v="0"/>
    <s v="Nairobi"/>
    <s v="Small Business"/>
    <x v="4"/>
    <x v="6"/>
    <x v="4"/>
    <s v="LAP-1698"/>
    <n v="756.51"/>
    <n v="850.8"/>
    <n v="815.10700000000008"/>
    <n v="1620.05"/>
    <m/>
    <n v="7.3999999999999996E-2"/>
    <n v="0"/>
    <n v="9"/>
    <n v="7657.2"/>
    <n v="6808.59"/>
    <n v="848.60999999999967"/>
    <n v="0.11082510578279263"/>
  </r>
  <r>
    <s v="ORD-2024-206081"/>
    <m/>
    <x v="16"/>
    <d v="2454-03-07T00:00:00"/>
    <d v="2453-11-16T00:00:00"/>
    <d v="2453-11-16T00:00:00"/>
    <d v="1900-01-22T00:00:00"/>
    <s v="Dec-2024"/>
    <x v="9"/>
    <x v="0"/>
    <d v="1900-01-28T00:00:00"/>
    <d v="2025-01-08T00:00:00"/>
    <d v="2025-01-08T00:00:00"/>
    <x v="3"/>
    <x v="7"/>
    <s v="Marseille"/>
    <s v="Small Business"/>
    <x v="0"/>
    <x v="11"/>
    <x v="1"/>
    <s v="PRN-6791"/>
    <n v="891.08"/>
    <n v="1040.0999999999999"/>
    <n v="815.10700000000008"/>
    <n v="1620.05"/>
    <m/>
    <n v="0.109"/>
    <n v="0"/>
    <n v="28"/>
    <n v="29122.799999999996"/>
    <n v="24950.240000000002"/>
    <n v="4172.559999999994"/>
    <n v="0.14327468512642996"/>
  </r>
  <r>
    <s v="ORD-2025-233883"/>
    <m/>
    <x v="17"/>
    <d v="2454-06-12T00:00:00"/>
    <d v="2453-11-18T00:00:00"/>
    <d v="2453-11-18T00:00:00"/>
    <d v="1900-01-29T00:00:00"/>
    <s v="Sept-2025"/>
    <x v="2"/>
    <x v="0"/>
    <d v="1900-01-07T00:00:00"/>
    <d v="2025-09-16T00:00:00"/>
    <d v="2025-09-16T00:00:00"/>
    <x v="1"/>
    <x v="2"/>
    <s v="Osaka"/>
    <s v="Corporate"/>
    <x v="3"/>
    <x v="0"/>
    <x v="3"/>
    <s v="PHN-1197"/>
    <n v="1225.57"/>
    <n v="2705.57"/>
    <n v="815.10700000000008"/>
    <n v="1620.05"/>
    <m/>
    <n v="0.183"/>
    <n v="0"/>
    <n v="16"/>
    <n v="43289.120000000003"/>
    <n v="19609.12"/>
    <n v="23680.000000000004"/>
    <n v="0.54701966683545433"/>
  </r>
  <r>
    <s v="ORD-2025-843974"/>
    <n v="1"/>
    <x v="18"/>
    <n v="202507"/>
    <n v="202301"/>
    <n v="202301"/>
    <n v="30"/>
    <s v="Jul-2025"/>
    <x v="8"/>
    <x v="0"/>
    <n v="16"/>
    <d v="2025-08-05T00:00:00"/>
    <d v="2025-08-05T00:00:00"/>
    <x v="2"/>
    <x v="5"/>
    <s v="Brasília"/>
    <s v="Enterprise"/>
    <x v="2"/>
    <x v="3"/>
    <x v="6"/>
    <s v="ACC-8098"/>
    <n v="1068.17"/>
    <n v="2375.37"/>
    <n v="815.10700000000008"/>
    <n v="1620.05"/>
    <s v="High"/>
    <n v="0.109"/>
    <n v="0"/>
    <n v="18"/>
    <n v="42756.659999999996"/>
    <n v="19227.060000000001"/>
    <n v="23529.599999999995"/>
    <n v="0.55031426683000961"/>
  </r>
  <r>
    <s v="ORD-2025-745263"/>
    <n v="1"/>
    <x v="9"/>
    <n v="202505"/>
    <n v="202301"/>
    <n v="202301"/>
    <n v="28"/>
    <s v="May-2025"/>
    <x v="8"/>
    <x v="1"/>
    <n v="0"/>
    <d v="2025-05-21T00:00:00"/>
    <d v="2025-05-19T00:00:00"/>
    <x v="3"/>
    <x v="8"/>
    <s v="Birmingham"/>
    <s v="Enterprise"/>
    <x v="1"/>
    <x v="12"/>
    <x v="4"/>
    <s v="LAP-3385"/>
    <n v="1015.16"/>
    <n v="2148.14"/>
    <n v="815.10700000000008"/>
    <n v="1620.05"/>
    <s v="High"/>
    <n v="3.7999999999999999E-2"/>
    <n v="0"/>
    <n v="19"/>
    <n v="40814.659999999996"/>
    <n v="19288.04"/>
    <n v="21526.619999999995"/>
    <n v="0.52742372471067989"/>
  </r>
  <r>
    <s v="ORD-2024-798002"/>
    <m/>
    <x v="19"/>
    <d v="2454-03-02T00:00:00"/>
    <d v="2453-11-16T00:00:00"/>
    <d v="2453-11-16T00:00:00"/>
    <d v="1900-01-17T00:00:00"/>
    <s v="Jul-2024"/>
    <x v="7"/>
    <x v="1"/>
    <d v="1899-12-30T00:00:00"/>
    <d v="2024-07-25T00:00:00"/>
    <d v="2024-07-24T00:00:00"/>
    <x v="0"/>
    <x v="0"/>
    <s v="Mombasa"/>
    <s v="Non-Profit"/>
    <x v="4"/>
    <x v="1"/>
    <x v="4"/>
    <s v="LAP-9815"/>
    <n v="1494.4"/>
    <n v="3661.07"/>
    <n v="815.10700000000008"/>
    <n v="1620.05"/>
    <m/>
    <n v="7.1999999999999995E-2"/>
    <n v="0"/>
    <n v="7"/>
    <n v="25627.49"/>
    <n v="10460.800000000001"/>
    <n v="15166.69"/>
    <n v="0.59181332233472728"/>
  </r>
  <r>
    <s v="ORD-2023-867836"/>
    <n v="1"/>
    <x v="20"/>
    <n v="202305"/>
    <n v="202301"/>
    <n v="202301"/>
    <n v="4"/>
    <s v="May-2023"/>
    <x v="10"/>
    <x v="0"/>
    <n v="17"/>
    <d v="2023-05-28T00:00:00"/>
    <d v="2023-05-28T00:00:00"/>
    <x v="1"/>
    <x v="9"/>
    <s v="Shenzhen"/>
    <s v="Enterprise"/>
    <x v="2"/>
    <x v="6"/>
    <x v="2"/>
    <s v="NET-3255"/>
    <n v="1331.19"/>
    <n v="2903.09"/>
    <n v="815.10700000000008"/>
    <n v="1620.05"/>
    <s v="High"/>
    <n v="0.14299999999999999"/>
    <n v="0"/>
    <n v="8"/>
    <n v="23224.720000000001"/>
    <n v="10649.52"/>
    <n v="12575.2"/>
    <n v="0.5414575504031911"/>
  </r>
  <r>
    <s v="ORD-2025-580047"/>
    <n v="1"/>
    <x v="21"/>
    <n v="202506"/>
    <n v="202301"/>
    <n v="202301"/>
    <n v="29"/>
    <s v="Jun-2025"/>
    <x v="9"/>
    <x v="0"/>
    <n v="15"/>
    <d v="2025-06-29T00:00:00"/>
    <d v="2025-06-29T00:00:00"/>
    <x v="0"/>
    <x v="1"/>
    <s v="Port Harcourt"/>
    <s v="Consumer"/>
    <x v="2"/>
    <x v="12"/>
    <x v="6"/>
    <s v="ACC-3961"/>
    <n v="730.99"/>
    <n v="1242.8399999999999"/>
    <n v="815.10700000000008"/>
    <n v="1620.05"/>
    <s v="High"/>
    <n v="0.12"/>
    <n v="0"/>
    <n v="10"/>
    <n v="12428.4"/>
    <n v="7309.9"/>
    <n v="5118.5"/>
    <n v="0.41183901387145572"/>
  </r>
  <r>
    <s v="ORD-2024-500109"/>
    <m/>
    <x v="22"/>
    <d v="2454-02-28T00:00:00"/>
    <d v="2453-11-16T00:00:00"/>
    <d v="2453-11-16T00:00:00"/>
    <d v="1900-01-15T00:00:00"/>
    <s v="May-2024"/>
    <x v="7"/>
    <x v="1"/>
    <d v="1900-01-04T00:00:00"/>
    <d v="2024-05-23T00:00:00"/>
    <d v="2024-05-23T00:00:00"/>
    <x v="2"/>
    <x v="10"/>
    <s v="Chicago"/>
    <s v="Enterprise"/>
    <x v="0"/>
    <x v="10"/>
    <x v="4"/>
    <s v="LAP-4987"/>
    <n v="1274.5899999999999"/>
    <n v="2553.69"/>
    <n v="815.10700000000008"/>
    <n v="1620.05"/>
    <m/>
    <n v="0.01"/>
    <n v="0"/>
    <n v="8"/>
    <n v="20429.52"/>
    <n v="10196.719999999999"/>
    <n v="10232.800000000001"/>
    <n v="0.50088303592056993"/>
  </r>
  <r>
    <s v="ORD-2023-271836"/>
    <n v="1"/>
    <x v="23"/>
    <n v="202302"/>
    <n v="202301"/>
    <n v="202301"/>
    <n v="1"/>
    <s v="Feb-2023"/>
    <x v="6"/>
    <x v="1"/>
    <n v="5"/>
    <d v="2023-02-12T00:00:00"/>
    <d v="2023-02-12T00:00:00"/>
    <x v="2"/>
    <x v="5"/>
    <s v="São Paulo"/>
    <s v="Education"/>
    <x v="1"/>
    <x v="13"/>
    <x v="0"/>
    <s v="CMP-2693"/>
    <n v="948.55"/>
    <n v="2089.16"/>
    <n v="815.10700000000008"/>
    <n v="1620.05"/>
    <s v="High"/>
    <n v="7.0000000000000001E-3"/>
    <n v="0"/>
    <n v="12"/>
    <n v="25069.919999999998"/>
    <n v="11382.599999999999"/>
    <n v="13687.32"/>
    <n v="0.54596584273104987"/>
  </r>
  <r>
    <s v="ORD-2024-215294"/>
    <n v="1"/>
    <x v="24"/>
    <n v="202406"/>
    <n v="202301"/>
    <n v="202301"/>
    <n v="17"/>
    <s v="Jun-2024"/>
    <x v="3"/>
    <x v="0"/>
    <n v="14"/>
    <d v="2024-07-14T00:00:00"/>
    <d v="2024-07-14T00:00:00"/>
    <x v="2"/>
    <x v="5"/>
    <s v="Brasília"/>
    <s v="Education"/>
    <x v="0"/>
    <x v="0"/>
    <x v="6"/>
    <s v="ACC-8683"/>
    <n v="1491.85"/>
    <n v="2583.02"/>
    <n v="815.10700000000008"/>
    <n v="1620.05"/>
    <s v="High"/>
    <n v="0.16800000000000001"/>
    <n v="0"/>
    <n v="4"/>
    <n v="10332.08"/>
    <n v="5967.4"/>
    <n v="4364.68"/>
    <n v="0.42243962493515347"/>
  </r>
  <r>
    <s v="ORD-2024-788105"/>
    <m/>
    <x v="25"/>
    <d v="2454-03-06T00:00:00"/>
    <d v="2453-11-16T00:00:00"/>
    <d v="2453-11-16T00:00:00"/>
    <d v="1900-01-21T00:00:00"/>
    <s v="Nov-2024"/>
    <x v="6"/>
    <x v="0"/>
    <d v="1900-01-29T00:00:00"/>
    <d v="2024-12-30T00:00:00"/>
    <d v="2024-12-30T00:00:00"/>
    <x v="3"/>
    <x v="7"/>
    <s v="Marseille"/>
    <s v="Consumer"/>
    <x v="2"/>
    <x v="9"/>
    <x v="1"/>
    <s v="PRN-4170"/>
    <n v="117.64"/>
    <n v="175.67"/>
    <n v="815.10700000000008"/>
    <n v="1620.05"/>
    <m/>
    <n v="0"/>
    <n v="0"/>
    <n v="10"/>
    <n v="1756.6999999999998"/>
    <n v="1176.4000000000001"/>
    <n v="580.29999999999973"/>
    <n v="0.33033528775545046"/>
  </r>
  <r>
    <s v="ORD-2024-855073"/>
    <m/>
    <x v="26"/>
    <d v="2454-03-02T00:00:00"/>
    <d v="2453-11-16T00:00:00"/>
    <d v="2453-11-16T00:00:00"/>
    <d v="1900-01-17T00:00:00"/>
    <s v="Jul-2024"/>
    <x v="2"/>
    <x v="1"/>
    <d v="1899-12-30T00:00:00"/>
    <d v="2024-07-19T00:00:00"/>
    <d v="2024-07-19T00:00:00"/>
    <x v="0"/>
    <x v="0"/>
    <s v="Kisumu"/>
    <s v="Small Business"/>
    <x v="0"/>
    <x v="8"/>
    <x v="3"/>
    <s v="PHN-6854"/>
    <n v="857.24"/>
    <n v="758.23"/>
    <n v="815.10700000000008"/>
    <n v="1620.05"/>
    <m/>
    <n v="0.125"/>
    <n v="0"/>
    <n v="6"/>
    <n v="4549.38"/>
    <n v="5143.4400000000005"/>
    <n v="-594.0600000000004"/>
    <n v="-0.13058043074001302"/>
  </r>
  <r>
    <s v="ORD-2023-897079"/>
    <m/>
    <x v="27"/>
    <d v="2453-11-19T00:00:00"/>
    <d v="2453-11-16T00:00:00"/>
    <d v="2453-11-16T00:00:00"/>
    <d v="1900-01-02T00:00:00"/>
    <s v="Apr-2023"/>
    <x v="10"/>
    <x v="0"/>
    <d v="1900-01-29T00:00:00"/>
    <d v="2023-05-14T00:00:00"/>
    <d v="2023-05-14T00:00:00"/>
    <x v="0"/>
    <x v="0"/>
    <s v="Nakuru"/>
    <s v="Consumer"/>
    <x v="2"/>
    <x v="12"/>
    <x v="3"/>
    <s v="PHN-1784"/>
    <n v="209.25"/>
    <n v="434.8"/>
    <n v="815.10700000000008"/>
    <n v="1620.05"/>
    <m/>
    <n v="0"/>
    <n v="0"/>
    <n v="9"/>
    <n v="3913.2000000000003"/>
    <n v="1883.25"/>
    <n v="2029.9500000000003"/>
    <n v="0.51874425022999082"/>
  </r>
  <r>
    <s v="ORD-2025-548982"/>
    <m/>
    <x v="28"/>
    <d v="2454-06-07T00:00:00"/>
    <d v="2453-11-16T00:00:00"/>
    <d v="2453-11-16T00:00:00"/>
    <d v="1900-01-26T00:00:00"/>
    <s v="Apr-2025"/>
    <x v="9"/>
    <x v="1"/>
    <d v="1900-01-03T00:00:00"/>
    <d v="2025-04-11T00:00:00"/>
    <d v="2025-04-11T00:00:00"/>
    <x v="3"/>
    <x v="7"/>
    <s v="Lyon"/>
    <s v="Education"/>
    <x v="0"/>
    <x v="6"/>
    <x v="2"/>
    <s v="NET-9716"/>
    <n v="754.77"/>
    <n v="1666.18"/>
    <n v="815.10700000000008"/>
    <n v="1620.05"/>
    <m/>
    <n v="0.13900000000000001"/>
    <n v="0"/>
    <n v="14"/>
    <n v="23326.52"/>
    <n v="10566.779999999999"/>
    <n v="12759.740000000002"/>
    <n v="0.5470057256718962"/>
  </r>
  <r>
    <s v="ORD-2024-170313"/>
    <n v="1"/>
    <x v="6"/>
    <n v="202412"/>
    <n v="202302"/>
    <n v="202302"/>
    <n v="22"/>
    <s v="Dec-2024"/>
    <x v="7"/>
    <x v="0"/>
    <n v="19"/>
    <d v="2025-01-15T00:00:00"/>
    <d v="2025-01-15T00:00:00"/>
    <x v="1"/>
    <x v="4"/>
    <s v="Delhi"/>
    <s v="Non-Profit"/>
    <x v="3"/>
    <x v="3"/>
    <x v="0"/>
    <s v="CMP-6919"/>
    <n v="495.59"/>
    <n v="631.78"/>
    <n v="815.10700000000008"/>
    <n v="1620.05"/>
    <s v="High"/>
    <n v="8.6999999999999994E-2"/>
    <n v="0"/>
    <n v="17"/>
    <n v="10740.26"/>
    <n v="8425.0299999999988"/>
    <n v="2315.2300000000014"/>
    <n v="0.21556554496818525"/>
  </r>
  <r>
    <s v="ORD-2023-562894"/>
    <n v="1"/>
    <x v="29"/>
    <n v="202302"/>
    <n v="202301"/>
    <n v="202301"/>
    <n v="1"/>
    <s v="Feb-2023"/>
    <x v="2"/>
    <x v="0"/>
    <n v="30"/>
    <d v="2023-03-25T00:00:00"/>
    <d v="2023-03-25T00:00:00"/>
    <x v="2"/>
    <x v="3"/>
    <s v="Montreal"/>
    <s v="Enterprise"/>
    <x v="1"/>
    <x v="14"/>
    <x v="3"/>
    <s v="PHN-4854"/>
    <n v="1242.6600000000001"/>
    <n v="1794.07"/>
    <n v="815.10700000000008"/>
    <n v="1620.05"/>
    <s v="Low"/>
    <n v="8.8999999999999996E-2"/>
    <n v="0"/>
    <n v="16"/>
    <n v="28705.119999999999"/>
    <n v="19882.560000000001"/>
    <n v="8822.5599999999977"/>
    <n v="0.30735144113663337"/>
  </r>
  <r>
    <s v="ORD-2025-474710"/>
    <m/>
    <x v="30"/>
    <d v="2454-06-10T00:00:00"/>
    <d v="2453-11-16T00:00:00"/>
    <d v="2453-11-16T00:00:00"/>
    <d v="1900-01-29T00:00:00"/>
    <s v="Jul-2025"/>
    <x v="3"/>
    <x v="0"/>
    <d v="1900-01-12T00:00:00"/>
    <d v="2025-08-06T00:00:00"/>
    <d v="2025-08-06T00:00:00"/>
    <x v="0"/>
    <x v="11"/>
    <s v="Johannesburg"/>
    <s v="Education"/>
    <x v="2"/>
    <x v="14"/>
    <x v="2"/>
    <s v="NET-7966"/>
    <n v="1463.9"/>
    <n v="2633.02"/>
    <n v="815.10700000000008"/>
    <n v="1620.05"/>
    <m/>
    <n v="8.4000000000000005E-2"/>
    <n v="0"/>
    <n v="4"/>
    <n v="10532.08"/>
    <n v="5855.6"/>
    <n v="4676.4799999999996"/>
    <n v="0.44402245330457035"/>
  </r>
  <r>
    <s v="ORD-2024-629525"/>
    <n v="1"/>
    <x v="31"/>
    <n v="202404"/>
    <n v="202301"/>
    <n v="202301"/>
    <n v="15"/>
    <s v="Apr-2024"/>
    <x v="8"/>
    <x v="0"/>
    <n v="20"/>
    <d v="2024-05-08T00:00:00"/>
    <d v="2024-05-08T00:00:00"/>
    <x v="3"/>
    <x v="8"/>
    <s v="London"/>
    <s v="Non-Profit"/>
    <x v="1"/>
    <x v="14"/>
    <x v="4"/>
    <s v="LAP-9932"/>
    <n v="645.33000000000004"/>
    <n v="1321.85"/>
    <n v="815.10700000000008"/>
    <n v="1620.05"/>
    <s v="High"/>
    <n v="0"/>
    <n v="0"/>
    <n v="10"/>
    <n v="13218.5"/>
    <n v="6453.3"/>
    <n v="6765.2"/>
    <n v="0.51179785906116426"/>
  </r>
  <r>
    <s v="ORD-2024-167215"/>
    <m/>
    <x v="32"/>
    <d v="2454-03-03T00:00:00"/>
    <d v="2453-11-16T00:00:00"/>
    <d v="2453-11-16T00:00:00"/>
    <d v="1900-01-18T00:00:00"/>
    <s v="Aug-2024"/>
    <x v="6"/>
    <x v="1"/>
    <d v="1899-12-30T00:00:00"/>
    <d v="2024-08-23T00:00:00"/>
    <d v="2024-08-21T00:00:00"/>
    <x v="0"/>
    <x v="11"/>
    <s v="Johannesburg"/>
    <s v="Education"/>
    <x v="0"/>
    <x v="6"/>
    <x v="0"/>
    <s v="CMP-1559"/>
    <n v="1432.52"/>
    <n v="3036.87"/>
    <n v="815.10700000000008"/>
    <n v="1620.05"/>
    <m/>
    <n v="0"/>
    <n v="0"/>
    <n v="9"/>
    <n v="27331.829999999998"/>
    <n v="12892.68"/>
    <n v="14439.149999999998"/>
    <n v="0.52829064135112791"/>
  </r>
  <r>
    <s v="ORD-2023-864121"/>
    <n v="1"/>
    <x v="33"/>
    <n v="202303"/>
    <n v="202302"/>
    <n v="202302"/>
    <n v="1"/>
    <s v="Mar-2023"/>
    <x v="10"/>
    <x v="0"/>
    <n v="26"/>
    <d v="2023-04-22T00:00:00"/>
    <d v="2023-04-22T00:00:00"/>
    <x v="1"/>
    <x v="4"/>
    <s v="Delhi"/>
    <s v="Non-Profit"/>
    <x v="2"/>
    <x v="1"/>
    <x v="1"/>
    <s v="PRN-4506"/>
    <n v="178.53"/>
    <n v="199.37"/>
    <n v="815.10700000000008"/>
    <n v="1620.05"/>
    <s v="High"/>
    <n v="0.10100000000000001"/>
    <n v="0"/>
    <n v="37"/>
    <n v="7376.6900000000005"/>
    <n v="6605.61"/>
    <n v="771.08000000000084"/>
    <n v="0.10452926719165381"/>
  </r>
  <r>
    <s v="ORD-2024-692673"/>
    <m/>
    <x v="34"/>
    <d v="2454-02-26T00:00:00"/>
    <d v="2453-11-16T00:00:00"/>
    <d v="2453-11-16T00:00:00"/>
    <d v="1900-01-13T00:00:00"/>
    <s v="Mar-2024"/>
    <x v="3"/>
    <x v="0"/>
    <d v="1900-01-17T00:00:00"/>
    <d v="2024-03-25T00:00:00"/>
    <d v="2024-03-25T00:00:00"/>
    <x v="3"/>
    <x v="6"/>
    <s v="Munich"/>
    <s v="Corporate"/>
    <x v="1"/>
    <x v="5"/>
    <x v="0"/>
    <s v="CMP-7617"/>
    <n v="712.84"/>
    <n v="927.51"/>
    <n v="815.10700000000008"/>
    <n v="1620.05"/>
    <m/>
    <n v="0.24299999999999999"/>
    <n v="1"/>
    <n v="27"/>
    <n v="25042.77"/>
    <n v="19246.68"/>
    <n v="5796.09"/>
    <n v="0.23144763937855117"/>
  </r>
  <r>
    <s v="ORD-2025-718992"/>
    <n v="1"/>
    <x v="35"/>
    <n v="202506"/>
    <n v="202301"/>
    <n v="202301"/>
    <n v="29"/>
    <s v="Jun-2025"/>
    <x v="1"/>
    <x v="0"/>
    <n v="16"/>
    <d v="2025-07-10T00:00:00"/>
    <d v="2025-07-10T00:00:00"/>
    <x v="1"/>
    <x v="9"/>
    <s v="Shanghai"/>
    <s v="Enterprise"/>
    <x v="4"/>
    <x v="13"/>
    <x v="0"/>
    <s v="CMP-8390"/>
    <n v="757.19"/>
    <n v="1735.41"/>
    <n v="815.10700000000008"/>
    <n v="1620.05"/>
    <s v="Medium"/>
    <n v="0.13600000000000001"/>
    <n v="0"/>
    <n v="8"/>
    <n v="13883.28"/>
    <n v="6057.52"/>
    <n v="7825.76"/>
    <n v="0.56368235748324602"/>
  </r>
  <r>
    <s v="ORD-2024-599522"/>
    <n v="1"/>
    <x v="36"/>
    <n v="202404"/>
    <n v="202301"/>
    <n v="202301"/>
    <n v="15"/>
    <s v="Apr-2024"/>
    <x v="7"/>
    <x v="0"/>
    <n v="17"/>
    <d v="2024-05-06T00:00:00"/>
    <d v="2024-05-06T00:00:00"/>
    <x v="0"/>
    <x v="1"/>
    <s v="Port Harcourt"/>
    <s v="Non-Profit"/>
    <x v="1"/>
    <x v="8"/>
    <x v="1"/>
    <s v="PRN-7303"/>
    <n v="865.33"/>
    <n v="1395.64"/>
    <n v="815.10700000000008"/>
    <n v="1620.05"/>
    <s v="High"/>
    <n v="0.17499999999999999"/>
    <n v="0"/>
    <n v="13"/>
    <n v="18143.32"/>
    <n v="11249.29"/>
    <n v="6894.0299999999988"/>
    <n v="0.37997621163050638"/>
  </r>
  <r>
    <s v="ORD-2023-651638"/>
    <m/>
    <x v="37"/>
    <d v="2453-11-21T00:00:00"/>
    <d v="2453-11-16T00:00:00"/>
    <d v="2453-11-16T00:00:00"/>
    <d v="1900-01-04T00:00:00"/>
    <s v="Jun-2023"/>
    <x v="6"/>
    <x v="1"/>
    <d v="1900-01-06T00:00:00"/>
    <d v="2023-06-24T00:00:00"/>
    <d v="2023-06-24T00:00:00"/>
    <x v="2"/>
    <x v="10"/>
    <s v="San Francisco"/>
    <s v="Corporate"/>
    <x v="0"/>
    <x v="2"/>
    <x v="1"/>
    <s v="PRN-6536"/>
    <n v="313.99"/>
    <n v="454.42"/>
    <n v="815.10700000000008"/>
    <n v="1620.05"/>
    <m/>
    <n v="0.129"/>
    <n v="0"/>
    <n v="9"/>
    <n v="4089.78"/>
    <n v="2825.91"/>
    <n v="1263.8700000000003"/>
    <n v="0.30903129263676782"/>
  </r>
  <r>
    <s v="ORD-2024-635626"/>
    <m/>
    <x v="38"/>
    <d v="2454-03-03T00:00:00"/>
    <d v="2453-11-16T00:00:00"/>
    <d v="2453-11-16T00:00:00"/>
    <d v="1900-01-18T00:00:00"/>
    <s v="Aug-2024"/>
    <x v="9"/>
    <x v="0"/>
    <d v="1900-01-22T00:00:00"/>
    <d v="2024-09-19T00:00:00"/>
    <d v="2024-09-19T00:00:00"/>
    <x v="3"/>
    <x v="6"/>
    <s v="Berlin"/>
    <s v="Small Business"/>
    <x v="4"/>
    <x v="14"/>
    <x v="5"/>
    <s v="MON-9967"/>
    <n v="1024.01"/>
    <n v="1580.97"/>
    <n v="815.10700000000008"/>
    <n v="1620.05"/>
    <m/>
    <n v="3.6999999999999998E-2"/>
    <n v="0"/>
    <n v="27"/>
    <n v="42686.19"/>
    <n v="27648.27"/>
    <n v="15037.920000000002"/>
    <n v="0.35229004977956574"/>
  </r>
  <r>
    <s v="ORD-2024-296582"/>
    <m/>
    <x v="39"/>
    <d v="2454-02-24T00:00:00"/>
    <d v="2453-11-16T00:00:00"/>
    <d v="2453-11-16T00:00:00"/>
    <d v="1900-01-11T00:00:00"/>
    <s v="Jan-2024"/>
    <x v="10"/>
    <x v="0"/>
    <d v="1900-01-21T00:00:00"/>
    <d v="2024-02-02T00:00:00"/>
    <d v="2024-02-02T00:00:00"/>
    <x v="0"/>
    <x v="11"/>
    <s v="Durban"/>
    <s v="Consumer"/>
    <x v="1"/>
    <x v="11"/>
    <x v="2"/>
    <s v="NET-1412"/>
    <n v="1206.2"/>
    <n v="1759.79"/>
    <n v="815.10700000000008"/>
    <n v="1620.05"/>
    <m/>
    <n v="0"/>
    <n v="0"/>
    <n v="6"/>
    <n v="10558.74"/>
    <n v="7237.2000000000007"/>
    <n v="3321.5399999999991"/>
    <n v="0.31457730751964713"/>
  </r>
  <r>
    <s v="ORD-2024-998320"/>
    <m/>
    <x v="40"/>
    <d v="2454-03-05T00:00:00"/>
    <d v="2453-11-16T00:00:00"/>
    <d v="2453-11-16T00:00:00"/>
    <d v="1900-01-20T00:00:00"/>
    <s v="Oct-2024"/>
    <x v="1"/>
    <x v="0"/>
    <d v="1900-01-19T00:00:00"/>
    <d v="2024-11-14T00:00:00"/>
    <d v="2024-11-14T00:00:00"/>
    <x v="0"/>
    <x v="0"/>
    <s v="Mombasa"/>
    <s v="Corporate"/>
    <x v="4"/>
    <x v="10"/>
    <x v="1"/>
    <s v="PRN-3143"/>
    <n v="1396.48"/>
    <n v="3204.5"/>
    <n v="815.10700000000008"/>
    <n v="1620.05"/>
    <m/>
    <n v="0.318"/>
    <n v="1"/>
    <n v="14"/>
    <n v="44863"/>
    <n v="19550.72"/>
    <n v="25312.28"/>
    <n v="0.56421282571383991"/>
  </r>
  <r>
    <s v="ORD-2025-820255"/>
    <m/>
    <x v="41"/>
    <d v="2454-06-08T00:00:00"/>
    <d v="2453-11-16T00:00:00"/>
    <d v="2453-11-16T00:00:00"/>
    <d v="1900-01-27T00:00:00"/>
    <s v="May-2025"/>
    <x v="2"/>
    <x v="0"/>
    <d v="1900-01-21T00:00:00"/>
    <d v="2025-06-20T00:00:00"/>
    <d v="2025-06-20T00:00:00"/>
    <x v="3"/>
    <x v="6"/>
    <s v="Berlin"/>
    <s v="Corporate"/>
    <x v="4"/>
    <x v="8"/>
    <x v="1"/>
    <s v="PRN-9787"/>
    <n v="483.47"/>
    <n v="1135.43"/>
    <n v="815.10700000000008"/>
    <n v="1620.05"/>
    <m/>
    <n v="0.14599999999999999"/>
    <n v="0"/>
    <n v="11"/>
    <n v="12489.730000000001"/>
    <n v="5318.17"/>
    <n v="7171.5600000000013"/>
    <n v="0.57419655989360863"/>
  </r>
  <r>
    <s v="ORD-2024-389336"/>
    <n v="1"/>
    <x v="42"/>
    <n v="202405"/>
    <n v="202301"/>
    <n v="202301"/>
    <n v="16"/>
    <s v="May-2024"/>
    <x v="7"/>
    <x v="0"/>
    <n v="13"/>
    <d v="2024-06-02T00:00:00"/>
    <d v="2024-06-02T00:00:00"/>
    <x v="2"/>
    <x v="3"/>
    <s v="Vancouver"/>
    <s v="Enterprise"/>
    <x v="2"/>
    <x v="11"/>
    <x v="0"/>
    <s v="CMP-5946"/>
    <n v="675.43"/>
    <n v="996.36"/>
    <n v="815.10700000000008"/>
    <n v="1620.05"/>
    <s v="Medium"/>
    <n v="0.182"/>
    <n v="0"/>
    <n v="22"/>
    <n v="21919.920000000002"/>
    <n v="14859.46"/>
    <n v="7060.4600000000028"/>
    <n v="0.32210245292866041"/>
  </r>
  <r>
    <s v="ORD-2023-308124"/>
    <n v="1"/>
    <x v="43"/>
    <n v="202304"/>
    <n v="202302"/>
    <n v="202302"/>
    <n v="2"/>
    <s v="Apr-2023"/>
    <x v="6"/>
    <x v="0"/>
    <n v="11"/>
    <d v="2023-04-30T00:00:00"/>
    <d v="2023-04-30T00:00:00"/>
    <x v="1"/>
    <x v="4"/>
    <s v="Delhi"/>
    <s v="Small Business"/>
    <x v="0"/>
    <x v="8"/>
    <x v="2"/>
    <s v="NET-2062"/>
    <n v="826.55"/>
    <n v="1397.05"/>
    <n v="815.10700000000008"/>
    <n v="1620.05"/>
    <s v="Medium"/>
    <n v="0.16900000000000001"/>
    <n v="0"/>
    <n v="28"/>
    <n v="39117.4"/>
    <n v="23143.399999999998"/>
    <n v="15974.000000000004"/>
    <n v="0.40836047385562441"/>
  </r>
  <r>
    <s v="ORD-2023-128295"/>
    <n v="1"/>
    <x v="44"/>
    <n v="202306"/>
    <n v="202301"/>
    <n v="202301"/>
    <n v="5"/>
    <s v="Jun-2023"/>
    <x v="9"/>
    <x v="0"/>
    <n v="10"/>
    <d v="2023-07-03T00:00:00"/>
    <d v="2023-07-03T00:00:00"/>
    <x v="0"/>
    <x v="1"/>
    <s v="Abuja"/>
    <s v="Consumer"/>
    <x v="1"/>
    <x v="1"/>
    <x v="1"/>
    <s v="PRN-2542"/>
    <n v="337.75"/>
    <n v="548.89"/>
    <n v="815.10700000000008"/>
    <n v="1620.05"/>
    <s v="Medium"/>
    <n v="0"/>
    <n v="0"/>
    <n v="13"/>
    <n v="7135.57"/>
    <n v="4390.75"/>
    <n v="2744.8199999999997"/>
    <n v="0.38466723751571352"/>
  </r>
  <r>
    <s v="ORD-2024-548345"/>
    <n v="1"/>
    <x v="45"/>
    <n v="202405"/>
    <n v="202301"/>
    <n v="202301"/>
    <n v="16"/>
    <s v="May-2024"/>
    <x v="9"/>
    <x v="0"/>
    <n v="14"/>
    <d v="2024-05-28T00:00:00"/>
    <d v="2024-05-28T00:00:00"/>
    <x v="3"/>
    <x v="8"/>
    <s v="Birmingham"/>
    <s v="Consumer"/>
    <x v="0"/>
    <x v="5"/>
    <x v="2"/>
    <s v="NET-2365"/>
    <n v="1421.14"/>
    <n v="3524"/>
    <n v="815.10700000000008"/>
    <n v="1620.05"/>
    <s v="Low"/>
    <n v="0"/>
    <n v="0"/>
    <n v="31"/>
    <n v="109244"/>
    <n v="44055.340000000004"/>
    <n v="65188.659999999996"/>
    <n v="0.59672531214528945"/>
  </r>
  <r>
    <s v="ORD-2024-966651"/>
    <n v="1"/>
    <x v="46"/>
    <n v="202410"/>
    <n v="202301"/>
    <n v="202301"/>
    <n v="21"/>
    <s v="Oct-2024"/>
    <x v="6"/>
    <x v="0"/>
    <n v="25"/>
    <d v="2024-11-08T00:00:00"/>
    <d v="2024-11-08T00:00:00"/>
    <x v="0"/>
    <x v="1"/>
    <s v="Null"/>
    <s v="Enterprise"/>
    <x v="1"/>
    <x v="7"/>
    <x v="2"/>
    <s v="NET-5268"/>
    <n v="859.35"/>
    <n v="1825.61"/>
    <n v="815.10700000000008"/>
    <n v="1620.05"/>
    <s v="High"/>
    <n v="0.187"/>
    <n v="0"/>
    <n v="24"/>
    <n v="43814.64"/>
    <n v="20624.400000000001"/>
    <n v="23190.239999999998"/>
    <n v="0.52928062401060461"/>
  </r>
  <r>
    <s v="ORD-2023-292714"/>
    <m/>
    <x v="47"/>
    <d v="2453-11-22T00:00:00"/>
    <d v="2453-11-16T00:00:00"/>
    <d v="2453-11-16T00:00:00"/>
    <d v="1900-01-05T00:00:00"/>
    <s v="Jul-2023"/>
    <x v="2"/>
    <x v="0"/>
    <d v="1900-01-21T00:00:00"/>
    <d v="2023-08-01T00:00:00"/>
    <d v="2023-08-01T00:00:00"/>
    <x v="3"/>
    <x v="7"/>
    <s v="Marseille"/>
    <s v="Consumer"/>
    <x v="2"/>
    <x v="5"/>
    <x v="1"/>
    <s v="PRN-1504"/>
    <n v="1303.56"/>
    <n v="1791.37"/>
    <n v="815.10700000000008"/>
    <n v="1620.05"/>
    <m/>
    <n v="0.126"/>
    <n v="0"/>
    <n v="22"/>
    <n v="39410.14"/>
    <n v="28678.32"/>
    <n v="10731.82"/>
    <n v="0.2723111361695239"/>
  </r>
  <r>
    <s v="ORD-2024-468501"/>
    <n v="1"/>
    <x v="48"/>
    <n v="202411"/>
    <n v="202301"/>
    <n v="202301"/>
    <n v="22"/>
    <s v="Nov-2024"/>
    <x v="11"/>
    <x v="0"/>
    <n v="16"/>
    <d v="2024-11-22T00:00:00"/>
    <d v="2024-11-22T00:00:00"/>
    <x v="2"/>
    <x v="3"/>
    <s v="Toronto"/>
    <s v="Non-Profit"/>
    <x v="3"/>
    <x v="14"/>
    <x v="6"/>
    <s v="ACC-6348"/>
    <n v="1454.11"/>
    <n v="2629.75"/>
    <n v="815.10700000000008"/>
    <n v="1620.05"/>
    <s v="High"/>
    <n v="0.29199999999999998"/>
    <n v="1"/>
    <n v="8"/>
    <n v="21038"/>
    <n v="11632.88"/>
    <n v="9405.1200000000008"/>
    <n v="0.44705390246221127"/>
  </r>
  <r>
    <s v="ORD-2024-260775"/>
    <n v="1"/>
    <x v="49"/>
    <n v="202410"/>
    <n v="202302"/>
    <n v="202302"/>
    <n v="20"/>
    <s v="Oct-2024"/>
    <x v="2"/>
    <x v="0"/>
    <n v="20"/>
    <d v="2024-11-06T00:00:00"/>
    <d v="2024-11-06T00:00:00"/>
    <x v="1"/>
    <x v="4"/>
    <s v="Bengaluru"/>
    <s v="Enterprise"/>
    <x v="3"/>
    <x v="7"/>
    <x v="5"/>
    <s v="MON-4330"/>
    <n v="72.94"/>
    <n v="106.3"/>
    <n v="815.10700000000008"/>
    <n v="1620.05"/>
    <s v="High"/>
    <n v="0.29499999999999998"/>
    <n v="1"/>
    <n v="8"/>
    <n v="850.4"/>
    <n v="583.52"/>
    <n v="266.88"/>
    <n v="0.31382878645343371"/>
  </r>
  <r>
    <s v="ORD-2023-419187"/>
    <m/>
    <x v="50"/>
    <d v="2453-11-18T00:00:00"/>
    <d v="2453-11-16T00:00:00"/>
    <d v="2453-11-16T00:00:00"/>
    <d v="1900-01-01T00:00:00"/>
    <s v="Mar-2023"/>
    <x v="2"/>
    <x v="1"/>
    <d v="1900-01-04T00:00:00"/>
    <d v="2023-04-05T00:00:00"/>
    <d v="2023-04-05T00:00:00"/>
    <x v="0"/>
    <x v="0"/>
    <s v="Nakuru"/>
    <s v="Education"/>
    <x v="2"/>
    <x v="5"/>
    <x v="4"/>
    <s v="LAP-7819"/>
    <n v="533.26"/>
    <n v="385.72"/>
    <n v="815.10700000000008"/>
    <n v="1620.05"/>
    <m/>
    <n v="0"/>
    <n v="0"/>
    <n v="15"/>
    <n v="5785.8"/>
    <n v="7998.9"/>
    <n v="-2213.0999999999995"/>
    <n v="-0.38250544436378708"/>
  </r>
  <r>
    <s v="ORD-2025-578007"/>
    <m/>
    <x v="51"/>
    <d v="2454-06-04T00:00:00"/>
    <d v="2453-11-16T00:00:00"/>
    <d v="2453-11-16T00:00:00"/>
    <d v="1900-01-23T00:00:00"/>
    <s v="Jan-2025"/>
    <x v="3"/>
    <x v="0"/>
    <d v="1900-01-25T00:00:00"/>
    <d v="2025-02-16T00:00:00"/>
    <d v="2025-02-16T00:00:00"/>
    <x v="3"/>
    <x v="7"/>
    <s v="Lyon"/>
    <s v="Corporate"/>
    <x v="3"/>
    <x v="7"/>
    <x v="4"/>
    <s v="LAP-3779"/>
    <n v="204.11"/>
    <n v="236.87"/>
    <n v="815.10700000000008"/>
    <n v="1620.05"/>
    <m/>
    <n v="0.182"/>
    <n v="0"/>
    <n v="13"/>
    <n v="3079.31"/>
    <n v="2653.4300000000003"/>
    <n v="425.87999999999965"/>
    <n v="0.13830371089627211"/>
  </r>
  <r>
    <s v="ORD-2023-235230"/>
    <m/>
    <x v="52"/>
    <d v="2453-11-23T00:00:00"/>
    <d v="2453-11-16T00:00:00"/>
    <d v="2453-11-16T00:00:00"/>
    <d v="1900-01-06T00:00:00"/>
    <s v="Aug-2023"/>
    <x v="4"/>
    <x v="1"/>
    <d v="1900-01-01T00:00:00"/>
    <d v="2023-09-01T00:00:00"/>
    <d v="2023-09-01T00:00:00"/>
    <x v="3"/>
    <x v="6"/>
    <s v="Munich"/>
    <s v="Corporate"/>
    <x v="4"/>
    <x v="13"/>
    <x v="2"/>
    <s v="NET-9989"/>
    <n v="44.42"/>
    <n v="41.9"/>
    <n v="815.10700000000008"/>
    <n v="1620.05"/>
    <m/>
    <n v="0.14399999999999999"/>
    <n v="0"/>
    <n v="6"/>
    <n v="251.39999999999998"/>
    <n v="266.52"/>
    <n v="-15.120000000000005"/>
    <n v="-6.014319809069215E-2"/>
  </r>
  <r>
    <s v="ORD-2025-765220"/>
    <n v="1"/>
    <x v="53"/>
    <n v="202504"/>
    <n v="202301"/>
    <n v="202301"/>
    <n v="27"/>
    <s v="Apr-2025"/>
    <x v="11"/>
    <x v="0"/>
    <n v="24"/>
    <d v="2025-04-30T00:00:00"/>
    <d v="2025-04-30T00:00:00"/>
    <x v="2"/>
    <x v="5"/>
    <s v="Brasília"/>
    <s v="Education"/>
    <x v="1"/>
    <x v="11"/>
    <x v="5"/>
    <s v="MON-4925"/>
    <n v="855.78"/>
    <n v="977.38"/>
    <n v="815.10700000000008"/>
    <n v="1620.05"/>
    <s v="Low"/>
    <n v="0.14699999999999999"/>
    <n v="0"/>
    <n v="38"/>
    <n v="37140.44"/>
    <n v="32519.64"/>
    <n v="4620.8000000000029"/>
    <n v="0.12441425034275315"/>
  </r>
  <r>
    <s v="ORD-2025-931538"/>
    <n v="1"/>
    <x v="54"/>
    <n v="202502"/>
    <n v="202301"/>
    <n v="202301"/>
    <n v="25"/>
    <s v="Feb-2025"/>
    <x v="7"/>
    <x v="0"/>
    <n v="20"/>
    <d v="2025-03-01T00:00:00"/>
    <d v="2025-03-01T00:00:00"/>
    <x v="2"/>
    <x v="5"/>
    <s v="São Paulo"/>
    <s v="Corporate"/>
    <x v="3"/>
    <x v="5"/>
    <x v="4"/>
    <s v="LAP-6989"/>
    <n v="1154.6400000000001"/>
    <n v="2794.13"/>
    <n v="815.10700000000008"/>
    <n v="1620.05"/>
    <s v="Medium"/>
    <n v="3.5000000000000003E-2"/>
    <n v="0"/>
    <n v="11"/>
    <n v="30735.43"/>
    <n v="12701.04"/>
    <n v="18034.39"/>
    <n v="0.58676224799848253"/>
  </r>
  <r>
    <s v="ORD-2024-289089"/>
    <m/>
    <x v="55"/>
    <d v="2454-03-07T00:00:00"/>
    <d v="2453-11-16T00:00:00"/>
    <d v="2453-11-16T00:00:00"/>
    <d v="1900-01-22T00:00:00"/>
    <s v="Dec-2024"/>
    <x v="4"/>
    <x v="1"/>
    <d v="1899-12-31T00:00:00"/>
    <d v="2024-12-18T00:00:00"/>
    <d v="2024-12-18T00:00:00"/>
    <x v="3"/>
    <x v="6"/>
    <s v="Munich"/>
    <s v="Education"/>
    <x v="0"/>
    <x v="4"/>
    <x v="6"/>
    <s v="ACC-5780"/>
    <n v="346.82"/>
    <n v="701.95"/>
    <n v="815.10700000000008"/>
    <n v="1620.05"/>
    <m/>
    <n v="0.14699999999999999"/>
    <n v="0"/>
    <n v="8"/>
    <n v="5615.6"/>
    <n v="2774.56"/>
    <n v="2841.0400000000004"/>
    <n v="0.50591922501602682"/>
  </r>
  <r>
    <s v="ORD-2025-639542"/>
    <m/>
    <x v="56"/>
    <d v="2454-06-09T00:00:00"/>
    <d v="2453-11-16T00:00:00"/>
    <d v="2453-11-16T00:00:00"/>
    <d v="1900-01-28T00:00:00"/>
    <s v="Jun-2025"/>
    <x v="2"/>
    <x v="0"/>
    <d v="1900-01-08T00:00:00"/>
    <d v="2025-06-18T00:00:00"/>
    <d v="2025-06-18T00:00:00"/>
    <x v="3"/>
    <x v="7"/>
    <s v="Marseille"/>
    <s v="Small Business"/>
    <x v="2"/>
    <x v="10"/>
    <x v="6"/>
    <s v="ACC-1770"/>
    <n v="1225.5"/>
    <n v="5.27"/>
    <n v="815.10700000000008"/>
    <n v="1620.05"/>
    <m/>
    <n v="7.4999999999999997E-2"/>
    <n v="0"/>
    <n v="56"/>
    <n v="295.12"/>
    <n v="68628"/>
    <n v="-68332.88"/>
    <n v="-231.54269449715372"/>
  </r>
  <r>
    <s v="ORD-2025-762301"/>
    <m/>
    <x v="57"/>
    <d v="2454-06-08T00:00:00"/>
    <d v="2453-11-16T00:00:00"/>
    <d v="2453-11-16T00:00:00"/>
    <d v="1900-01-27T00:00:00"/>
    <s v="May-2025"/>
    <x v="7"/>
    <x v="0"/>
    <d v="1900-01-10T00:00:00"/>
    <d v="2025-05-13T00:00:00"/>
    <d v="2025-05-13T00:00:00"/>
    <x v="0"/>
    <x v="0"/>
    <s v="Nakuru"/>
    <s v="Small Business"/>
    <x v="1"/>
    <x v="8"/>
    <x v="6"/>
    <s v="ACC-2252"/>
    <n v="1057.5999999999999"/>
    <n v="1437.06"/>
    <n v="815.10700000000008"/>
    <n v="1620.05"/>
    <m/>
    <n v="0.20499999999999999"/>
    <n v="1"/>
    <n v="4"/>
    <n v="5748.24"/>
    <n v="4230.3999999999996"/>
    <n v="1517.8400000000001"/>
    <n v="0.2640529970912836"/>
  </r>
  <r>
    <s v="ORD-2024-906395"/>
    <m/>
    <x v="58"/>
    <d v="2454-02-26T00:00:00"/>
    <d v="2453-11-16T00:00:00"/>
    <d v="2453-11-16T00:00:00"/>
    <d v="1900-01-13T00:00:00"/>
    <s v="Mar-2024"/>
    <x v="7"/>
    <x v="0"/>
    <d v="1900-01-29T00:00:00"/>
    <d v="2024-04-09T00:00:00"/>
    <d v="2024-04-09T00:00:00"/>
    <x v="3"/>
    <x v="7"/>
    <s v="Lyon"/>
    <s v="Corporate"/>
    <x v="4"/>
    <x v="2"/>
    <x v="0"/>
    <s v="CMP-8002"/>
    <n v="1176.56"/>
    <n v="1911.89"/>
    <n v="815.10700000000008"/>
    <n v="1620.05"/>
    <m/>
    <n v="0.11899999999999999"/>
    <n v="0"/>
    <n v="20"/>
    <n v="38237.800000000003"/>
    <n v="23531.199999999997"/>
    <n v="14706.600000000006"/>
    <n v="0.38460894716746269"/>
  </r>
  <r>
    <s v="ORD-2025-779574"/>
    <m/>
    <x v="59"/>
    <d v="2454-06-12T00:00:00"/>
    <d v="2453-11-18T00:00:00"/>
    <d v="2453-11-18T00:00:00"/>
    <d v="1900-01-29T00:00:00"/>
    <s v="Sept-2025"/>
    <x v="1"/>
    <x v="1"/>
    <d v="1900-01-01T00:00:00"/>
    <d v="2025-09-12T00:00:00"/>
    <d v="2025-09-12T00:00:00"/>
    <x v="1"/>
    <x v="2"/>
    <s v="Tokyo"/>
    <s v="Consumer"/>
    <x v="1"/>
    <x v="7"/>
    <x v="0"/>
    <s v="CMP-6971"/>
    <n v="1470.15"/>
    <n v="2593.7800000000002"/>
    <n v="815.10700000000008"/>
    <n v="1620.05"/>
    <m/>
    <n v="0.11"/>
    <n v="0"/>
    <n v="12"/>
    <n v="31125.360000000001"/>
    <n v="17641.800000000003"/>
    <n v="13483.559999999998"/>
    <n v="0.43320173646184323"/>
  </r>
  <r>
    <s v="ORD-2025-526650"/>
    <m/>
    <x v="60"/>
    <d v="2454-06-07T00:00:00"/>
    <d v="2453-11-16T00:00:00"/>
    <d v="2453-11-16T00:00:00"/>
    <d v="1900-01-26T00:00:00"/>
    <s v="Apr-2025"/>
    <x v="8"/>
    <x v="0"/>
    <d v="1900-01-27T00:00:00"/>
    <d v="2025-05-25T00:00:00"/>
    <d v="2025-05-25T00:00:00"/>
    <x v="3"/>
    <x v="7"/>
    <s v="Paris"/>
    <s v="Small Business"/>
    <x v="2"/>
    <x v="2"/>
    <x v="3"/>
    <s v="PHN-8350"/>
    <n v="603.45000000000005"/>
    <n v="1244.08"/>
    <n v="815.10700000000008"/>
    <n v="1620.05"/>
    <m/>
    <n v="0.2"/>
    <n v="0"/>
    <n v="11"/>
    <n v="13684.88"/>
    <n v="6637.9500000000007"/>
    <n v="7046.9299999999985"/>
    <n v="0.5149427689537649"/>
  </r>
  <r>
    <s v="ORD-2024-247979"/>
    <n v="1"/>
    <x v="61"/>
    <n v="202411"/>
    <n v="202302"/>
    <n v="202302"/>
    <n v="21"/>
    <s v="Nov-2024"/>
    <x v="7"/>
    <x v="0"/>
    <n v="16"/>
    <d v="2024-11-18T00:00:00"/>
    <d v="2024-11-18T00:00:00"/>
    <x v="1"/>
    <x v="4"/>
    <s v="Mumbai"/>
    <s v="Small Business"/>
    <x v="3"/>
    <x v="7"/>
    <x v="5"/>
    <s v="MON-5188"/>
    <n v="1233.58"/>
    <n v="1912.51"/>
    <n v="815.10700000000008"/>
    <n v="1620.05"/>
    <s v="Medium"/>
    <n v="0.255"/>
    <n v="1"/>
    <n v="51"/>
    <n v="97538.01"/>
    <n v="62912.579999999994"/>
    <n v="34625.43"/>
    <n v="0.35499422225243271"/>
  </r>
  <r>
    <s v="ORD-2023-480975"/>
    <m/>
    <x v="62"/>
    <d v="2453-11-17T00:00:00"/>
    <d v="2453-11-16T00:00:00"/>
    <d v="2453-11-16T00:00:00"/>
    <d v="1899-12-31T00:00:00"/>
    <s v="Feb-2023"/>
    <x v="2"/>
    <x v="0"/>
    <d v="1900-01-10T00:00:00"/>
    <d v="2023-02-26T00:00:00"/>
    <d v="2023-02-26T00:00:00"/>
    <x v="0"/>
    <x v="11"/>
    <s v="Johannesburg"/>
    <s v="Non-Profit"/>
    <x v="0"/>
    <x v="11"/>
    <x v="4"/>
    <s v="LAP-3393"/>
    <n v="498.5"/>
    <n v="755.87"/>
    <n v="815.10700000000008"/>
    <n v="1620.05"/>
    <m/>
    <n v="0.13"/>
    <n v="0"/>
    <n v="40"/>
    <n v="30234.799999999999"/>
    <n v="19940"/>
    <n v="10294.799999999999"/>
    <n v="0.34049505867411062"/>
  </r>
  <r>
    <s v="ORD-2023-239789"/>
    <n v="1"/>
    <x v="63"/>
    <n v="202312"/>
    <n v="202301"/>
    <n v="202301"/>
    <n v="11"/>
    <s v="Dec-2023"/>
    <x v="3"/>
    <x v="0"/>
    <n v="23"/>
    <d v="2023-12-26T00:00:00"/>
    <d v="2023-12-26T00:00:00"/>
    <x v="2"/>
    <x v="5"/>
    <s v="Rio de Janeiro"/>
    <s v="Education"/>
    <x v="0"/>
    <x v="7"/>
    <x v="3"/>
    <s v="PHN-4644"/>
    <n v="1303.1099999999999"/>
    <n v="1145.67"/>
    <n v="815.10700000000008"/>
    <n v="1620.05"/>
    <s v="Low"/>
    <n v="0.184"/>
    <n v="0"/>
    <n v="13"/>
    <n v="14893.710000000001"/>
    <n v="16940.43"/>
    <n v="-2046.7199999999993"/>
    <n v="-0.13742177066694591"/>
  </r>
  <r>
    <s v="ORD-2023-548874"/>
    <n v="1"/>
    <x v="64"/>
    <n v="202303"/>
    <n v="202301"/>
    <n v="202301"/>
    <n v="2"/>
    <s v="Mar-2023"/>
    <x v="5"/>
    <x v="0"/>
    <n v="21"/>
    <d v="2023-04-09T00:00:00"/>
    <d v="2023-04-09T00:00:00"/>
    <x v="3"/>
    <x v="8"/>
    <s v="Manchester"/>
    <s v="Consumer"/>
    <x v="0"/>
    <x v="4"/>
    <x v="6"/>
    <s v="ACC-9150"/>
    <n v="1082.17"/>
    <n v="1234.0999999999999"/>
    <n v="815.10700000000008"/>
    <n v="1620.05"/>
    <s v="Medium"/>
    <n v="0.189"/>
    <n v="0"/>
    <n v="16"/>
    <n v="19745.599999999999"/>
    <n v="17314.72"/>
    <n v="2430.8799999999974"/>
    <n v="0.12310995867433745"/>
  </r>
  <r>
    <s v="ORD-2024-347736"/>
    <m/>
    <x v="65"/>
    <d v="2454-02-28T00:00:00"/>
    <d v="2453-11-18T00:00:00"/>
    <d v="2453-11-18T00:00:00"/>
    <d v="1900-01-13T00:00:00"/>
    <s v="May-2024"/>
    <x v="3"/>
    <x v="0"/>
    <d v="1900-01-14T00:00:00"/>
    <d v="2024-06-06T00:00:00"/>
    <d v="2024-06-06T00:00:00"/>
    <x v="1"/>
    <x v="2"/>
    <s v="Nagoya"/>
    <s v="Corporate"/>
    <x v="3"/>
    <x v="0"/>
    <x v="5"/>
    <s v="MON-6870"/>
    <n v="673.88"/>
    <n v="1228.01"/>
    <n v="815.10700000000008"/>
    <n v="1620.05"/>
    <m/>
    <n v="0.105"/>
    <n v="0"/>
    <n v="13"/>
    <n v="15964.13"/>
    <n v="8760.44"/>
    <n v="7203.6899999999987"/>
    <n v="0.45124225372757543"/>
  </r>
  <r>
    <s v="ORD-2023-749324"/>
    <m/>
    <x v="66"/>
    <d v="2453-11-23T00:00:00"/>
    <d v="2453-11-16T00:00:00"/>
    <d v="2453-11-16T00:00:00"/>
    <d v="1900-01-06T00:00:00"/>
    <s v="Aug-2023"/>
    <x v="6"/>
    <x v="0"/>
    <d v="1900-01-18T00:00:00"/>
    <d v="2023-09-07T00:00:00"/>
    <d v="2023-09-07T00:00:00"/>
    <x v="0"/>
    <x v="11"/>
    <s v="Johannesburg"/>
    <s v="Enterprise"/>
    <x v="0"/>
    <x v="14"/>
    <x v="5"/>
    <s v="MON-2296"/>
    <n v="494.61"/>
    <n v="605.23"/>
    <n v="815.10700000000008"/>
    <n v="1620.05"/>
    <m/>
    <n v="0.20399999999999999"/>
    <n v="1"/>
    <n v="18"/>
    <n v="10894.14"/>
    <n v="8902.98"/>
    <n v="1991.1599999999999"/>
    <n v="0.18277349106951077"/>
  </r>
  <r>
    <s v="ORD-2023-809913"/>
    <n v="1"/>
    <x v="67"/>
    <n v="202304"/>
    <n v="202301"/>
    <n v="202301"/>
    <n v="3"/>
    <s v="Apr-2023"/>
    <x v="11"/>
    <x v="0"/>
    <n v="19"/>
    <d v="2023-05-10T00:00:00"/>
    <d v="2023-05-10T00:00:00"/>
    <x v="1"/>
    <x v="9"/>
    <s v="Shanghai"/>
    <s v="Corporate"/>
    <x v="0"/>
    <x v="8"/>
    <x v="0"/>
    <s v="CMP-7371"/>
    <n v="882.33"/>
    <n v="1880.15"/>
    <n v="815.10700000000008"/>
    <n v="1620.05"/>
    <s v="Low"/>
    <n v="0.05"/>
    <n v="0"/>
    <n v="5"/>
    <n v="9400.75"/>
    <n v="4411.6500000000005"/>
    <n v="4989.0999999999995"/>
    <n v="0.53071297502858805"/>
  </r>
  <r>
    <s v="ORD-2024-287210"/>
    <m/>
    <x v="68"/>
    <d v="2454-02-26T00:00:00"/>
    <d v="2453-11-16T00:00:00"/>
    <d v="2453-11-16T00:00:00"/>
    <d v="1900-01-13T00:00:00"/>
    <s v="Mar-2024"/>
    <x v="9"/>
    <x v="1"/>
    <d v="1900-01-02T00:00:00"/>
    <d v="2024-03-21T00:00:00"/>
    <d v="2024-03-21T00:00:00"/>
    <x v="3"/>
    <x v="6"/>
    <s v="Munich"/>
    <s v="Small Business"/>
    <x v="1"/>
    <x v="12"/>
    <x v="6"/>
    <s v="ACC-2761"/>
    <n v="910.63"/>
    <n v="1269.4000000000001"/>
    <n v="815.10700000000008"/>
    <n v="1620.05"/>
    <m/>
    <n v="6.8000000000000005E-2"/>
    <n v="0"/>
    <n v="9"/>
    <n v="11424.6"/>
    <n v="8195.67"/>
    <n v="3228.9300000000003"/>
    <n v="0.28262958878210181"/>
  </r>
  <r>
    <s v="ORD-2025-640677"/>
    <n v="1"/>
    <x v="69"/>
    <n v="202504"/>
    <n v="202301"/>
    <n v="202301"/>
    <n v="27"/>
    <s v="Apr-2025"/>
    <x v="1"/>
    <x v="0"/>
    <n v="27"/>
    <d v="2025-05-06T00:00:00"/>
    <d v="2025-05-06T00:00:00"/>
    <x v="2"/>
    <x v="5"/>
    <s v="Brasília"/>
    <s v="Enterprise"/>
    <x v="2"/>
    <x v="9"/>
    <x v="4"/>
    <s v="LAP-4517"/>
    <n v="264.19"/>
    <n v="620.92999999999995"/>
    <n v="815.10700000000008"/>
    <n v="1620.05"/>
    <s v="Medium"/>
    <n v="0.14199999999999999"/>
    <n v="0"/>
    <n v="12"/>
    <n v="7451.16"/>
    <n v="3170.2799999999997"/>
    <n v="4280.88"/>
    <n v="0.57452530881097708"/>
  </r>
  <r>
    <s v="ORD-2024-939873"/>
    <m/>
    <x v="70"/>
    <d v="2454-02-27T00:00:00"/>
    <d v="2453-11-16T00:00:00"/>
    <d v="2453-11-16T00:00:00"/>
    <d v="1900-01-14T00:00:00"/>
    <s v="Apr-2024"/>
    <x v="7"/>
    <x v="0"/>
    <d v="1900-01-24T00:00:00"/>
    <d v="2024-05-07T00:00:00"/>
    <d v="2024-05-07T00:00:00"/>
    <x v="0"/>
    <x v="11"/>
    <s v="Johannesburg"/>
    <s v="Education"/>
    <x v="3"/>
    <x v="8"/>
    <x v="4"/>
    <s v="LAP-8489"/>
    <n v="1376.51"/>
    <n v="1455.91"/>
    <n v="815.10700000000008"/>
    <n v="1620.05"/>
    <m/>
    <n v="0.185"/>
    <n v="0"/>
    <n v="17"/>
    <n v="24750.47"/>
    <n v="23400.67"/>
    <n v="1349.8000000000029"/>
    <n v="5.4536338097822094E-2"/>
  </r>
  <r>
    <s v="ORD-2024-800947"/>
    <n v="1"/>
    <x v="71"/>
    <n v="202412"/>
    <n v="202301"/>
    <n v="202301"/>
    <n v="23"/>
    <s v="Dec-2024"/>
    <x v="6"/>
    <x v="1"/>
    <n v="5"/>
    <d v="2024-12-20T00:00:00"/>
    <d v="2024-12-20T00:00:00"/>
    <x v="1"/>
    <x v="9"/>
    <s v="Shenzhen"/>
    <s v="Small Business"/>
    <x v="4"/>
    <x v="1"/>
    <x v="2"/>
    <s v="NET-1846"/>
    <n v="717.55"/>
    <n v="546.42999999999995"/>
    <n v="815.10700000000008"/>
    <n v="1620.05"/>
    <s v="Medium"/>
    <n v="4.7E-2"/>
    <n v="0"/>
    <n v="18"/>
    <n v="9835.74"/>
    <n v="12915.9"/>
    <n v="-3080.16"/>
    <n v="-0.3131599655948612"/>
  </r>
  <r>
    <s v="ORD-2023-382272"/>
    <m/>
    <x v="72"/>
    <d v="2453-11-20T00:00:00"/>
    <d v="2453-11-16T00:00:00"/>
    <d v="2453-11-16T00:00:00"/>
    <d v="1900-01-03T00:00:00"/>
    <s v="May-2023"/>
    <x v="2"/>
    <x v="1"/>
    <d v="1899-12-30T00:00:00"/>
    <d v="2023-05-20T00:00:00"/>
    <d v="2023-05-18T00:00:00"/>
    <x v="0"/>
    <x v="11"/>
    <s v="Durban"/>
    <s v="Corporate"/>
    <x v="3"/>
    <x v="8"/>
    <x v="0"/>
    <s v="CMP-5208"/>
    <n v="917.88"/>
    <n v="1347.92"/>
    <n v="815.10700000000008"/>
    <n v="1620.05"/>
    <m/>
    <n v="0.34300000000000003"/>
    <n v="1"/>
    <n v="5"/>
    <n v="6739.6"/>
    <n v="4589.3999999999996"/>
    <n v="2150.2000000000007"/>
    <n v="0.3190397056205117"/>
  </r>
  <r>
    <s v="ORD-2023-722117"/>
    <n v="1"/>
    <x v="73"/>
    <n v="202309"/>
    <n v="202302"/>
    <n v="202302"/>
    <n v="7"/>
    <s v="Sept-2023"/>
    <x v="9"/>
    <x v="0"/>
    <n v="20"/>
    <d v="2023-10-08T00:00:00"/>
    <d v="2023-10-08T00:00:00"/>
    <x v="1"/>
    <x v="4"/>
    <s v="Delhi"/>
    <s v="Small Business"/>
    <x v="4"/>
    <x v="5"/>
    <x v="0"/>
    <s v="CMP-1009"/>
    <n v="825.64"/>
    <n v="1108.43"/>
    <n v="815.10700000000008"/>
    <n v="1620.05"/>
    <s v="Medium"/>
    <n v="0.114"/>
    <n v="0"/>
    <n v="7"/>
    <n v="7759.01"/>
    <n v="5779.48"/>
    <n v="1979.5300000000007"/>
    <n v="0.2551266205353519"/>
  </r>
  <r>
    <s v="ORD-2024-446699"/>
    <n v="1"/>
    <x v="74"/>
    <n v="202408"/>
    <n v="202301"/>
    <n v="202301"/>
    <n v="19"/>
    <s v="Aug-2024"/>
    <x v="11"/>
    <x v="0"/>
    <n v="28"/>
    <d v="2024-09-25T00:00:00"/>
    <d v="2024-09-25T00:00:00"/>
    <x v="2"/>
    <x v="5"/>
    <s v="Rio de Janeiro"/>
    <s v="Non-Profit"/>
    <x v="1"/>
    <x v="15"/>
    <x v="6"/>
    <s v="ACC-4490"/>
    <n v="1394.65"/>
    <n v="3144.1"/>
    <n v="815.10700000000008"/>
    <n v="1620.05"/>
    <s v="Medium"/>
    <n v="0.13400000000000001"/>
    <n v="0"/>
    <n v="13"/>
    <n v="40873.299999999996"/>
    <n v="18130.45"/>
    <n v="22742.849999999995"/>
    <n v="0.55642314175757757"/>
  </r>
  <r>
    <s v="ORD-2024-451005"/>
    <n v="1"/>
    <x v="24"/>
    <n v="202406"/>
    <n v="202301"/>
    <n v="202301"/>
    <n v="17"/>
    <s v="Jun-2024"/>
    <x v="10"/>
    <x v="1"/>
    <n v="0"/>
    <d v="2024-06-30T00:00:00"/>
    <d v="2024-06-28T00:00:00"/>
    <x v="2"/>
    <x v="5"/>
    <s v="Rio de Janeiro"/>
    <s v="Small Business"/>
    <x v="4"/>
    <x v="4"/>
    <x v="6"/>
    <s v="ACC-9162"/>
    <n v="1112.98"/>
    <n v="2095.73"/>
    <n v="815.10700000000008"/>
    <n v="1620.05"/>
    <s v="High"/>
    <n v="7.1999999999999995E-2"/>
    <n v="0"/>
    <n v="17"/>
    <n v="35627.410000000003"/>
    <n v="18920.66"/>
    <n v="16706.750000000004"/>
    <n v="0.46892968082720587"/>
  </r>
  <r>
    <s v="ORD-2023-290279"/>
    <n v="1"/>
    <x v="75"/>
    <n v="202306"/>
    <n v="202301"/>
    <n v="202301"/>
    <n v="5"/>
    <s v="Jun-2023"/>
    <x v="6"/>
    <x v="1"/>
    <n v="2"/>
    <d v="2023-06-16T00:00:00"/>
    <d v="2023-06-16T00:00:00"/>
    <x v="3"/>
    <x v="8"/>
    <s v="Manchester"/>
    <s v="Non-Profit"/>
    <x v="4"/>
    <x v="11"/>
    <x v="0"/>
    <s v="CMP-5820"/>
    <n v="357.36"/>
    <n v="703.62"/>
    <n v="815.10700000000008"/>
    <n v="1620.05"/>
    <s v="High"/>
    <n v="0.25700000000000001"/>
    <n v="1"/>
    <n v="20"/>
    <n v="14072.4"/>
    <n v="7147.2000000000007"/>
    <n v="6925.1999999999989"/>
    <n v="0.49211221966402313"/>
  </r>
  <r>
    <s v="ORD-2024-192263"/>
    <m/>
    <x v="76"/>
    <d v="2454-03-06T00:00:00"/>
    <d v="2453-11-16T00:00:00"/>
    <d v="2453-11-16T00:00:00"/>
    <d v="1900-01-21T00:00:00"/>
    <s v="Nov-2024"/>
    <x v="9"/>
    <x v="0"/>
    <d v="1900-01-29T00:00:00"/>
    <d v="2024-12-21T00:00:00"/>
    <d v="2024-12-21T00:00:00"/>
    <x v="3"/>
    <x v="7"/>
    <s v="Marseille"/>
    <s v="Small Business"/>
    <x v="4"/>
    <x v="2"/>
    <x v="5"/>
    <s v="MON-7943"/>
    <n v="1122.68"/>
    <n v="1997.19"/>
    <n v="815.10700000000008"/>
    <n v="1620.05"/>
    <m/>
    <n v="0.186"/>
    <n v="0"/>
    <n v="3"/>
    <n v="5991.57"/>
    <n v="3368.04"/>
    <n v="2623.5299999999997"/>
    <n v="0.43787020764173662"/>
  </r>
  <r>
    <s v="ORD-2023-159379"/>
    <m/>
    <x v="77"/>
    <d v="2453-11-17T00:00:00"/>
    <d v="2453-11-16T00:00:00"/>
    <d v="2453-11-16T00:00:00"/>
    <d v="1899-12-31T00:00:00"/>
    <s v="Feb-2023"/>
    <x v="2"/>
    <x v="1"/>
    <d v="1900-01-02T00:00:00"/>
    <d v="2023-02-11T00:00:00"/>
    <d v="2023-02-11T00:00:00"/>
    <x v="0"/>
    <x v="11"/>
    <s v="Cape Town"/>
    <s v="Corporate"/>
    <x v="4"/>
    <x v="12"/>
    <x v="2"/>
    <s v="NET-5018"/>
    <n v="1410.05"/>
    <n v="2763.95"/>
    <n v="815.10700000000008"/>
    <n v="1620.05"/>
    <m/>
    <n v="0.161"/>
    <n v="0"/>
    <n v="26"/>
    <n v="71862.7"/>
    <n v="36661.299999999996"/>
    <n v="35201.4"/>
    <n v="0.48984243564463903"/>
  </r>
  <r>
    <s v="ORD-2023-343322"/>
    <n v="1"/>
    <x v="66"/>
    <n v="202308"/>
    <n v="202301"/>
    <n v="202301"/>
    <n v="7"/>
    <s v="Aug-2023"/>
    <x v="3"/>
    <x v="0"/>
    <n v="24"/>
    <d v="2023-09-12T00:00:00"/>
    <d v="2023-09-12T00:00:00"/>
    <x v="2"/>
    <x v="3"/>
    <s v="Vancouver"/>
    <s v="Enterprise"/>
    <x v="0"/>
    <x v="2"/>
    <x v="1"/>
    <s v="PRN-9669"/>
    <n v="1183.95"/>
    <n v="1503.53"/>
    <n v="815.10700000000008"/>
    <n v="1620.05"/>
    <s v="High"/>
    <n v="0.24099999999999999"/>
    <n v="1"/>
    <n v="16"/>
    <n v="24056.48"/>
    <n v="18943.2"/>
    <n v="5113.2799999999988"/>
    <n v="0.21255312497921552"/>
  </r>
  <r>
    <s v="ORD-2025-114382"/>
    <m/>
    <x v="78"/>
    <d v="2454-06-08T00:00:00"/>
    <d v="2453-11-16T00:00:00"/>
    <d v="2453-11-16T00:00:00"/>
    <d v="1900-01-27T00:00:00"/>
    <s v="May-2025"/>
    <x v="11"/>
    <x v="0"/>
    <d v="1900-01-09T00:00:00"/>
    <d v="2025-05-24T00:00:00"/>
    <d v="2025-05-24T00:00:00"/>
    <x v="3"/>
    <x v="7"/>
    <s v="Paris"/>
    <s v="Small Business"/>
    <x v="2"/>
    <x v="11"/>
    <x v="0"/>
    <s v="CMP-2865"/>
    <n v="170.39"/>
    <n v="388.04"/>
    <n v="815.10700000000008"/>
    <n v="1620.05"/>
    <m/>
    <n v="8.4000000000000005E-2"/>
    <n v="0"/>
    <n v="15"/>
    <n v="5820.6"/>
    <n v="2555.85"/>
    <n v="3264.7500000000005"/>
    <n v="0.56089578393980011"/>
  </r>
  <r>
    <s v="ORD-2025-488349"/>
    <m/>
    <x v="79"/>
    <d v="2454-06-07T00:00:00"/>
    <d v="2453-11-16T00:00:00"/>
    <d v="2453-11-16T00:00:00"/>
    <d v="1900-01-26T00:00:00"/>
    <s v="Apr-2025"/>
    <x v="7"/>
    <x v="1"/>
    <d v="1899-12-30T00:00:00"/>
    <d v="2025-04-23T00:00:00"/>
    <d v="2025-04-22T00:00:00"/>
    <x v="2"/>
    <x v="10"/>
    <s v="San Francisco"/>
    <s v="Non-Profit"/>
    <x v="3"/>
    <x v="14"/>
    <x v="5"/>
    <s v="MON-3371"/>
    <n v="23.24"/>
    <n v="44.57"/>
    <n v="815.10700000000008"/>
    <n v="1620.05"/>
    <m/>
    <n v="0.215"/>
    <n v="1"/>
    <n v="15"/>
    <n v="668.55"/>
    <n v="348.59999999999997"/>
    <n v="319.95"/>
    <n v="0.47857303118689704"/>
  </r>
  <r>
    <s v="ORD-2025-330203"/>
    <n v="1"/>
    <x v="80"/>
    <n v="202503"/>
    <n v="202301"/>
    <n v="202301"/>
    <n v="26"/>
    <s v="Mar-2025"/>
    <x v="7"/>
    <x v="0"/>
    <n v="23"/>
    <d v="2025-04-17T00:00:00"/>
    <d v="2025-04-17T00:00:00"/>
    <x v="3"/>
    <x v="8"/>
    <s v="London"/>
    <s v="Consumer"/>
    <x v="0"/>
    <x v="10"/>
    <x v="2"/>
    <s v="NET-7166"/>
    <n v="1421.19"/>
    <n v="1808.26"/>
    <n v="815.10700000000008"/>
    <n v="1620.05"/>
    <s v="Low"/>
    <n v="0.104"/>
    <n v="0"/>
    <n v="13"/>
    <n v="23507.38"/>
    <n v="18475.47"/>
    <n v="5031.91"/>
    <n v="0.21405660690387443"/>
  </r>
  <r>
    <s v="ORD-2023-841426"/>
    <m/>
    <x v="81"/>
    <d v="2453-11-27T00:00:00"/>
    <d v="2453-11-16T00:00:00"/>
    <d v="2453-11-16T00:00:00"/>
    <d v="1900-01-10T00:00:00"/>
    <s v="Dec-2023"/>
    <x v="4"/>
    <x v="1"/>
    <d v="1899-12-31T00:00:00"/>
    <d v="2023-12-23T00:00:00"/>
    <d v="2023-12-23T00:00:00"/>
    <x v="0"/>
    <x v="11"/>
    <s v="Cape Town"/>
    <s v="Non-Profit"/>
    <x v="2"/>
    <x v="14"/>
    <x v="0"/>
    <s v="CMP-4531"/>
    <n v="1186.18"/>
    <n v="1285.0899999999999"/>
    <n v="815.10700000000008"/>
    <n v="1620.05"/>
    <m/>
    <n v="7.0000000000000007E-2"/>
    <n v="0"/>
    <n v="11"/>
    <n v="14135.99"/>
    <n v="13047.980000000001"/>
    <n v="1088.0099999999984"/>
    <n v="7.6967371935039455E-2"/>
  </r>
  <r>
    <s v="ORD-2024-594592"/>
    <n v="1"/>
    <x v="82"/>
    <n v="202404"/>
    <n v="202301"/>
    <n v="202301"/>
    <n v="15"/>
    <s v="Apr-2024"/>
    <x v="5"/>
    <x v="0"/>
    <n v="19"/>
    <d v="2024-04-25T00:00:00"/>
    <d v="2024-04-25T00:00:00"/>
    <x v="1"/>
    <x v="9"/>
    <s v="Shanghai"/>
    <s v="Corporate"/>
    <x v="0"/>
    <x v="11"/>
    <x v="0"/>
    <s v="CMP-8196"/>
    <n v="1366.48"/>
    <n v="1678.14"/>
    <n v="815.10700000000008"/>
    <n v="1620.05"/>
    <s v="Medium"/>
    <n v="0.154"/>
    <n v="0"/>
    <n v="10"/>
    <n v="16781.400000000001"/>
    <n v="13664.8"/>
    <n v="3116.6000000000022"/>
    <n v="0.18571752058827046"/>
  </r>
  <r>
    <s v="ORD-2025-863978"/>
    <m/>
    <x v="83"/>
    <d v="2454-06-11T00:00:00"/>
    <d v="2453-11-16T00:00:00"/>
    <d v="2453-11-16T00:00:00"/>
    <d v="1900-01-30T00:00:00"/>
    <s v="Aug-2025"/>
    <x v="6"/>
    <x v="0"/>
    <d v="1900-01-11T00:00:00"/>
    <d v="2025-08-19T00:00:00"/>
    <d v="2025-08-19T00:00:00"/>
    <x v="0"/>
    <x v="0"/>
    <s v="Nakuru"/>
    <s v="Corporate"/>
    <x v="1"/>
    <x v="12"/>
    <x v="0"/>
    <s v="CMP-2854"/>
    <n v="601.51"/>
    <n v="679.35"/>
    <n v="815.10700000000008"/>
    <n v="1620.05"/>
    <m/>
    <n v="0.188"/>
    <n v="0"/>
    <n v="3"/>
    <n v="2038.0500000000002"/>
    <n v="1804.53"/>
    <n v="233.52000000000021"/>
    <n v="0.11458011334363739"/>
  </r>
  <r>
    <s v="ORD-2024-604471"/>
    <n v="1"/>
    <x v="84"/>
    <n v="202401"/>
    <n v="202302"/>
    <n v="202302"/>
    <n v="11"/>
    <s v="Jan-2024"/>
    <x v="8"/>
    <x v="1"/>
    <n v="4"/>
    <d v="2024-01-25T00:00:00"/>
    <d v="2024-01-25T00:00:00"/>
    <x v="1"/>
    <x v="4"/>
    <s v="Delhi"/>
    <s v="Consumer"/>
    <x v="4"/>
    <x v="0"/>
    <x v="5"/>
    <s v="MON-8973"/>
    <n v="523.70000000000005"/>
    <n v="1109.92"/>
    <n v="815.10700000000008"/>
    <n v="1620.05"/>
    <s v="Low"/>
    <n v="0.03"/>
    <n v="0"/>
    <n v="11"/>
    <n v="12209.12"/>
    <n v="5760.7000000000007"/>
    <n v="6448.42"/>
    <n v="0.5281641920138388"/>
  </r>
  <r>
    <s v="ORD-2023-258768"/>
    <m/>
    <x v="85"/>
    <d v="2453-11-21T00:00:00"/>
    <d v="2453-11-18T00:00:00"/>
    <d v="2453-11-18T00:00:00"/>
    <d v="1900-01-02T00:00:00"/>
    <s v="Jun-2023"/>
    <x v="1"/>
    <x v="1"/>
    <d v="1900-01-02T00:00:00"/>
    <d v="2023-07-02T00:00:00"/>
    <d v="2023-07-02T00:00:00"/>
    <x v="1"/>
    <x v="2"/>
    <s v="Nagoya"/>
    <s v="Education"/>
    <x v="2"/>
    <x v="9"/>
    <x v="5"/>
    <s v="MON-2990"/>
    <n v="55.65"/>
    <n v="83.57"/>
    <n v="815.10700000000008"/>
    <n v="1620.05"/>
    <m/>
    <n v="6.6000000000000003E-2"/>
    <n v="0"/>
    <n v="8"/>
    <n v="668.56"/>
    <n v="445.2"/>
    <n v="223.35999999999996"/>
    <n v="0.3340911810458298"/>
  </r>
  <r>
    <s v="ORD-2025-626047"/>
    <m/>
    <x v="86"/>
    <d v="2454-06-07T00:00:00"/>
    <d v="2453-11-18T00:00:00"/>
    <d v="2453-11-18T00:00:00"/>
    <d v="1900-01-24T00:00:00"/>
    <s v="Apr-2025"/>
    <x v="9"/>
    <x v="0"/>
    <d v="1900-01-16T00:00:00"/>
    <d v="2025-05-15T00:00:00"/>
    <d v="2025-05-15T00:00:00"/>
    <x v="1"/>
    <x v="2"/>
    <s v="Nagoya"/>
    <s v="Education"/>
    <x v="4"/>
    <x v="13"/>
    <x v="2"/>
    <s v="NET-1966"/>
    <n v="691.19"/>
    <n v="1284.3"/>
    <n v="815.10700000000008"/>
    <n v="1620.05"/>
    <m/>
    <n v="7.3999999999999996E-2"/>
    <n v="0"/>
    <n v="7"/>
    <n v="8990.1"/>
    <n v="4838.33"/>
    <n v="4151.7700000000004"/>
    <n v="0.46181577513042127"/>
  </r>
  <r>
    <s v="ORD-2025-526752"/>
    <n v="1"/>
    <x v="56"/>
    <n v="202506"/>
    <n v="202302"/>
    <n v="202302"/>
    <n v="28"/>
    <s v="Jun-2025"/>
    <x v="7"/>
    <x v="0"/>
    <n v="16"/>
    <d v="2025-06-25T00:00:00"/>
    <d v="2025-06-25T00:00:00"/>
    <x v="1"/>
    <x v="4"/>
    <s v="Hyderabad"/>
    <s v="Enterprise"/>
    <x v="3"/>
    <x v="12"/>
    <x v="3"/>
    <s v="PHN-3482"/>
    <n v="527.33000000000004"/>
    <n v="911.72"/>
    <n v="815.10700000000008"/>
    <n v="1620.05"/>
    <s v="Medium"/>
    <n v="0.14399999999999999"/>
    <n v="0"/>
    <n v="25"/>
    <n v="22793"/>
    <n v="13183.250000000002"/>
    <n v="9609.7499999999982"/>
    <n v="0.42160970473390946"/>
  </r>
  <r>
    <s v="ORD-2023-374486"/>
    <n v="1"/>
    <x v="87"/>
    <n v="202306"/>
    <n v="202301"/>
    <n v="202301"/>
    <n v="5"/>
    <s v="Jun-2023"/>
    <x v="7"/>
    <x v="1"/>
    <n v="0"/>
    <d v="2023-06-24T00:00:00"/>
    <d v="2023-06-23T00:00:00"/>
    <x v="2"/>
    <x v="5"/>
    <s v="Rio de Janeiro"/>
    <s v="Non-Profit"/>
    <x v="0"/>
    <x v="6"/>
    <x v="1"/>
    <s v="PRN-6490"/>
    <n v="804.01"/>
    <n v="1405.07"/>
    <n v="815.10700000000008"/>
    <n v="1620.05"/>
    <s v="Medium"/>
    <n v="9.6000000000000002E-2"/>
    <n v="0"/>
    <n v="8"/>
    <n v="11240.56"/>
    <n v="6432.08"/>
    <n v="4808.4799999999996"/>
    <n v="0.4277793988911584"/>
  </r>
  <r>
    <s v="ORD-2024-997336"/>
    <n v="1"/>
    <x v="88"/>
    <n v="202410"/>
    <n v="202301"/>
    <n v="202301"/>
    <n v="21"/>
    <s v="Oct-2024"/>
    <x v="9"/>
    <x v="0"/>
    <n v="29"/>
    <d v="2024-11-02T00:00:00"/>
    <d v="2024-11-02T00:00:00"/>
    <x v="0"/>
    <x v="1"/>
    <s v="Abuja"/>
    <s v="Corporate"/>
    <x v="3"/>
    <x v="9"/>
    <x v="6"/>
    <s v="ACC-9038"/>
    <n v="412.09"/>
    <n v="968.94"/>
    <n v="815.10700000000008"/>
    <n v="1620.05"/>
    <s v="Medium"/>
    <n v="9.9000000000000005E-2"/>
    <n v="0"/>
    <n v="23"/>
    <n v="22285.620000000003"/>
    <n v="9478.07"/>
    <n v="12807.550000000003"/>
    <n v="0.57470018783412813"/>
  </r>
  <r>
    <s v="ORD-2025-725646"/>
    <m/>
    <x v="59"/>
    <d v="2454-06-12T00:00:00"/>
    <d v="2453-11-16T00:00:00"/>
    <d v="2453-11-16T00:00:00"/>
    <d v="1900-01-31T00:00:00"/>
    <s v="Sept-2025"/>
    <x v="2"/>
    <x v="0"/>
    <d v="1900-01-19T00:00:00"/>
    <d v="2025-09-30T00:00:00"/>
    <d v="2025-09-30T00:00:00"/>
    <x v="0"/>
    <x v="0"/>
    <s v="Mombasa"/>
    <s v="Corporate"/>
    <x v="4"/>
    <x v="4"/>
    <x v="3"/>
    <s v="PHN-6954"/>
    <n v="1009.48"/>
    <n v="1088.81"/>
    <n v="815.10700000000008"/>
    <n v="1620.05"/>
    <m/>
    <n v="0.16"/>
    <n v="0"/>
    <n v="6"/>
    <n v="6532.86"/>
    <n v="6056.88"/>
    <n v="475.97999999999956"/>
    <n v="7.2859360218954575E-2"/>
  </r>
  <r>
    <s v="ORD-2023-868734"/>
    <n v="1"/>
    <x v="89"/>
    <n v="202304"/>
    <n v="202301"/>
    <n v="202301"/>
    <n v="3"/>
    <s v="Apr-2023"/>
    <x v="8"/>
    <x v="0"/>
    <n v="21"/>
    <d v="2023-04-27T00:00:00"/>
    <d v="2023-04-27T00:00:00"/>
    <x v="3"/>
    <x v="8"/>
    <s v="Manchester"/>
    <s v="Enterprise"/>
    <x v="3"/>
    <x v="2"/>
    <x v="1"/>
    <s v="PRN-8970"/>
    <n v="1084.79"/>
    <n v="2484.9899999999998"/>
    <n v="815.10700000000008"/>
    <n v="1620.05"/>
    <s v="Medium"/>
    <n v="3.4000000000000002E-2"/>
    <n v="0"/>
    <n v="18"/>
    <n v="44729.819999999992"/>
    <n v="19526.22"/>
    <n v="25203.599999999991"/>
    <n v="0.56346303204439441"/>
  </r>
  <r>
    <s v="ORD-2025-262491"/>
    <n v="1"/>
    <x v="90"/>
    <n v="202508"/>
    <n v="202302"/>
    <n v="202302"/>
    <n v="30"/>
    <s v="Aug-2025"/>
    <x v="9"/>
    <x v="0"/>
    <n v="15"/>
    <d v="2025-08-16T00:00:00"/>
    <d v="2025-08-16T00:00:00"/>
    <x v="1"/>
    <x v="4"/>
    <s v="Bengaluru"/>
    <s v="Enterprise"/>
    <x v="4"/>
    <x v="7"/>
    <x v="5"/>
    <s v="MON-1822"/>
    <n v="24.44"/>
    <n v="28.69"/>
    <n v="815.10700000000008"/>
    <n v="1620.05"/>
    <s v="High"/>
    <n v="0.14599999999999999"/>
    <n v="0"/>
    <n v="6"/>
    <n v="172.14000000000001"/>
    <n v="146.64000000000001"/>
    <n v="25.5"/>
    <n v="0.14813523875914952"/>
  </r>
  <r>
    <s v="ORD-2024-638884"/>
    <n v="1"/>
    <x v="91"/>
    <n v="202405"/>
    <n v="202301"/>
    <n v="202301"/>
    <n v="16"/>
    <s v="May-2024"/>
    <x v="8"/>
    <x v="1"/>
    <n v="0"/>
    <d v="2024-05-28T00:00:00"/>
    <d v="2024-05-26T00:00:00"/>
    <x v="0"/>
    <x v="1"/>
    <s v="Abuja"/>
    <s v="Enterprise"/>
    <x v="1"/>
    <x v="9"/>
    <x v="6"/>
    <s v="ACC-5177"/>
    <n v="1227.08"/>
    <n v="1896.62"/>
    <n v="815.10700000000008"/>
    <n v="1620.05"/>
    <s v="Low"/>
    <n v="0"/>
    <n v="0"/>
    <n v="18"/>
    <n v="34139.159999999996"/>
    <n v="22087.439999999999"/>
    <n v="12051.719999999998"/>
    <n v="0.353017473189147"/>
  </r>
  <r>
    <s v="ORD-2025-541501"/>
    <n v="1"/>
    <x v="92"/>
    <n v="202507"/>
    <n v="202301"/>
    <n v="202301"/>
    <n v="30"/>
    <s v="Jul-2025"/>
    <x v="6"/>
    <x v="0"/>
    <n v="27"/>
    <d v="2025-08-18T00:00:00"/>
    <d v="2025-08-18T00:00:00"/>
    <x v="1"/>
    <x v="9"/>
    <s v="Shenzhen"/>
    <s v="Non-Profit"/>
    <x v="2"/>
    <x v="12"/>
    <x v="2"/>
    <s v="NET-1804"/>
    <n v="547.32000000000005"/>
    <n v="419.17"/>
    <n v="815.10700000000008"/>
    <n v="1620.05"/>
    <s v="High"/>
    <n v="9.1999999999999998E-2"/>
    <n v="0"/>
    <n v="14"/>
    <n v="5868.38"/>
    <n v="7662.4800000000005"/>
    <n v="-1794.1000000000004"/>
    <n v="-0.30572321492473226"/>
  </r>
  <r>
    <s v="ORD-2023-422918"/>
    <m/>
    <x v="2"/>
    <d v="2453-11-17T00:00:00"/>
    <d v="2453-11-16T00:00:00"/>
    <d v="2453-11-16T00:00:00"/>
    <d v="1899-12-31T00:00:00"/>
    <s v="Feb-2023"/>
    <x v="8"/>
    <x v="0"/>
    <d v="1900-01-19T00:00:00"/>
    <d v="2023-03-20T00:00:00"/>
    <d v="2023-03-20T00:00:00"/>
    <x v="3"/>
    <x v="6"/>
    <s v="Berlin"/>
    <s v="Small Business"/>
    <x v="4"/>
    <x v="10"/>
    <x v="4"/>
    <s v="LAP-3679"/>
    <n v="1200.78"/>
    <n v="2001.17"/>
    <n v="815.10700000000008"/>
    <n v="1620.05"/>
    <m/>
    <n v="0.29199999999999998"/>
    <n v="1"/>
    <n v="18"/>
    <n v="36021.06"/>
    <n v="21614.04"/>
    <n v="14407.019999999997"/>
    <n v="0.39996102280166096"/>
  </r>
  <r>
    <s v="ORD-2025-328504"/>
    <n v="1"/>
    <x v="93"/>
    <n v="202501"/>
    <n v="202301"/>
    <n v="202301"/>
    <n v="24"/>
    <s v="Jan-2025"/>
    <x v="3"/>
    <x v="0"/>
    <n v="19"/>
    <d v="2025-02-15T00:00:00"/>
    <d v="2025-02-15T00:00:00"/>
    <x v="1"/>
    <x v="9"/>
    <s v="Shenzhen"/>
    <s v="Non-Profit"/>
    <x v="4"/>
    <x v="4"/>
    <x v="3"/>
    <s v="PHN-8368"/>
    <n v="1253.22"/>
    <n v="3104.71"/>
    <n v="815.10700000000008"/>
    <n v="1620.05"/>
    <s v="High"/>
    <n v="0"/>
    <n v="0"/>
    <n v="17"/>
    <n v="52780.07"/>
    <n v="21304.74"/>
    <n v="31475.329999999998"/>
    <n v="0.59634877331538205"/>
  </r>
  <r>
    <s v="ORD-2024-851883"/>
    <n v="1"/>
    <x v="94"/>
    <n v="202401"/>
    <n v="202302"/>
    <n v="202302"/>
    <n v="11"/>
    <s v="Jan-2024"/>
    <x v="4"/>
    <x v="0"/>
    <n v="9"/>
    <d v="2024-01-22T00:00:00"/>
    <d v="2024-01-22T00:00:00"/>
    <x v="1"/>
    <x v="4"/>
    <s v="Mumbai"/>
    <s v="Enterprise"/>
    <x v="2"/>
    <x v="1"/>
    <x v="0"/>
    <s v="CMP-8141"/>
    <n v="313.60000000000002"/>
    <n v="334.28"/>
    <n v="815.10700000000008"/>
    <n v="1620.05"/>
    <s v="High"/>
    <n v="0.14000000000000001"/>
    <n v="0"/>
    <n v="22"/>
    <n v="7354.16"/>
    <n v="6899.2000000000007"/>
    <n v="454.95999999999913"/>
    <n v="6.1864305372741298E-2"/>
  </r>
  <r>
    <s v="ORD-2025-662997"/>
    <m/>
    <x v="95"/>
    <d v="2454-06-06T00:00:00"/>
    <d v="2453-11-16T00:00:00"/>
    <d v="2453-11-16T00:00:00"/>
    <d v="1900-01-25T00:00:00"/>
    <s v="Mar-2025"/>
    <x v="1"/>
    <x v="1"/>
    <d v="1900-01-03T00:00:00"/>
    <d v="2025-04-04T00:00:00"/>
    <d v="2025-04-04T00:00:00"/>
    <x v="0"/>
    <x v="0"/>
    <s v="Nakuru"/>
    <s v="Corporate"/>
    <x v="4"/>
    <x v="0"/>
    <x v="4"/>
    <s v="LAP-7136"/>
    <n v="862.08"/>
    <n v="1952.83"/>
    <n v="815.10700000000008"/>
    <n v="1620.05"/>
    <m/>
    <n v="0"/>
    <n v="0"/>
    <n v="7"/>
    <n v="13669.81"/>
    <n v="6034.56"/>
    <n v="7635.2499999999991"/>
    <n v="0.5585483631447693"/>
  </r>
  <r>
    <s v="ORD-2024-478165"/>
    <n v="1"/>
    <x v="96"/>
    <n v="202412"/>
    <n v="202301"/>
    <n v="202301"/>
    <n v="23"/>
    <s v="Dec-2024"/>
    <x v="4"/>
    <x v="0"/>
    <n v="23"/>
    <d v="2024-12-28T00:00:00"/>
    <d v="2024-12-28T00:00:00"/>
    <x v="2"/>
    <x v="3"/>
    <s v="Vancouver"/>
    <s v="Corporate"/>
    <x v="4"/>
    <x v="9"/>
    <x v="6"/>
    <s v="ACC-2386"/>
    <n v="107.03"/>
    <n v="242.29"/>
    <n v="815.10700000000008"/>
    <n v="1620.05"/>
    <s v="High"/>
    <n v="0.18"/>
    <n v="0"/>
    <n v="30"/>
    <n v="7268.7"/>
    <n v="3210.9"/>
    <n v="4057.7999999999997"/>
    <n v="0.55825663461141606"/>
  </r>
  <r>
    <s v="ORD-2024-771210"/>
    <n v="1"/>
    <x v="97"/>
    <n v="202409"/>
    <n v="202301"/>
    <n v="202301"/>
    <n v="20"/>
    <s v="Sept-2024"/>
    <x v="2"/>
    <x v="0"/>
    <n v="21"/>
    <d v="2024-10-05T00:00:00"/>
    <d v="2024-10-05T00:00:00"/>
    <x v="1"/>
    <x v="9"/>
    <s v="Shanghai"/>
    <s v="Small Business"/>
    <x v="1"/>
    <x v="10"/>
    <x v="4"/>
    <s v="LAP-5150"/>
    <n v="1405.56"/>
    <n v="2968.87"/>
    <n v="815.10700000000008"/>
    <n v="1620.05"/>
    <s v="Low"/>
    <n v="0.16900000000000001"/>
    <n v="0"/>
    <n v="5"/>
    <n v="14844.349999999999"/>
    <n v="7027.7999999999993"/>
    <n v="7816.5499999999993"/>
    <n v="0.52656734717249321"/>
  </r>
  <r>
    <s v="ORD-2024-155337"/>
    <m/>
    <x v="98"/>
    <d v="2454-02-28T00:00:00"/>
    <d v="2453-11-16T00:00:00"/>
    <d v="2453-11-16T00:00:00"/>
    <d v="1900-01-15T00:00:00"/>
    <s v="May-2024"/>
    <x v="10"/>
    <x v="1"/>
    <d v="1900-01-05T00:00:00"/>
    <d v="2024-05-27T00:00:00"/>
    <d v="2024-05-27T00:00:00"/>
    <x v="0"/>
    <x v="11"/>
    <s v="Johannesburg"/>
    <s v="Non-Profit"/>
    <x v="1"/>
    <x v="12"/>
    <x v="0"/>
    <s v="CMP-8101"/>
    <n v="1157.51"/>
    <n v="1394.3"/>
    <n v="815.10700000000008"/>
    <n v="1620.05"/>
    <m/>
    <n v="0.27800000000000002"/>
    <n v="1"/>
    <n v="12"/>
    <n v="16731.599999999999"/>
    <n v="13890.119999999999"/>
    <n v="2841.4799999999996"/>
    <n v="0.1698271534103134"/>
  </r>
  <r>
    <s v="ORD-2023-251563"/>
    <m/>
    <x v="20"/>
    <d v="2453-11-20T00:00:00"/>
    <d v="2453-11-16T00:00:00"/>
    <d v="2453-11-16T00:00:00"/>
    <d v="1900-01-03T00:00:00"/>
    <s v="May-2023"/>
    <x v="6"/>
    <x v="0"/>
    <d v="1900-01-26T00:00:00"/>
    <d v="2023-06-07T00:00:00"/>
    <d v="2023-06-07T00:00:00"/>
    <x v="0"/>
    <x v="0"/>
    <s v="Mombasa"/>
    <s v="Corporate"/>
    <x v="1"/>
    <x v="1"/>
    <x v="3"/>
    <s v="PHN-8970"/>
    <n v="12.85"/>
    <n v="15.41"/>
    <n v="815.10700000000008"/>
    <n v="1620.05"/>
    <m/>
    <n v="0.13700000000000001"/>
    <n v="0"/>
    <n v="39"/>
    <n v="600.99"/>
    <n v="501.15"/>
    <n v="99.840000000000032"/>
    <n v="0.16612589227774177"/>
  </r>
  <r>
    <s v="ORD-2024-286833"/>
    <n v="1"/>
    <x v="99"/>
    <n v="202408"/>
    <n v="202301"/>
    <n v="202301"/>
    <n v="19"/>
    <s v="Aug-2024"/>
    <x v="9"/>
    <x v="0"/>
    <n v="21"/>
    <d v="2024-09-04T00:00:00"/>
    <d v="2024-09-04T00:00:00"/>
    <x v="3"/>
    <x v="8"/>
    <s v="Null"/>
    <s v="Non-Profit"/>
    <x v="1"/>
    <x v="1"/>
    <x v="3"/>
    <s v="PHN-2341"/>
    <n v="1138.8"/>
    <n v="2250.81"/>
    <n v="815.10700000000008"/>
    <n v="1620.05"/>
    <s v="Low"/>
    <n v="0.123"/>
    <n v="0"/>
    <n v="12"/>
    <n v="27009.72"/>
    <n v="13665.599999999999"/>
    <n v="13344.120000000003"/>
    <n v="0.49404880909539239"/>
  </r>
  <r>
    <s v="ORD-2024-792558"/>
    <m/>
    <x v="100"/>
    <d v="2454-03-05T00:00:00"/>
    <d v="2453-11-18T00:00:00"/>
    <d v="2453-11-18T00:00:00"/>
    <d v="1900-01-18T00:00:00"/>
    <s v="Oct-2024"/>
    <x v="10"/>
    <x v="0"/>
    <d v="1900-01-22T00:00:00"/>
    <d v="2024-11-08T00:00:00"/>
    <d v="2024-11-08T00:00:00"/>
    <x v="1"/>
    <x v="2"/>
    <s v="Osaka"/>
    <s v="Small Business"/>
    <x v="0"/>
    <x v="1"/>
    <x v="2"/>
    <s v="NET-6387"/>
    <n v="82.14"/>
    <n v="166.04"/>
    <n v="815.10700000000008"/>
    <n v="1620.05"/>
    <m/>
    <n v="0"/>
    <n v="0"/>
    <n v="10"/>
    <n v="1660.3999999999999"/>
    <n v="821.4"/>
    <n v="838.99999999999989"/>
    <n v="0.50529992772825827"/>
  </r>
  <r>
    <s v="ORD-2024-166150"/>
    <m/>
    <x v="101"/>
    <d v="2454-03-01T00:00:00"/>
    <d v="2453-11-16T00:00:00"/>
    <d v="2453-11-16T00:00:00"/>
    <d v="1900-01-16T00:00:00"/>
    <s v="Jun-2024"/>
    <x v="2"/>
    <x v="1"/>
    <d v="1900-01-05T00:00:00"/>
    <d v="2024-06-08T00:00:00"/>
    <d v="2024-06-08T00:00:00"/>
    <x v="0"/>
    <x v="0"/>
    <s v="Kisumu"/>
    <s v="Consumer"/>
    <x v="2"/>
    <x v="8"/>
    <x v="6"/>
    <s v="ACC-9820"/>
    <n v="292.94"/>
    <n v="356.55"/>
    <n v="815.10700000000008"/>
    <n v="1620.05"/>
    <m/>
    <n v="0.22900000000000001"/>
    <n v="1"/>
    <n v="2"/>
    <n v="713.1"/>
    <n v="585.88"/>
    <n v="127.22000000000003"/>
    <n v="0.17840415089047823"/>
  </r>
  <r>
    <s v="ORD-2024-909942"/>
    <n v="1"/>
    <x v="102"/>
    <n v="202406"/>
    <n v="202301"/>
    <n v="202301"/>
    <n v="17"/>
    <s v="Jun-2024"/>
    <x v="6"/>
    <x v="0"/>
    <n v="28"/>
    <d v="2024-07-07T00:00:00"/>
    <d v="2024-07-07T00:00:00"/>
    <x v="1"/>
    <x v="9"/>
    <s v="Shenzhen"/>
    <s v="Corporate"/>
    <x v="1"/>
    <x v="1"/>
    <x v="0"/>
    <s v="CMP-6392"/>
    <n v="550.22"/>
    <n v="1025.05"/>
    <n v="815.10700000000008"/>
    <n v="1620.05"/>
    <s v="Low"/>
    <n v="0"/>
    <n v="0"/>
    <n v="27"/>
    <n v="27676.35"/>
    <n v="14855.94"/>
    <n v="12820.409999999998"/>
    <n v="0.46322618408858102"/>
  </r>
  <r>
    <s v="ORD-2024-223618"/>
    <n v="1"/>
    <x v="103"/>
    <n v="202406"/>
    <n v="202301"/>
    <n v="202301"/>
    <n v="17"/>
    <s v="Jun-2024"/>
    <x v="6"/>
    <x v="1"/>
    <n v="1"/>
    <d v="2024-06-11T00:00:00"/>
    <d v="2024-06-11T00:00:00"/>
    <x v="3"/>
    <x v="8"/>
    <s v="Birmingham"/>
    <s v="Small Business"/>
    <x v="2"/>
    <x v="12"/>
    <x v="4"/>
    <s v="LAP-9230"/>
    <n v="1187.1300000000001"/>
    <n v="1795.17"/>
    <n v="815.10700000000008"/>
    <n v="1620.05"/>
    <s v="Medium"/>
    <n v="1.2E-2"/>
    <n v="0"/>
    <n v="17"/>
    <n v="30517.89"/>
    <n v="20181.210000000003"/>
    <n v="10336.679999999997"/>
    <n v="0.33870886879794104"/>
  </r>
  <r>
    <s v="ORD-2024-919471"/>
    <m/>
    <x v="104"/>
    <d v="2454-03-01T00:00:00"/>
    <d v="2453-11-16T00:00:00"/>
    <d v="2453-11-16T00:00:00"/>
    <d v="1900-01-16T00:00:00"/>
    <s v="Jun-2024"/>
    <x v="6"/>
    <x v="0"/>
    <d v="1900-01-26T00:00:00"/>
    <d v="2024-07-26T00:00:00"/>
    <d v="2024-07-26T00:00:00"/>
    <x v="0"/>
    <x v="11"/>
    <s v="Durban"/>
    <s v="Enterprise"/>
    <x v="3"/>
    <x v="5"/>
    <x v="2"/>
    <s v="NET-4241"/>
    <n v="5.36"/>
    <n v="4.37"/>
    <n v="815.10700000000008"/>
    <n v="1620.05"/>
    <m/>
    <n v="0.11799999999999999"/>
    <n v="0"/>
    <n v="9"/>
    <n v="39.33"/>
    <n v="48.24"/>
    <n v="-8.9100000000000037"/>
    <n v="-0.22654462242562939"/>
  </r>
  <r>
    <s v="ORD-2025-649239"/>
    <m/>
    <x v="105"/>
    <d v="2454-06-04T00:00:00"/>
    <d v="2453-11-16T00:00:00"/>
    <d v="2453-11-16T00:00:00"/>
    <d v="1900-01-23T00:00:00"/>
    <s v="Jan-2025"/>
    <x v="6"/>
    <x v="1"/>
    <d v="1900-01-06T00:00:00"/>
    <d v="2025-01-24T00:00:00"/>
    <d v="2025-01-24T00:00:00"/>
    <x v="2"/>
    <x v="10"/>
    <s v="Austin"/>
    <s v="Enterprise"/>
    <x v="1"/>
    <x v="3"/>
    <x v="6"/>
    <s v="ACC-4511"/>
    <n v="142.09"/>
    <n v="218.5"/>
    <n v="815.10700000000008"/>
    <n v="1620.05"/>
    <m/>
    <n v="0.11899999999999999"/>
    <n v="0"/>
    <n v="11"/>
    <n v="2403.5"/>
    <n v="1562.99"/>
    <n v="840.51"/>
    <n v="0.34970251716247142"/>
  </r>
  <r>
    <s v="ORD-2023-975863"/>
    <m/>
    <x v="106"/>
    <d v="2453-11-26T00:00:00"/>
    <d v="2453-11-18T00:00:00"/>
    <d v="2453-11-18T00:00:00"/>
    <d v="1900-01-07T00:00:00"/>
    <s v="Nov-2023"/>
    <x v="4"/>
    <x v="0"/>
    <d v="1900-01-14T00:00:00"/>
    <d v="2023-12-05T00:00:00"/>
    <d v="2023-12-05T00:00:00"/>
    <x v="1"/>
    <x v="2"/>
    <s v="Tokyo"/>
    <s v="Enterprise"/>
    <x v="0"/>
    <x v="4"/>
    <x v="2"/>
    <s v="NET-3033"/>
    <n v="354.24"/>
    <n v="249.87"/>
    <n v="815.10700000000008"/>
    <n v="1620.05"/>
    <m/>
    <n v="0"/>
    <n v="0"/>
    <n v="6"/>
    <n v="1499.22"/>
    <n v="2125.44"/>
    <n v="-626.22"/>
    <n v="-0.41769720254532355"/>
  </r>
  <r>
    <s v="ORD-2023-869884"/>
    <n v="1"/>
    <x v="107"/>
    <n v="202303"/>
    <n v="202301"/>
    <n v="202301"/>
    <n v="2"/>
    <s v="Mar-2023"/>
    <x v="5"/>
    <x v="1"/>
    <n v="3"/>
    <d v="2023-03-05T00:00:00"/>
    <d v="2023-03-05T00:00:00"/>
    <x v="2"/>
    <x v="5"/>
    <s v="Brasília"/>
    <s v="Enterprise"/>
    <x v="4"/>
    <x v="3"/>
    <x v="5"/>
    <s v="MON-2828"/>
    <n v="1473.58"/>
    <n v="3436.52"/>
    <n v="815.10700000000008"/>
    <n v="1620.05"/>
    <s v="Low"/>
    <n v="0.108"/>
    <n v="0"/>
    <n v="8"/>
    <n v="27492.16"/>
    <n v="11788.64"/>
    <n v="15703.52"/>
    <n v="0.57119993481778075"/>
  </r>
  <r>
    <s v="ORD-2025-698069"/>
    <n v="1"/>
    <x v="108"/>
    <n v="202506"/>
    <n v="202301"/>
    <n v="202301"/>
    <n v="29"/>
    <s v="Jun-2025"/>
    <x v="3"/>
    <x v="1"/>
    <n v="7"/>
    <d v="2025-06-10T00:00:00"/>
    <d v="2025-06-10T00:00:00"/>
    <x v="2"/>
    <x v="3"/>
    <s v="Toronto"/>
    <s v="Consumer"/>
    <x v="3"/>
    <x v="7"/>
    <x v="1"/>
    <s v="PRN-6429"/>
    <n v="75.180000000000007"/>
    <n v="53.45"/>
    <n v="815.10700000000008"/>
    <n v="1620.05"/>
    <s v="High"/>
    <n v="0.157"/>
    <n v="0"/>
    <n v="17"/>
    <n v="908.65000000000009"/>
    <n v="1278.0600000000002"/>
    <n v="-369.41000000000008"/>
    <n v="-0.40654817586529474"/>
  </r>
  <r>
    <s v="ORD-2024-474999"/>
    <m/>
    <x v="6"/>
    <d v="2454-03-07T00:00:00"/>
    <d v="2453-11-16T00:00:00"/>
    <d v="2453-11-16T00:00:00"/>
    <d v="1900-01-22T00:00:00"/>
    <s v="Dec-2024"/>
    <x v="7"/>
    <x v="1"/>
    <d v="1900-01-05T00:00:00"/>
    <d v="2025-01-02T00:00:00"/>
    <d v="2025-01-02T00:00:00"/>
    <x v="3"/>
    <x v="6"/>
    <s v="Frankfurt"/>
    <s v="Education"/>
    <x v="4"/>
    <x v="9"/>
    <x v="4"/>
    <s v="LAP-8214"/>
    <n v="1391.99"/>
    <n v="3469.7"/>
    <n v="815.10700000000008"/>
    <n v="1620.05"/>
    <m/>
    <n v="0.184"/>
    <n v="0"/>
    <n v="23"/>
    <n v="79803.099999999991"/>
    <n v="32015.77"/>
    <n v="47787.329999999987"/>
    <n v="0.59881545954981685"/>
  </r>
  <r>
    <s v="ORD-2023-427304"/>
    <n v="1"/>
    <x v="109"/>
    <n v="202306"/>
    <n v="202301"/>
    <n v="202301"/>
    <n v="5"/>
    <s v="Jun-2023"/>
    <x v="2"/>
    <x v="0"/>
    <n v="10"/>
    <d v="2023-06-19T00:00:00"/>
    <d v="2023-06-19T00:00:00"/>
    <x v="1"/>
    <x v="9"/>
    <s v="Beijing"/>
    <s v="Enterprise"/>
    <x v="0"/>
    <x v="9"/>
    <x v="5"/>
    <s v="MON-9194"/>
    <n v="339.61"/>
    <n v="621.02"/>
    <n v="815.10700000000008"/>
    <n v="1620.05"/>
    <s v="High"/>
    <n v="7.0999999999999994E-2"/>
    <n v="0"/>
    <n v="10"/>
    <n v="6210.2"/>
    <n v="3396.1000000000004"/>
    <n v="2814.0999999999995"/>
    <n v="0.45314160574538653"/>
  </r>
  <r>
    <s v="ORD-2025-956101"/>
    <n v="1"/>
    <x v="110"/>
    <n v="202507"/>
    <n v="202301"/>
    <n v="202301"/>
    <n v="30"/>
    <s v="Jul-2025"/>
    <x v="9"/>
    <x v="0"/>
    <n v="9"/>
    <d v="2025-07-18T00:00:00"/>
    <d v="2025-07-18T00:00:00"/>
    <x v="2"/>
    <x v="3"/>
    <s v="Vancouver"/>
    <s v="Education"/>
    <x v="3"/>
    <x v="2"/>
    <x v="4"/>
    <s v="LAP-2218"/>
    <n v="57.96"/>
    <n v="88.51"/>
    <n v="815.10700000000008"/>
    <n v="1620.05"/>
    <s v="Low"/>
    <n v="4.2999999999999997E-2"/>
    <n v="0"/>
    <n v="7"/>
    <n v="619.57000000000005"/>
    <n v="405.72"/>
    <n v="213.85000000000002"/>
    <n v="0.34515873912552253"/>
  </r>
  <r>
    <s v="ORD-2025-184082"/>
    <n v="1"/>
    <x v="111"/>
    <n v="202506"/>
    <n v="202301"/>
    <n v="202301"/>
    <n v="29"/>
    <s v="Jun-2025"/>
    <x v="8"/>
    <x v="0"/>
    <n v="23"/>
    <d v="2025-07-12T00:00:00"/>
    <d v="2025-07-12T00:00:00"/>
    <x v="3"/>
    <x v="8"/>
    <s v="Manchester"/>
    <s v="Non-Profit"/>
    <x v="4"/>
    <x v="15"/>
    <x v="2"/>
    <s v="NET-6370"/>
    <n v="801.24"/>
    <n v="1959.09"/>
    <n v="815.10700000000008"/>
    <n v="1620.05"/>
    <s v="Low"/>
    <n v="0.123"/>
    <n v="0"/>
    <n v="23"/>
    <n v="45059.07"/>
    <n v="18428.52"/>
    <n v="26630.55"/>
    <n v="0.59101419536621591"/>
  </r>
  <r>
    <s v="ORD-2023-576840"/>
    <m/>
    <x v="112"/>
    <d v="2453-11-26T00:00:00"/>
    <d v="2453-11-16T00:00:00"/>
    <d v="2453-11-16T00:00:00"/>
    <d v="1900-01-09T00:00:00"/>
    <s v="Nov-2023"/>
    <x v="7"/>
    <x v="0"/>
    <d v="1900-01-23T00:00:00"/>
    <d v="2023-12-13T00:00:00"/>
    <d v="2023-12-13T00:00:00"/>
    <x v="3"/>
    <x v="7"/>
    <s v="Lyon"/>
    <s v="Non-Profit"/>
    <x v="4"/>
    <x v="10"/>
    <x v="5"/>
    <s v="MON-3745"/>
    <n v="1297.42"/>
    <n v="2742.97"/>
    <n v="815.10700000000008"/>
    <n v="1620.05"/>
    <m/>
    <n v="6.9000000000000006E-2"/>
    <n v="0"/>
    <n v="9"/>
    <n v="24686.73"/>
    <n v="11676.78"/>
    <n v="13009.949999999999"/>
    <n v="0.52700175357368106"/>
  </r>
  <r>
    <s v="ORD-2023-178249"/>
    <m/>
    <x v="113"/>
    <d v="2453-11-27T00:00:00"/>
    <d v="2453-11-16T00:00:00"/>
    <d v="2453-11-16T00:00:00"/>
    <d v="1900-01-10T00:00:00"/>
    <s v="Dec-2023"/>
    <x v="5"/>
    <x v="0"/>
    <d v="1900-01-21T00:00:00"/>
    <d v="2024-01-20T00:00:00"/>
    <d v="2024-01-20T00:00:00"/>
    <x v="0"/>
    <x v="0"/>
    <s v="Kisumu"/>
    <s v="Corporate"/>
    <x v="4"/>
    <x v="4"/>
    <x v="3"/>
    <s v="PHN-7924"/>
    <n v="1395.49"/>
    <n v="1679.42"/>
    <n v="815.10700000000008"/>
    <n v="1620.05"/>
    <m/>
    <n v="0.20300000000000001"/>
    <n v="1"/>
    <n v="12"/>
    <n v="20153.04"/>
    <n v="16745.88"/>
    <n v="3407.16"/>
    <n v="0.16906431982470138"/>
  </r>
  <r>
    <s v="ORD-2024-588972"/>
    <n v="1"/>
    <x v="61"/>
    <n v="202411"/>
    <n v="202301"/>
    <n v="202301"/>
    <n v="22"/>
    <s v="Nov-2024"/>
    <x v="5"/>
    <x v="0"/>
    <n v="27"/>
    <d v="2024-11-29T00:00:00"/>
    <d v="2024-11-29T00:00:00"/>
    <x v="2"/>
    <x v="5"/>
    <s v="Brasília"/>
    <s v="Small Business"/>
    <x v="4"/>
    <x v="2"/>
    <x v="2"/>
    <s v="NET-8561"/>
    <n v="1363.51"/>
    <n v="1433.9"/>
    <n v="815.10700000000008"/>
    <n v="1620.05"/>
    <s v="High"/>
    <n v="5.7000000000000002E-2"/>
    <n v="0"/>
    <n v="8"/>
    <n v="11471.2"/>
    <n v="10908.08"/>
    <n v="563.1200000000008"/>
    <n v="4.9089894692795941E-2"/>
  </r>
  <r>
    <s v="ORD-2023-603238"/>
    <n v="1"/>
    <x v="114"/>
    <n v="202308"/>
    <n v="202301"/>
    <n v="202301"/>
    <n v="7"/>
    <s v="Aug-2023"/>
    <x v="2"/>
    <x v="0"/>
    <n v="14"/>
    <d v="2023-09-04T00:00:00"/>
    <d v="2023-09-04T00:00:00"/>
    <x v="2"/>
    <x v="3"/>
    <s v="Montreal"/>
    <s v="Education"/>
    <x v="3"/>
    <x v="9"/>
    <x v="0"/>
    <s v="CMP-2136"/>
    <n v="178.19"/>
    <n v="284.43"/>
    <n v="815.10700000000008"/>
    <n v="1620.05"/>
    <s v="Medium"/>
    <n v="8.8999999999999996E-2"/>
    <n v="0"/>
    <n v="8"/>
    <n v="2275.44"/>
    <n v="1425.52"/>
    <n v="849.92000000000007"/>
    <n v="0.37351896776008159"/>
  </r>
  <r>
    <s v="ORD-2023-883066"/>
    <n v="1"/>
    <x v="115"/>
    <n v="202308"/>
    <n v="202301"/>
    <n v="202301"/>
    <n v="7"/>
    <s v="Aug-2023"/>
    <x v="11"/>
    <x v="0"/>
    <n v="25"/>
    <d v="2023-09-06T00:00:00"/>
    <d v="2023-09-06T00:00:00"/>
    <x v="1"/>
    <x v="9"/>
    <s v="Shanghai"/>
    <s v="Small Business"/>
    <x v="0"/>
    <x v="5"/>
    <x v="0"/>
    <s v="CMP-6352"/>
    <n v="950.77"/>
    <n v="694.78"/>
    <n v="815.10700000000008"/>
    <n v="1620.05"/>
    <s v="Low"/>
    <n v="8.4000000000000005E-2"/>
    <n v="0"/>
    <n v="14"/>
    <n v="9726.92"/>
    <n v="13310.779999999999"/>
    <n v="-3583.8599999999988"/>
    <n v="-0.36844756613604296"/>
  </r>
  <r>
    <s v="ORD-2024-584090"/>
    <m/>
    <x v="116"/>
    <d v="2454-03-01T00:00:00"/>
    <d v="2453-11-16T00:00:00"/>
    <d v="2453-11-16T00:00:00"/>
    <d v="1900-01-16T00:00:00"/>
    <s v="Jun-2024"/>
    <x v="11"/>
    <x v="0"/>
    <d v="1900-01-18T00:00:00"/>
    <d v="2024-06-26T00:00:00"/>
    <d v="2024-06-26T00:00:00"/>
    <x v="3"/>
    <x v="6"/>
    <s v="Berlin"/>
    <s v="Non-Profit"/>
    <x v="2"/>
    <x v="12"/>
    <x v="0"/>
    <s v="CMP-2040"/>
    <n v="1064.32"/>
    <n v="1848.39"/>
    <n v="815.10700000000008"/>
    <n v="1620.05"/>
    <m/>
    <n v="7.2999999999999995E-2"/>
    <n v="0"/>
    <n v="38"/>
    <n v="70238.820000000007"/>
    <n v="40444.159999999996"/>
    <n v="29794.660000000011"/>
    <n v="0.42419078224833517"/>
  </r>
  <r>
    <s v="ORD-2025-537785"/>
    <n v="1"/>
    <x v="117"/>
    <n v="202508"/>
    <n v="202301"/>
    <n v="202301"/>
    <n v="31"/>
    <s v="Aug-2025"/>
    <x v="6"/>
    <x v="0"/>
    <n v="9"/>
    <d v="2025-08-14T00:00:00"/>
    <d v="2025-08-14T00:00:00"/>
    <x v="3"/>
    <x v="8"/>
    <s v="London"/>
    <s v="Non-Profit"/>
    <x v="4"/>
    <x v="6"/>
    <x v="0"/>
    <s v="CMP-6346"/>
    <n v="41.76"/>
    <n v="45.19"/>
    <n v="815.10700000000008"/>
    <n v="1620.05"/>
    <s v="High"/>
    <n v="0.17899999999999999"/>
    <n v="0"/>
    <n v="23"/>
    <n v="1039.3699999999999"/>
    <n v="960.4799999999999"/>
    <n v="78.889999999999986"/>
    <n v="7.5901748174374853E-2"/>
  </r>
  <r>
    <s v="ORD-2024-605518"/>
    <m/>
    <x v="118"/>
    <d v="2454-02-28T00:00:00"/>
    <d v="2453-11-16T00:00:00"/>
    <d v="2453-11-16T00:00:00"/>
    <d v="1900-01-15T00:00:00"/>
    <s v="May-2024"/>
    <x v="8"/>
    <x v="0"/>
    <d v="1900-01-13T00:00:00"/>
    <d v="2024-06-13T00:00:00"/>
    <d v="2024-06-13T00:00:00"/>
    <x v="2"/>
    <x v="10"/>
    <s v="San Francisco"/>
    <s v="Small Business"/>
    <x v="0"/>
    <x v="9"/>
    <x v="3"/>
    <s v="PHN-4356"/>
    <n v="157.78"/>
    <n v="361.1"/>
    <n v="815.10700000000008"/>
    <n v="1620.05"/>
    <m/>
    <n v="0.187"/>
    <n v="0"/>
    <n v="9"/>
    <n v="3249.9"/>
    <n v="1420.02"/>
    <n v="1829.88"/>
    <n v="0.56305732484076432"/>
  </r>
  <r>
    <s v="ORD-2023-521818"/>
    <m/>
    <x v="119"/>
    <d v="2453-11-16T00:00:00"/>
    <d v="2453-11-16T00:00:00"/>
    <d v="2453-11-16T00:00:00"/>
    <d v="1899-12-30T00:00:00"/>
    <s v="Jan-2023"/>
    <x v="6"/>
    <x v="0"/>
    <d v="1900-01-07T00:00:00"/>
    <d v="2023-01-30T00:00:00"/>
    <d v="2023-01-30T00:00:00"/>
    <x v="2"/>
    <x v="10"/>
    <s v="San Francisco"/>
    <s v="Small Business"/>
    <x v="1"/>
    <x v="8"/>
    <x v="2"/>
    <s v="NET-4155"/>
    <n v="413.52"/>
    <n v="1004.34"/>
    <n v="815.10700000000008"/>
    <n v="1620.05"/>
    <m/>
    <n v="0.111"/>
    <n v="0"/>
    <n v="18"/>
    <n v="18078.12"/>
    <n v="7443.36"/>
    <n v="10634.759999999998"/>
    <n v="0.5882669215604277"/>
  </r>
  <r>
    <s v="ORD-2025-650719"/>
    <n v="1"/>
    <x v="120"/>
    <n v="202502"/>
    <n v="202301"/>
    <n v="202301"/>
    <n v="25"/>
    <s v="Feb-2025"/>
    <x v="3"/>
    <x v="0"/>
    <n v="16"/>
    <d v="2025-02-28T00:00:00"/>
    <d v="2025-02-28T00:00:00"/>
    <x v="2"/>
    <x v="5"/>
    <s v="São Paulo"/>
    <s v="Non-Profit"/>
    <x v="4"/>
    <x v="5"/>
    <x v="5"/>
    <s v="MON-5179"/>
    <n v="414.95"/>
    <n v="1027.73"/>
    <n v="815.10700000000008"/>
    <n v="1620.05"/>
    <s v="Medium"/>
    <n v="6.3E-2"/>
    <n v="0"/>
    <n v="8"/>
    <n v="8221.84"/>
    <n v="3319.6"/>
    <n v="4902.24"/>
    <n v="0.59624609576445176"/>
  </r>
  <r>
    <s v="ORD-2025-501927"/>
    <n v="1"/>
    <x v="121"/>
    <n v="202503"/>
    <n v="202301"/>
    <n v="202301"/>
    <n v="26"/>
    <s v="Mar-2025"/>
    <x v="4"/>
    <x v="0"/>
    <n v="21"/>
    <d v="2025-03-24T00:00:00"/>
    <d v="2025-03-24T00:00:00"/>
    <x v="0"/>
    <x v="1"/>
    <s v="Abuja"/>
    <s v="Enterprise"/>
    <x v="4"/>
    <x v="10"/>
    <x v="6"/>
    <s v="ACC-4056"/>
    <n v="555.95000000000005"/>
    <n v="468.09"/>
    <n v="815.10700000000008"/>
    <n v="1620.05"/>
    <s v="Medium"/>
    <n v="0.14199999999999999"/>
    <n v="0"/>
    <n v="11"/>
    <n v="5148.99"/>
    <n v="6115.4500000000007"/>
    <n v="-966.46000000000095"/>
    <n v="-0.18769894678373836"/>
  </r>
  <r>
    <s v="ORD-2023-430904"/>
    <n v="1"/>
    <x v="122"/>
    <n v="202301"/>
    <n v="202301"/>
    <n v="202301"/>
    <n v="0"/>
    <s v="Jan-2023"/>
    <x v="4"/>
    <x v="1"/>
    <n v="4"/>
    <d v="2023-01-31T00:00:00"/>
    <d v="2023-01-31T00:00:00"/>
    <x v="3"/>
    <x v="8"/>
    <s v="Manchester"/>
    <s v="Enterprise"/>
    <x v="1"/>
    <x v="13"/>
    <x v="4"/>
    <s v="LAP-9782"/>
    <n v="941.2"/>
    <n v="668.02"/>
    <n v="815.10700000000008"/>
    <n v="1620.05"/>
    <s v="Low"/>
    <n v="0.22"/>
    <n v="1"/>
    <n v="16"/>
    <n v="10688.32"/>
    <n v="15059.2"/>
    <n v="-4370.880000000001"/>
    <n v="-0.40893985210023664"/>
  </r>
  <r>
    <s v="ORD-2025-354346"/>
    <n v="1"/>
    <x v="123"/>
    <n v="202501"/>
    <n v="202301"/>
    <n v="202301"/>
    <n v="24"/>
    <s v="Jan-2025"/>
    <x v="3"/>
    <x v="1"/>
    <n v="6"/>
    <d v="2025-01-15T00:00:00"/>
    <d v="2025-01-15T00:00:00"/>
    <x v="1"/>
    <x v="9"/>
    <s v="Beijing"/>
    <s v="Education"/>
    <x v="1"/>
    <x v="0"/>
    <x v="3"/>
    <s v="PHN-2875"/>
    <n v="304.77999999999997"/>
    <n v="537.27"/>
    <n v="815.10700000000008"/>
    <n v="1620.05"/>
    <s v="Low"/>
    <n v="0.187"/>
    <n v="0"/>
    <n v="8"/>
    <n v="4298.16"/>
    <n v="2438.2399999999998"/>
    <n v="1859.92"/>
    <n v="0.43272470080220377"/>
  </r>
  <r>
    <s v="ORD-2024-164288"/>
    <m/>
    <x v="124"/>
    <d v="2454-03-07T00:00:00"/>
    <d v="2453-11-16T00:00:00"/>
    <d v="2453-11-16T00:00:00"/>
    <d v="1900-01-22T00:00:00"/>
    <s v="Dec-2024"/>
    <x v="4"/>
    <x v="1"/>
    <d v="1900-01-04T00:00:00"/>
    <d v="2024-12-26T00:00:00"/>
    <d v="2024-12-26T00:00:00"/>
    <x v="2"/>
    <x v="10"/>
    <s v="San Francisco"/>
    <s v="Consumer"/>
    <x v="2"/>
    <x v="12"/>
    <x v="1"/>
    <s v="PRN-4788"/>
    <n v="699.57"/>
    <n v="572.71"/>
    <n v="815.10700000000008"/>
    <n v="1620.05"/>
    <m/>
    <n v="0.192"/>
    <n v="0"/>
    <n v="26"/>
    <n v="14890.460000000001"/>
    <n v="18188.82"/>
    <n v="-3298.3599999999988"/>
    <n v="-0.22150826770966098"/>
  </r>
  <r>
    <s v="ORD-2023-867285"/>
    <m/>
    <x v="125"/>
    <d v="2453-11-19T00:00:00"/>
    <d v="2453-11-16T00:00:00"/>
    <d v="2453-11-16T00:00:00"/>
    <d v="1900-01-02T00:00:00"/>
    <s v="Apr-2023"/>
    <x v="2"/>
    <x v="1"/>
    <d v="1900-01-04T00:00:00"/>
    <d v="2023-04-17T00:00:00"/>
    <d v="2023-04-17T00:00:00"/>
    <x v="3"/>
    <x v="7"/>
    <s v="Lyon"/>
    <s v="Enterprise"/>
    <x v="4"/>
    <x v="6"/>
    <x v="5"/>
    <s v="MON-3043"/>
    <n v="1087.81"/>
    <n v="2323.87"/>
    <n v="815.10700000000008"/>
    <n v="1620.05"/>
    <m/>
    <n v="9.4E-2"/>
    <n v="0"/>
    <n v="13"/>
    <n v="30210.309999999998"/>
    <n v="14141.529999999999"/>
    <n v="16068.779999999999"/>
    <n v="0.53189722316652821"/>
  </r>
  <r>
    <s v="ORD-2024-836421"/>
    <n v="1"/>
    <x v="126"/>
    <n v="202412"/>
    <n v="202301"/>
    <n v="202301"/>
    <n v="23"/>
    <s v="Dec-2024"/>
    <x v="9"/>
    <x v="0"/>
    <n v="29"/>
    <d v="2025-01-12T00:00:00"/>
    <d v="2025-01-12T00:00:00"/>
    <x v="1"/>
    <x v="9"/>
    <s v="Shenzhen"/>
    <s v="Education"/>
    <x v="1"/>
    <x v="1"/>
    <x v="0"/>
    <s v="CMP-3720"/>
    <n v="1412.15"/>
    <n v="1631.04"/>
    <n v="815.10700000000008"/>
    <n v="1620.05"/>
    <s v="High"/>
    <n v="8.9999999999999993E-3"/>
    <n v="0"/>
    <n v="6"/>
    <n v="9786.24"/>
    <n v="8472.9000000000015"/>
    <n v="1313.3399999999983"/>
    <n v="0.13420271728467709"/>
  </r>
  <r>
    <s v="ORD-2023-613287"/>
    <m/>
    <x v="50"/>
    <d v="2453-11-18T00:00:00"/>
    <d v="2453-11-16T00:00:00"/>
    <d v="2453-11-16T00:00:00"/>
    <d v="1900-01-01T00:00:00"/>
    <s v="Mar-2023"/>
    <x v="2"/>
    <x v="0"/>
    <d v="1900-01-11T00:00:00"/>
    <d v="2023-04-12T00:00:00"/>
    <d v="2023-04-12T00:00:00"/>
    <x v="0"/>
    <x v="0"/>
    <s v="Mombasa"/>
    <s v="Small Business"/>
    <x v="1"/>
    <x v="0"/>
    <x v="3"/>
    <s v="PHN-8014"/>
    <n v="304.22000000000003"/>
    <n v="393.31"/>
    <n v="815.10700000000008"/>
    <n v="1620.05"/>
    <m/>
    <n v="0.26500000000000001"/>
    <n v="1"/>
    <n v="15"/>
    <n v="5899.65"/>
    <n v="4563.3"/>
    <n v="1336.3499999999995"/>
    <n v="0.22651343723780215"/>
  </r>
  <r>
    <s v="ORD-2024-783321"/>
    <m/>
    <x v="127"/>
    <d v="2454-03-06T00:00:00"/>
    <d v="2453-11-16T00:00:00"/>
    <d v="2453-11-16T00:00:00"/>
    <d v="1900-01-21T00:00:00"/>
    <s v="Nov-2024"/>
    <x v="3"/>
    <x v="0"/>
    <d v="1900-01-24T00:00:00"/>
    <d v="2024-12-15T00:00:00"/>
    <d v="2024-12-15T00:00:00"/>
    <x v="3"/>
    <x v="7"/>
    <s v="Paris"/>
    <s v="Corporate"/>
    <x v="1"/>
    <x v="3"/>
    <x v="1"/>
    <s v="PRN-4911"/>
    <n v="1203.58"/>
    <n v="1856.16"/>
    <n v="815.10700000000008"/>
    <n v="1620.05"/>
    <m/>
    <n v="0.129"/>
    <n v="0"/>
    <n v="22"/>
    <n v="40835.520000000004"/>
    <n v="26478.76"/>
    <n v="14356.760000000006"/>
    <n v="0.35157529523316966"/>
  </r>
  <r>
    <s v="ORD-2024-232632"/>
    <n v="1"/>
    <x v="128"/>
    <n v="202402"/>
    <n v="202301"/>
    <n v="202301"/>
    <n v="13"/>
    <s v="Feb-2024"/>
    <x v="2"/>
    <x v="1"/>
    <n v="0"/>
    <d v="2024-02-14T00:00:00"/>
    <d v="2024-02-14T00:00:00"/>
    <x v="1"/>
    <x v="9"/>
    <s v="Beijing"/>
    <s v="Corporate"/>
    <x v="3"/>
    <x v="4"/>
    <x v="6"/>
    <s v="ACC-1021"/>
    <n v="65.930000000000007"/>
    <n v="84.9"/>
    <n v="815.10700000000008"/>
    <n v="1620.05"/>
    <s v="High"/>
    <n v="0.25900000000000001"/>
    <n v="1"/>
    <n v="23"/>
    <n v="1952.7"/>
    <n v="1516.39"/>
    <n v="436.30999999999995"/>
    <n v="0.22343934040047111"/>
  </r>
  <r>
    <s v="ORD-2023-906481"/>
    <n v="1"/>
    <x v="129"/>
    <n v="202305"/>
    <n v="202302"/>
    <n v="202302"/>
    <n v="3"/>
    <s v="May-2023"/>
    <x v="1"/>
    <x v="0"/>
    <n v="16"/>
    <d v="2023-05-18T00:00:00"/>
    <d v="2023-05-18T00:00:00"/>
    <x v="1"/>
    <x v="4"/>
    <s v="Delhi"/>
    <s v="Small Business"/>
    <x v="2"/>
    <x v="11"/>
    <x v="5"/>
    <s v="MON-2266"/>
    <n v="1463.92"/>
    <n v="2252.2399999999998"/>
    <n v="815.10700000000008"/>
    <n v="1620.05"/>
    <s v="Low"/>
    <n v="0.11799999999999999"/>
    <n v="0"/>
    <n v="44"/>
    <n v="99098.559999999998"/>
    <n v="64412.480000000003"/>
    <n v="34686.079999999994"/>
    <n v="0.35001598408695339"/>
  </r>
  <r>
    <s v="ORD-2024-902741"/>
    <m/>
    <x v="130"/>
    <d v="2454-03-07T00:00:00"/>
    <d v="2453-11-16T00:00:00"/>
    <d v="2453-11-16T00:00:00"/>
    <d v="1900-01-22T00:00:00"/>
    <s v="Dec-2024"/>
    <x v="9"/>
    <x v="0"/>
    <d v="1900-01-18T00:00:00"/>
    <d v="2025-01-11T00:00:00"/>
    <d v="2025-01-11T00:00:00"/>
    <x v="3"/>
    <x v="6"/>
    <s v="Berlin"/>
    <s v="Education"/>
    <x v="0"/>
    <x v="11"/>
    <x v="3"/>
    <s v="PHN-8057"/>
    <n v="501.81"/>
    <n v="921.62"/>
    <n v="815.10700000000008"/>
    <n v="1620.05"/>
    <m/>
    <n v="0.01"/>
    <n v="0"/>
    <n v="9"/>
    <n v="8294.58"/>
    <n v="4516.29"/>
    <n v="3778.29"/>
    <n v="0.45551311820490009"/>
  </r>
  <r>
    <s v="ORD-2023-912395"/>
    <m/>
    <x v="131"/>
    <d v="2453-11-22T00:00:00"/>
    <d v="2453-11-16T00:00:00"/>
    <d v="2453-11-16T00:00:00"/>
    <d v="1900-01-05T00:00:00"/>
    <s v="Jul-2023"/>
    <x v="2"/>
    <x v="0"/>
    <d v="1900-01-29T00:00:00"/>
    <d v="2023-08-25T00:00:00"/>
    <d v="2023-08-25T00:00:00"/>
    <x v="2"/>
    <x v="10"/>
    <s v="New York"/>
    <s v="Consumer"/>
    <x v="0"/>
    <x v="12"/>
    <x v="6"/>
    <s v="ACC-7078"/>
    <n v="1261.48"/>
    <n v="1643.18"/>
    <n v="815.10700000000008"/>
    <n v="1620.05"/>
    <m/>
    <n v="0.151"/>
    <n v="0"/>
    <n v="23"/>
    <n v="37793.14"/>
    <n v="29014.04"/>
    <n v="8779.0999999999985"/>
    <n v="0.2322934797161601"/>
  </r>
  <r>
    <s v="ORD-2024-389102"/>
    <n v="1"/>
    <x v="132"/>
    <n v="202406"/>
    <n v="202301"/>
    <n v="202301"/>
    <n v="17"/>
    <s v="Jun-2024"/>
    <x v="11"/>
    <x v="0"/>
    <n v="21"/>
    <d v="2024-07-06T00:00:00"/>
    <d v="2024-07-06T00:00:00"/>
    <x v="2"/>
    <x v="3"/>
    <s v="Toronto"/>
    <s v="Enterprise"/>
    <x v="3"/>
    <x v="4"/>
    <x v="1"/>
    <s v="PRN-4453"/>
    <n v="817.23"/>
    <n v="1467.17"/>
    <n v="815.10700000000008"/>
    <n v="1620.05"/>
    <s v="High"/>
    <n v="0.245"/>
    <n v="1"/>
    <n v="9"/>
    <n v="13204.53"/>
    <n v="7355.07"/>
    <n v="5849.4600000000009"/>
    <n v="0.44298888336048314"/>
  </r>
  <r>
    <s v="ORD-2023-309373"/>
    <n v="1"/>
    <x v="133"/>
    <n v="202307"/>
    <n v="202301"/>
    <n v="202301"/>
    <n v="6"/>
    <s v="Jul-2023"/>
    <x v="6"/>
    <x v="0"/>
    <n v="9"/>
    <d v="2023-07-14T00:00:00"/>
    <d v="2023-07-14T00:00:00"/>
    <x v="2"/>
    <x v="5"/>
    <s v="Brasília"/>
    <s v="Enterprise"/>
    <x v="4"/>
    <x v="5"/>
    <x v="2"/>
    <s v="NET-2394"/>
    <n v="578.85"/>
    <n v="998.76"/>
    <n v="815.10700000000008"/>
    <n v="1620.05"/>
    <s v="Medium"/>
    <n v="8.2000000000000003E-2"/>
    <n v="0"/>
    <n v="28"/>
    <n v="27965.279999999999"/>
    <n v="16207.800000000001"/>
    <n v="11757.479999999998"/>
    <n v="0.42043133485522038"/>
  </r>
  <r>
    <s v="ORD-2023-825495"/>
    <m/>
    <x v="134"/>
    <d v="2453-11-26T00:00:00"/>
    <d v="2453-11-16T00:00:00"/>
    <d v="2453-11-16T00:00:00"/>
    <d v="1900-01-09T00:00:00"/>
    <s v="Nov-2023"/>
    <x v="11"/>
    <x v="1"/>
    <d v="1899-12-30T00:00:00"/>
    <d v="2023-11-30T00:00:00"/>
    <d v="2023-11-29T00:00:00"/>
    <x v="0"/>
    <x v="11"/>
    <s v="Durban"/>
    <s v="Small Business"/>
    <x v="2"/>
    <x v="6"/>
    <x v="4"/>
    <s v="LAP-1525"/>
    <n v="275.56"/>
    <n v="630.72"/>
    <n v="815.10700000000008"/>
    <n v="1620.05"/>
    <m/>
    <n v="0.107"/>
    <n v="0"/>
    <n v="23"/>
    <n v="14506.560000000001"/>
    <n v="6337.88"/>
    <n v="8168.6800000000012"/>
    <n v="0.56310248604769153"/>
  </r>
  <r>
    <s v="ORD-2025-244832"/>
    <m/>
    <x v="135"/>
    <d v="2454-06-12T00:00:00"/>
    <d v="2453-11-16T00:00:00"/>
    <d v="2453-11-16T00:00:00"/>
    <d v="1900-01-31T00:00:00"/>
    <s v="Sept-2025"/>
    <x v="5"/>
    <x v="0"/>
    <d v="1900-01-16T00:00:00"/>
    <d v="2025-09-28T00:00:00"/>
    <d v="2025-09-28T00:00:00"/>
    <x v="0"/>
    <x v="0"/>
    <s v="Nairobi"/>
    <s v="Non-Profit"/>
    <x v="3"/>
    <x v="1"/>
    <x v="4"/>
    <s v="LAP-3278"/>
    <n v="891.46"/>
    <n v="728.61"/>
    <n v="815.10700000000008"/>
    <n v="1620.05"/>
    <m/>
    <n v="0.185"/>
    <n v="0"/>
    <n v="6"/>
    <n v="4371.66"/>
    <n v="5348.76"/>
    <n v="-977.10000000000036"/>
    <n v="-0.22350777507857436"/>
  </r>
  <r>
    <s v="ORD-2024-211453"/>
    <m/>
    <x v="136"/>
    <d v="2454-02-27T00:00:00"/>
    <d v="2453-11-16T00:00:00"/>
    <d v="2453-11-16T00:00:00"/>
    <d v="1900-01-14T00:00:00"/>
    <s v="Apr-2024"/>
    <x v="8"/>
    <x v="0"/>
    <d v="1900-01-19T00:00:00"/>
    <d v="2024-04-24T00:00:00"/>
    <d v="2024-04-24T00:00:00"/>
    <x v="3"/>
    <x v="6"/>
    <s v="Frankfurt"/>
    <s v="Non-Profit"/>
    <x v="4"/>
    <x v="7"/>
    <x v="6"/>
    <s v="ACC-6543"/>
    <n v="683.42"/>
    <n v="951.51"/>
    <n v="815.10700000000008"/>
    <n v="1620.05"/>
    <m/>
    <n v="0"/>
    <n v="0"/>
    <n v="14"/>
    <n v="13321.14"/>
    <n v="9567.8799999999992"/>
    <n v="3753.26"/>
    <n v="0.28175216235247136"/>
  </r>
  <r>
    <s v="ORD-2023-192324"/>
    <m/>
    <x v="137"/>
    <d v="2453-11-24T00:00:00"/>
    <d v="2453-11-16T00:00:00"/>
    <d v="2453-11-16T00:00:00"/>
    <d v="1900-01-07T00:00:00"/>
    <s v="Sept-2023"/>
    <x v="6"/>
    <x v="1"/>
    <d v="1900-01-01T00:00:00"/>
    <d v="2023-09-16T00:00:00"/>
    <d v="2023-09-16T00:00:00"/>
    <x v="3"/>
    <x v="7"/>
    <s v="Lyon"/>
    <s v="Non-Profit"/>
    <x v="4"/>
    <x v="5"/>
    <x v="1"/>
    <s v="PRN-4432"/>
    <n v="376.83"/>
    <n v="732.88"/>
    <n v="815.10700000000008"/>
    <n v="1620.05"/>
    <m/>
    <n v="0.188"/>
    <n v="0"/>
    <n v="25"/>
    <n v="18322"/>
    <n v="9420.75"/>
    <n v="8901.25"/>
    <n v="0.48582305425171923"/>
  </r>
  <r>
    <s v="ORD-2024-438404"/>
    <n v="1"/>
    <x v="138"/>
    <n v="202409"/>
    <n v="202301"/>
    <n v="202301"/>
    <n v="20"/>
    <s v="Sept-2024"/>
    <x v="11"/>
    <x v="0"/>
    <n v="25"/>
    <d v="2024-10-18T00:00:00"/>
    <d v="2024-10-18T00:00:00"/>
    <x v="2"/>
    <x v="3"/>
    <s v="Vancouver"/>
    <s v="Small Business"/>
    <x v="1"/>
    <x v="13"/>
    <x v="3"/>
    <s v="PHN-4568"/>
    <n v="1297"/>
    <n v="2411.52"/>
    <n v="815.10700000000008"/>
    <n v="1620.05"/>
    <s v="Low"/>
    <n v="2.1000000000000001E-2"/>
    <n v="0"/>
    <n v="18"/>
    <n v="43407.360000000001"/>
    <n v="23346"/>
    <n v="20061.36"/>
    <n v="0.46216494161358812"/>
  </r>
  <r>
    <s v="ORD-2025-246470"/>
    <n v="1"/>
    <x v="139"/>
    <n v="202504"/>
    <n v="202301"/>
    <n v="202301"/>
    <n v="27"/>
    <s v="Apr-2025"/>
    <x v="10"/>
    <x v="0"/>
    <n v="30"/>
    <d v="2025-05-16T00:00:00"/>
    <d v="2025-05-16T00:00:00"/>
    <x v="2"/>
    <x v="3"/>
    <s v="Montreal"/>
    <s v="Enterprise"/>
    <x v="3"/>
    <x v="11"/>
    <x v="1"/>
    <s v="PRN-6178"/>
    <n v="763.32"/>
    <n v="568.29"/>
    <n v="815.10700000000008"/>
    <n v="1620.05"/>
    <s v="High"/>
    <n v="0.13100000000000001"/>
    <n v="0"/>
    <n v="16"/>
    <n v="9092.64"/>
    <n v="12213.12"/>
    <n v="-3120.4800000000014"/>
    <n v="-0.34318745710816678"/>
  </r>
  <r>
    <s v="ORD-2023-497686"/>
    <m/>
    <x v="140"/>
    <d v="2453-11-22T00:00:00"/>
    <d v="2453-11-16T00:00:00"/>
    <d v="2453-11-16T00:00:00"/>
    <d v="1900-01-05T00:00:00"/>
    <s v="Jul-2023"/>
    <x v="7"/>
    <x v="0"/>
    <d v="1900-01-19T00:00:00"/>
    <d v="2023-07-23T00:00:00"/>
    <d v="2023-07-23T00:00:00"/>
    <x v="0"/>
    <x v="11"/>
    <s v="Johannesburg"/>
    <s v="Small Business"/>
    <x v="3"/>
    <x v="9"/>
    <x v="4"/>
    <s v="LAP-6342"/>
    <n v="1001.96"/>
    <n v="1254.95"/>
    <n v="815.10700000000008"/>
    <n v="1620.05"/>
    <m/>
    <n v="4.4999999999999998E-2"/>
    <n v="0"/>
    <n v="18"/>
    <n v="22589.100000000002"/>
    <n v="18035.28"/>
    <n v="4553.8200000000033"/>
    <n v="0.20159368899159341"/>
  </r>
  <r>
    <s v="ORD-2023-596758"/>
    <m/>
    <x v="141"/>
    <d v="2453-11-27T00:00:00"/>
    <d v="2453-11-18T00:00:00"/>
    <d v="2453-11-18T00:00:00"/>
    <d v="1900-01-08T00:00:00"/>
    <s v="Dec-2023"/>
    <x v="11"/>
    <x v="1"/>
    <d v="1899-12-30T00:00:00"/>
    <d v="2023-12-07T00:00:00"/>
    <d v="2023-12-05T00:00:00"/>
    <x v="1"/>
    <x v="2"/>
    <s v="Tokyo"/>
    <s v="Non-Profit"/>
    <x v="2"/>
    <x v="10"/>
    <x v="1"/>
    <s v="PRN-8175"/>
    <n v="1097.5899999999999"/>
    <n v="845.55"/>
    <n v="815.10700000000008"/>
    <n v="1620.05"/>
    <m/>
    <n v="0.184"/>
    <n v="0"/>
    <n v="6"/>
    <n v="5073.2999999999993"/>
    <n v="6585.5399999999991"/>
    <n v="-1512.2399999999998"/>
    <n v="-0.29807817396960556"/>
  </r>
  <r>
    <s v="ORD-2024-201376"/>
    <m/>
    <x v="142"/>
    <d v="2454-02-25T00:00:00"/>
    <d v="2453-11-16T00:00:00"/>
    <d v="2453-11-16T00:00:00"/>
    <d v="1900-01-12T00:00:00"/>
    <s v="Feb-2024"/>
    <x v="5"/>
    <x v="0"/>
    <d v="1900-01-14T00:00:00"/>
    <d v="2024-03-04T00:00:00"/>
    <d v="2024-03-04T00:00:00"/>
    <x v="0"/>
    <x v="0"/>
    <s v="Kisumu"/>
    <s v="Education"/>
    <x v="4"/>
    <x v="11"/>
    <x v="1"/>
    <s v="PRN-7089"/>
    <n v="928.68"/>
    <n v="2145.17"/>
    <n v="815.10700000000008"/>
    <n v="1620.05"/>
    <m/>
    <n v="0.13600000000000001"/>
    <n v="0"/>
    <n v="16"/>
    <n v="34322.720000000001"/>
    <n v="14858.88"/>
    <n v="19463.840000000004"/>
    <n v="0.56708326146645727"/>
  </r>
  <r>
    <s v="ORD-2023-842488"/>
    <m/>
    <x v="143"/>
    <d v="2453-11-25T00:00:00"/>
    <d v="2453-11-16T00:00:00"/>
    <d v="2453-11-16T00:00:00"/>
    <d v="1900-01-08T00:00:00"/>
    <s v="Oct-2023"/>
    <x v="1"/>
    <x v="1"/>
    <d v="1900-01-01T00:00:00"/>
    <d v="2023-11-02T00:00:00"/>
    <d v="2023-11-02T00:00:00"/>
    <x v="0"/>
    <x v="0"/>
    <s v="Kisumu"/>
    <s v="Education"/>
    <x v="0"/>
    <x v="7"/>
    <x v="6"/>
    <s v="ACC-4124"/>
    <n v="867.89"/>
    <n v="1349.94"/>
    <n v="815.10700000000008"/>
    <n v="1620.05"/>
    <m/>
    <n v="0.184"/>
    <n v="0"/>
    <n v="10"/>
    <n v="13499.400000000001"/>
    <n v="8678.9"/>
    <n v="4820.5000000000018"/>
    <n v="0.35708994473828476"/>
  </r>
  <r>
    <s v="ORD-2024-136321"/>
    <m/>
    <x v="144"/>
    <d v="2454-03-03T00:00:00"/>
    <d v="2453-11-18T00:00:00"/>
    <d v="2453-11-18T00:00:00"/>
    <d v="1900-01-16T00:00:00"/>
    <s v="Aug-2024"/>
    <x v="5"/>
    <x v="0"/>
    <d v="1900-01-09T00:00:00"/>
    <d v="2024-08-17T00:00:00"/>
    <d v="2024-08-17T00:00:00"/>
    <x v="1"/>
    <x v="2"/>
    <s v="Osaka"/>
    <s v="Consumer"/>
    <x v="1"/>
    <x v="11"/>
    <x v="2"/>
    <s v="NET-7924"/>
    <n v="436.58"/>
    <n v="527.48"/>
    <n v="815.10700000000008"/>
    <n v="1620.05"/>
    <m/>
    <n v="0.111"/>
    <n v="0"/>
    <n v="19"/>
    <n v="10022.120000000001"/>
    <n v="8295.02"/>
    <n v="1727.1000000000004"/>
    <n v="0.17232880867521047"/>
  </r>
  <r>
    <s v="ORD-2024-764468"/>
    <m/>
    <x v="145"/>
    <d v="2454-02-25T00:00:00"/>
    <d v="2453-11-16T00:00:00"/>
    <d v="2453-11-16T00:00:00"/>
    <d v="1900-01-12T00:00:00"/>
    <s v="Feb-2024"/>
    <x v="10"/>
    <x v="0"/>
    <d v="1900-01-19T00:00:00"/>
    <d v="2024-02-21T00:00:00"/>
    <d v="2024-02-21T00:00:00"/>
    <x v="3"/>
    <x v="7"/>
    <s v="Paris"/>
    <s v="Small Business"/>
    <x v="2"/>
    <x v="8"/>
    <x v="2"/>
    <s v="NET-8761"/>
    <n v="656.2"/>
    <n v="1467.17"/>
    <n v="815.10700000000008"/>
    <n v="1620.05"/>
    <m/>
    <n v="1.7999999999999999E-2"/>
    <n v="0"/>
    <n v="5"/>
    <n v="7335.85"/>
    <n v="3281"/>
    <n v="4054.8500000000004"/>
    <n v="0.55274439908122441"/>
  </r>
  <r>
    <s v="ORD-2024-553449"/>
    <n v="1"/>
    <x v="38"/>
    <n v="202408"/>
    <n v="202302"/>
    <n v="202302"/>
    <n v="18"/>
    <s v="Aug-2024"/>
    <x v="1"/>
    <x v="0"/>
    <n v="22"/>
    <d v="2024-09-18T00:00:00"/>
    <d v="2024-09-18T00:00:00"/>
    <x v="1"/>
    <x v="4"/>
    <s v="Delhi"/>
    <s v="Consumer"/>
    <x v="4"/>
    <x v="5"/>
    <x v="0"/>
    <s v="CMP-3875"/>
    <n v="896.75"/>
    <n v="1651.14"/>
    <n v="815.10700000000008"/>
    <n v="1620.05"/>
    <s v="Medium"/>
    <n v="2.5000000000000001E-2"/>
    <n v="0"/>
    <n v="15"/>
    <n v="24767.100000000002"/>
    <n v="13451.25"/>
    <n v="11315.850000000002"/>
    <n v="0.45689039088145167"/>
  </r>
  <r>
    <s v="ORD-2025-766923"/>
    <m/>
    <x v="146"/>
    <d v="2454-06-05T00:00:00"/>
    <d v="2453-11-16T00:00:00"/>
    <d v="2453-11-16T00:00:00"/>
    <d v="1900-01-24T00:00:00"/>
    <s v="Feb-2025"/>
    <x v="10"/>
    <x v="1"/>
    <d v="1899-12-30T00:00:00"/>
    <d v="2025-02-15T00:00:00"/>
    <d v="2025-02-15T00:00:00"/>
    <x v="3"/>
    <x v="6"/>
    <s v="Frankfurt"/>
    <s v="Small Business"/>
    <x v="2"/>
    <x v="4"/>
    <x v="6"/>
    <s v="ACC-3989"/>
    <n v="815.83"/>
    <n v="1982.18"/>
    <n v="815.10700000000008"/>
    <n v="1620.05"/>
    <m/>
    <n v="0.127"/>
    <n v="0"/>
    <n v="6"/>
    <n v="11893.08"/>
    <n v="4894.9800000000005"/>
    <n v="6998.0999999999995"/>
    <n v="0.58841780262135623"/>
  </r>
  <r>
    <s v="ORD-2025-418232"/>
    <n v="1"/>
    <x v="90"/>
    <n v="202508"/>
    <n v="202301"/>
    <n v="202301"/>
    <n v="31"/>
    <s v="Aug-2025"/>
    <x v="4"/>
    <x v="0"/>
    <n v="20"/>
    <d v="2025-08-21T00:00:00"/>
    <d v="2025-08-21T00:00:00"/>
    <x v="1"/>
    <x v="9"/>
    <s v="Shanghai"/>
    <s v="Corporate"/>
    <x v="4"/>
    <x v="2"/>
    <x v="3"/>
    <s v="PHN-9234"/>
    <n v="1220.4100000000001"/>
    <n v="2552.2199999999998"/>
    <n v="815.10700000000008"/>
    <n v="1620.05"/>
    <s v="High"/>
    <n v="0.18099999999999999"/>
    <n v="0"/>
    <n v="14"/>
    <n v="35731.079999999994"/>
    <n v="17085.740000000002"/>
    <n v="18645.339999999993"/>
    <n v="0.52182413741762057"/>
  </r>
  <r>
    <s v="ORD-2023-848013"/>
    <n v="1"/>
    <x v="147"/>
    <n v="202302"/>
    <n v="202302"/>
    <n v="202302"/>
    <n v="0"/>
    <s v="Feb-2023"/>
    <x v="8"/>
    <x v="0"/>
    <n v="12"/>
    <d v="2023-03-04T00:00:00"/>
    <d v="2023-03-04T00:00:00"/>
    <x v="1"/>
    <x v="4"/>
    <s v="Delhi"/>
    <s v="Consumer"/>
    <x v="3"/>
    <x v="12"/>
    <x v="5"/>
    <s v="MON-9906"/>
    <n v="299.75"/>
    <n v="523.01"/>
    <n v="815.10700000000008"/>
    <n v="1620.05"/>
    <s v="High"/>
    <n v="0.157"/>
    <n v="0"/>
    <n v="50"/>
    <n v="26150.5"/>
    <n v="14987.5"/>
    <n v="11163"/>
    <n v="0.42687520315099137"/>
  </r>
  <r>
    <s v="ORD-2024-357368"/>
    <n v="1"/>
    <x v="148"/>
    <n v="202410"/>
    <n v="202301"/>
    <n v="202301"/>
    <n v="21"/>
    <s v="Oct-2024"/>
    <x v="3"/>
    <x v="0"/>
    <n v="25"/>
    <d v="2024-11-24T00:00:00"/>
    <d v="2024-11-24T00:00:00"/>
    <x v="1"/>
    <x v="9"/>
    <s v="Shenzhen"/>
    <s v="Small Business"/>
    <x v="1"/>
    <x v="6"/>
    <x v="0"/>
    <s v="CMP-4610"/>
    <n v="811.05"/>
    <n v="1217.71"/>
    <n v="815.10700000000008"/>
    <n v="1620.05"/>
    <s v="Low"/>
    <n v="7.1999999999999995E-2"/>
    <n v="0"/>
    <n v="5"/>
    <n v="6088.55"/>
    <n v="4055.25"/>
    <n v="2033.3000000000002"/>
    <n v="0.33395471828267814"/>
  </r>
  <r>
    <s v="ORD-2024-219735"/>
    <n v="1"/>
    <x v="149"/>
    <n v="202404"/>
    <n v="202301"/>
    <n v="202301"/>
    <n v="15"/>
    <s v="Apr-2024"/>
    <x v="2"/>
    <x v="1"/>
    <n v="4"/>
    <d v="2024-04-07T00:00:00"/>
    <d v="2024-04-07T00:00:00"/>
    <x v="2"/>
    <x v="5"/>
    <s v="Brasília"/>
    <s v="Non-Profit"/>
    <x v="4"/>
    <x v="13"/>
    <x v="3"/>
    <s v="PHN-5445"/>
    <n v="1023.27"/>
    <n v="1343.64"/>
    <n v="815.10700000000008"/>
    <n v="1620.05"/>
    <s v="Medium"/>
    <n v="0.13300000000000001"/>
    <n v="0"/>
    <n v="7"/>
    <n v="9405.4800000000014"/>
    <n v="7162.8899999999994"/>
    <n v="2242.590000000002"/>
    <n v="0.23843440207198374"/>
  </r>
  <r>
    <s v="ORD-2023-240507"/>
    <m/>
    <x v="150"/>
    <d v="2453-11-18T00:00:00"/>
    <d v="2453-11-18T00:00:00"/>
    <d v="2453-11-18T00:00:00"/>
    <d v="1899-12-30T00:00:00"/>
    <s v="Mar-2023"/>
    <x v="6"/>
    <x v="1"/>
    <d v="1899-12-31T00:00:00"/>
    <d v="2023-03-26T00:00:00"/>
    <d v="2023-03-26T00:00:00"/>
    <x v="1"/>
    <x v="2"/>
    <s v="Osaka"/>
    <s v="Small Business"/>
    <x v="3"/>
    <x v="2"/>
    <x v="5"/>
    <s v="MON-9227"/>
    <n v="135.12"/>
    <n v="301.7"/>
    <n v="815.10700000000008"/>
    <n v="1620.05"/>
    <m/>
    <n v="0.14000000000000001"/>
    <n v="0"/>
    <n v="47"/>
    <n v="14179.9"/>
    <n v="6350.64"/>
    <n v="7829.2599999999993"/>
    <n v="0.55213788531653962"/>
  </r>
  <r>
    <s v="ORD-2024-134084"/>
    <n v="1"/>
    <x v="151"/>
    <n v="202406"/>
    <n v="202301"/>
    <n v="202301"/>
    <n v="17"/>
    <s v="Jun-2024"/>
    <x v="3"/>
    <x v="0"/>
    <n v="12"/>
    <d v="2024-06-16T00:00:00"/>
    <d v="2024-06-16T00:00:00"/>
    <x v="1"/>
    <x v="9"/>
    <s v="Shanghai"/>
    <s v="Corporate"/>
    <x v="0"/>
    <x v="1"/>
    <x v="1"/>
    <s v="PRN-4097"/>
    <n v="918.42"/>
    <n v="1511.71"/>
    <n v="815.10700000000008"/>
    <n v="1620.05"/>
    <s v="Low"/>
    <n v="0.02"/>
    <n v="0"/>
    <n v="8"/>
    <n v="12093.68"/>
    <n v="7347.36"/>
    <n v="4746.3200000000006"/>
    <n v="0.39246284009499183"/>
  </r>
  <r>
    <s v="ORD-2023-884625"/>
    <m/>
    <x v="152"/>
    <d v="2453-11-17T00:00:00"/>
    <d v="2453-11-16T00:00:00"/>
    <d v="2453-11-16T00:00:00"/>
    <d v="1899-12-31T00:00:00"/>
    <s v="Feb-2023"/>
    <x v="6"/>
    <x v="0"/>
    <d v="1900-01-20T00:00:00"/>
    <d v="2023-03-12T00:00:00"/>
    <d v="2023-03-12T00:00:00"/>
    <x v="3"/>
    <x v="6"/>
    <s v="Berlin"/>
    <s v="Small Business"/>
    <x v="4"/>
    <x v="4"/>
    <x v="5"/>
    <s v="MON-6699"/>
    <n v="1234.81"/>
    <n v="2055.2399999999998"/>
    <n v="815.10700000000008"/>
    <n v="1620.05"/>
    <m/>
    <n v="5.2999999999999999E-2"/>
    <n v="0"/>
    <n v="44"/>
    <n v="90430.56"/>
    <n v="54331.64"/>
    <n v="36098.92"/>
    <n v="0.39918938907378215"/>
  </r>
  <r>
    <s v="ORD-2023-157993"/>
    <n v="1"/>
    <x v="153"/>
    <n v="202304"/>
    <n v="202301"/>
    <n v="202301"/>
    <n v="3"/>
    <s v="Apr-2023"/>
    <x v="3"/>
    <x v="0"/>
    <n v="30"/>
    <d v="2023-05-18T00:00:00"/>
    <d v="2023-05-18T00:00:00"/>
    <x v="1"/>
    <x v="9"/>
    <s v="Shenzhen"/>
    <s v="Non-Profit"/>
    <x v="0"/>
    <x v="10"/>
    <x v="4"/>
    <s v="LAP-1482"/>
    <n v="329.03"/>
    <n v="391.15"/>
    <n v="815.10700000000008"/>
    <n v="1620.05"/>
    <s v="High"/>
    <n v="0.19700000000000001"/>
    <n v="0"/>
    <n v="46"/>
    <n v="17992.899999999998"/>
    <n v="15135.38"/>
    <n v="2857.5199999999986"/>
    <n v="0.15881375431420167"/>
  </r>
  <r>
    <s v="ORD-2024-329104"/>
    <m/>
    <x v="154"/>
    <d v="2454-02-28T00:00:00"/>
    <d v="2453-11-16T00:00:00"/>
    <d v="2453-11-16T00:00:00"/>
    <d v="1900-01-15T00:00:00"/>
    <s v="May-2024"/>
    <x v="9"/>
    <x v="0"/>
    <d v="1900-01-21T00:00:00"/>
    <d v="2024-06-14T00:00:00"/>
    <d v="2024-06-14T00:00:00"/>
    <x v="3"/>
    <x v="7"/>
    <s v="Marseille"/>
    <s v="Small Business"/>
    <x v="1"/>
    <x v="13"/>
    <x v="5"/>
    <s v="MON-2100"/>
    <n v="1481.74"/>
    <n v="1848.97"/>
    <n v="815.10700000000008"/>
    <n v="1620.05"/>
    <m/>
    <n v="0.254"/>
    <n v="1"/>
    <n v="9"/>
    <n v="16640.73"/>
    <n v="13335.66"/>
    <n v="3305.0699999999997"/>
    <n v="0.19861328198943193"/>
  </r>
  <r>
    <s v="ORD-2023-304451"/>
    <n v="1"/>
    <x v="155"/>
    <n v="202310"/>
    <n v="202302"/>
    <n v="202302"/>
    <n v="8"/>
    <s v="Oct-2023"/>
    <x v="6"/>
    <x v="0"/>
    <n v="16"/>
    <d v="2023-10-23T00:00:00"/>
    <d v="2023-10-23T00:00:00"/>
    <x v="1"/>
    <x v="4"/>
    <s v="Hyderabad"/>
    <s v="Consumer"/>
    <x v="0"/>
    <x v="3"/>
    <x v="5"/>
    <s v="MON-7602"/>
    <n v="906.81"/>
    <n v="1395.56"/>
    <n v="815.10700000000008"/>
    <n v="1620.05"/>
    <s v="High"/>
    <n v="0.185"/>
    <n v="0"/>
    <n v="6"/>
    <n v="8373.36"/>
    <n v="5440.86"/>
    <n v="2932.5000000000009"/>
    <n v="0.35021783370116666"/>
  </r>
  <r>
    <s v="ORD-2024-942981"/>
    <n v="1"/>
    <x v="156"/>
    <n v="202410"/>
    <n v="202301"/>
    <n v="202301"/>
    <n v="21"/>
    <s v="Oct-2024"/>
    <x v="5"/>
    <x v="0"/>
    <n v="30"/>
    <d v="2024-11-08T00:00:00"/>
    <d v="2024-11-08T00:00:00"/>
    <x v="3"/>
    <x v="8"/>
    <s v="Manchester"/>
    <s v="Small Business"/>
    <x v="3"/>
    <x v="1"/>
    <x v="0"/>
    <s v="CMP-1072"/>
    <n v="343.85"/>
    <n v="538.04"/>
    <n v="815.10700000000008"/>
    <n v="1620.05"/>
    <s v="Medium"/>
    <n v="0.13900000000000001"/>
    <n v="0"/>
    <n v="5"/>
    <n v="2690.2"/>
    <n v="1719.25"/>
    <n v="970.94999999999982"/>
    <n v="0.36092112110623742"/>
  </r>
  <r>
    <s v="ORD-2024-605629"/>
    <m/>
    <x v="157"/>
    <d v="2454-03-02T00:00:00"/>
    <d v="2453-11-18T00:00:00"/>
    <d v="2453-11-18T00:00:00"/>
    <d v="1900-01-15T00:00:00"/>
    <s v="Jul-2024"/>
    <x v="2"/>
    <x v="1"/>
    <d v="1899-12-30T00:00:00"/>
    <d v="2024-07-15T00:00:00"/>
    <d v="2024-07-15T00:00:00"/>
    <x v="1"/>
    <x v="2"/>
    <s v="Tokyo"/>
    <s v="Small Business"/>
    <x v="2"/>
    <x v="3"/>
    <x v="6"/>
    <s v="ACC-2735"/>
    <n v="801.77"/>
    <n v="1218.92"/>
    <n v="815.10700000000008"/>
    <n v="1620.05"/>
    <m/>
    <n v="0.254"/>
    <n v="1"/>
    <n v="16"/>
    <n v="19502.72"/>
    <n v="12828.32"/>
    <n v="6674.4000000000015"/>
    <n v="0.34222918649296102"/>
  </r>
  <r>
    <s v="ORD-2023-450877"/>
    <m/>
    <x v="158"/>
    <d v="2453-11-24T00:00:00"/>
    <d v="2453-11-18T00:00:00"/>
    <d v="2453-11-18T00:00:00"/>
    <d v="1900-01-05T00:00:00"/>
    <s v="Sept-2023"/>
    <x v="10"/>
    <x v="0"/>
    <d v="1900-01-18T00:00:00"/>
    <d v="2023-10-10T00:00:00"/>
    <d v="2023-10-10T00:00:00"/>
    <x v="1"/>
    <x v="2"/>
    <s v="Tokyo"/>
    <s v="Education"/>
    <x v="1"/>
    <x v="14"/>
    <x v="0"/>
    <s v="CMP-5211"/>
    <n v="845.63"/>
    <n v="2062.12"/>
    <n v="815.10700000000008"/>
    <n v="1620.05"/>
    <m/>
    <n v="0.13400000000000001"/>
    <n v="0"/>
    <n v="5"/>
    <n v="10310.599999999999"/>
    <n v="4228.1499999999996"/>
    <n v="6082.4499999999989"/>
    <n v="0.58992202199678001"/>
  </r>
  <r>
    <s v="ORD-2023-286994"/>
    <m/>
    <x v="159"/>
    <d v="2453-11-17T00:00:00"/>
    <d v="2453-11-16T00:00:00"/>
    <d v="2453-11-16T00:00:00"/>
    <d v="1899-12-31T00:00:00"/>
    <s v="Feb-2023"/>
    <x v="11"/>
    <x v="0"/>
    <d v="1900-01-12T00:00:00"/>
    <d v="2023-03-09T00:00:00"/>
    <d v="2023-03-09T00:00:00"/>
    <x v="2"/>
    <x v="10"/>
    <s v="New York"/>
    <s v="Enterprise"/>
    <x v="1"/>
    <x v="12"/>
    <x v="0"/>
    <s v="CMP-1632"/>
    <n v="6.85"/>
    <n v="10.18"/>
    <n v="815.10700000000008"/>
    <n v="1620.05"/>
    <m/>
    <n v="4.7E-2"/>
    <n v="0"/>
    <n v="10"/>
    <n v="101.8"/>
    <n v="68.5"/>
    <n v="33.299999999999997"/>
    <n v="0.32711198428290766"/>
  </r>
  <r>
    <s v="ORD-2025-700847"/>
    <m/>
    <x v="9"/>
    <d v="2454-06-08T00:00:00"/>
    <d v="2453-11-16T00:00:00"/>
    <d v="2453-11-16T00:00:00"/>
    <d v="1900-01-27T00:00:00"/>
    <s v="May-2025"/>
    <x v="3"/>
    <x v="1"/>
    <d v="1899-12-30T00:00:00"/>
    <d v="2025-05-21T00:00:00"/>
    <d v="2025-05-19T00:00:00"/>
    <x v="0"/>
    <x v="11"/>
    <s v="Johannesburg"/>
    <s v="Non-Profit"/>
    <x v="3"/>
    <x v="7"/>
    <x v="4"/>
    <s v="LAP-7099"/>
    <n v="1263.8399999999999"/>
    <n v="2281.7199999999998"/>
    <n v="815.10700000000008"/>
    <n v="1620.05"/>
    <m/>
    <n v="7.8E-2"/>
    <n v="0"/>
    <n v="15"/>
    <n v="34225.799999999996"/>
    <n v="18957.599999999999"/>
    <n v="15268.199999999997"/>
    <n v="0.44610206335571406"/>
  </r>
  <r>
    <s v="ORD-2024-970848"/>
    <m/>
    <x v="154"/>
    <d v="2454-02-28T00:00:00"/>
    <d v="2453-11-16T00:00:00"/>
    <d v="2453-11-16T00:00:00"/>
    <d v="1900-01-15T00:00:00"/>
    <s v="May-2024"/>
    <x v="7"/>
    <x v="0"/>
    <d v="1900-01-10T00:00:00"/>
    <d v="2024-06-03T00:00:00"/>
    <d v="2024-06-03T00:00:00"/>
    <x v="0"/>
    <x v="11"/>
    <s v="Johannesburg"/>
    <s v="Small Business"/>
    <x v="3"/>
    <x v="9"/>
    <x v="1"/>
    <s v="PRN-3785"/>
    <n v="180.89"/>
    <n v="249.57"/>
    <n v="815.10700000000008"/>
    <n v="1620.05"/>
    <m/>
    <n v="2.1999999999999999E-2"/>
    <n v="0"/>
    <n v="8"/>
    <n v="1996.56"/>
    <n v="1447.12"/>
    <n v="549.44000000000005"/>
    <n v="0.27519333253195499"/>
  </r>
  <r>
    <s v="ORD-2025-845715"/>
    <n v="1"/>
    <x v="160"/>
    <n v="202504"/>
    <n v="202301"/>
    <n v="202301"/>
    <n v="27"/>
    <s v="Apr-2025"/>
    <x v="6"/>
    <x v="0"/>
    <n v="20"/>
    <d v="2025-05-04T00:00:00"/>
    <d v="2025-05-04T00:00:00"/>
    <x v="3"/>
    <x v="8"/>
    <s v="Birmingham"/>
    <s v="Enterprise"/>
    <x v="2"/>
    <x v="11"/>
    <x v="5"/>
    <s v="MON-6962"/>
    <n v="1413.87"/>
    <n v="3275"/>
    <n v="815.10700000000008"/>
    <n v="1620.05"/>
    <s v="Low"/>
    <n v="0.255"/>
    <n v="1"/>
    <n v="38"/>
    <n v="124450"/>
    <n v="53727.06"/>
    <n v="70722.94"/>
    <n v="0.56828396946564885"/>
  </r>
  <r>
    <s v="ORD-2023-664749"/>
    <n v="1"/>
    <x v="161"/>
    <n v="202308"/>
    <n v="202301"/>
    <n v="202301"/>
    <n v="7"/>
    <s v="Aug-2023"/>
    <x v="7"/>
    <x v="0"/>
    <n v="15"/>
    <d v="2023-09-11T00:00:00"/>
    <d v="2023-09-11T00:00:00"/>
    <x v="3"/>
    <x v="8"/>
    <s v="London"/>
    <s v="Consumer"/>
    <x v="2"/>
    <x v="13"/>
    <x v="1"/>
    <s v="PRN-5107"/>
    <n v="943.79"/>
    <n v="1913.76"/>
    <n v="815.10700000000008"/>
    <n v="1620.05"/>
    <s v="High"/>
    <n v="9.0999999999999998E-2"/>
    <n v="0"/>
    <n v="9"/>
    <n v="17223.84"/>
    <n v="8494.11"/>
    <n v="8729.73"/>
    <n v="0.50683993813226313"/>
  </r>
  <r>
    <s v="ORD-2024-960952"/>
    <m/>
    <x v="162"/>
    <d v="2454-02-25T00:00:00"/>
    <d v="2453-11-16T00:00:00"/>
    <d v="2453-11-16T00:00:00"/>
    <d v="1900-01-12T00:00:00"/>
    <s v="Feb-2024"/>
    <x v="11"/>
    <x v="0"/>
    <d v="1900-01-17T00:00:00"/>
    <d v="2024-02-21T00:00:00"/>
    <d v="2024-02-21T00:00:00"/>
    <x v="3"/>
    <x v="6"/>
    <s v="Frankfurt"/>
    <s v="Corporate"/>
    <x v="0"/>
    <x v="10"/>
    <x v="0"/>
    <s v="CMP-9264"/>
    <n v="39.229999999999997"/>
    <n v="30.09"/>
    <n v="815.10700000000008"/>
    <n v="1620.05"/>
    <m/>
    <n v="0.17699999999999999"/>
    <n v="0"/>
    <n v="13"/>
    <n v="391.17"/>
    <n v="509.98999999999995"/>
    <n v="-118.81999999999994"/>
    <n v="-0.30375540046527066"/>
  </r>
  <r>
    <s v="ORD-2023-987700"/>
    <n v="1"/>
    <x v="163"/>
    <n v="202304"/>
    <n v="202301"/>
    <n v="202301"/>
    <n v="3"/>
    <s v="Apr-2023"/>
    <x v="1"/>
    <x v="0"/>
    <n v="11"/>
    <d v="2023-04-16T00:00:00"/>
    <d v="2023-04-16T00:00:00"/>
    <x v="2"/>
    <x v="3"/>
    <s v="Vancouver"/>
    <s v="Non-Profit"/>
    <x v="1"/>
    <x v="7"/>
    <x v="5"/>
    <s v="MON-5259"/>
    <n v="213.1"/>
    <n v="501.31"/>
    <n v="815.10700000000008"/>
    <n v="1620.05"/>
    <s v="Low"/>
    <n v="5.6000000000000001E-2"/>
    <n v="0"/>
    <n v="15"/>
    <n v="7519.65"/>
    <n v="3196.5"/>
    <n v="4323.1499999999996"/>
    <n v="0.57491372603778101"/>
  </r>
  <r>
    <s v="ORD-2025-652467"/>
    <n v="1"/>
    <x v="164"/>
    <n v="202508"/>
    <n v="202301"/>
    <n v="202301"/>
    <n v="31"/>
    <s v="Aug-2025"/>
    <x v="9"/>
    <x v="0"/>
    <n v="22"/>
    <d v="2025-09-12T00:00:00"/>
    <d v="2025-09-12T00:00:00"/>
    <x v="1"/>
    <x v="9"/>
    <s v="Shenzhen"/>
    <s v="Education"/>
    <x v="0"/>
    <x v="5"/>
    <x v="1"/>
    <s v="PRN-8137"/>
    <n v="352.66"/>
    <n v="411.18"/>
    <n v="815.10700000000008"/>
    <n v="1620.05"/>
    <s v="Low"/>
    <n v="0.17299999999999999"/>
    <n v="0"/>
    <n v="13"/>
    <n v="5345.34"/>
    <n v="4584.58"/>
    <n v="760.76000000000022"/>
    <n v="0.1423220973782772"/>
  </r>
  <r>
    <s v="ORD-2025-667201"/>
    <n v="1"/>
    <x v="165"/>
    <n v="202509"/>
    <n v="202301"/>
    <n v="202301"/>
    <n v="32"/>
    <s v="Sept-2025"/>
    <x v="8"/>
    <x v="1"/>
    <n v="3"/>
    <d v="2025-09-18T00:00:00"/>
    <d v="2025-09-18T00:00:00"/>
    <x v="2"/>
    <x v="5"/>
    <s v="Rio de Janeiro"/>
    <s v="Non-Profit"/>
    <x v="4"/>
    <x v="4"/>
    <x v="6"/>
    <s v="ACC-6777"/>
    <n v="5.5"/>
    <n v="5.92"/>
    <n v="815.10700000000008"/>
    <n v="1620.05"/>
    <s v="Low"/>
    <n v="0.21199999999999999"/>
    <n v="1"/>
    <n v="4"/>
    <n v="23.68"/>
    <n v="22"/>
    <n v="1.6799999999999997"/>
    <n v="7.0945945945945929E-2"/>
  </r>
  <r>
    <s v="ORD-2024-237478"/>
    <n v="1"/>
    <x v="166"/>
    <n v="202410"/>
    <n v="202301"/>
    <n v="202301"/>
    <n v="21"/>
    <s v="Oct-2024"/>
    <x v="8"/>
    <x v="0"/>
    <n v="8"/>
    <d v="2024-10-11T00:00:00"/>
    <d v="2024-10-11T00:00:00"/>
    <x v="1"/>
    <x v="9"/>
    <s v="Beijing"/>
    <s v="Enterprise"/>
    <x v="4"/>
    <x v="5"/>
    <x v="3"/>
    <s v="PHN-7488"/>
    <n v="1132.6099999999999"/>
    <n v="2206.63"/>
    <n v="815.10700000000008"/>
    <n v="1620.05"/>
    <s v="Low"/>
    <n v="6.3E-2"/>
    <n v="0"/>
    <n v="20"/>
    <n v="44132.600000000006"/>
    <n v="22652.199999999997"/>
    <n v="21480.400000000009"/>
    <n v="0.48672409964516039"/>
  </r>
  <r>
    <s v="ORD-2025-898843"/>
    <m/>
    <x v="167"/>
    <d v="2454-06-05T00:00:00"/>
    <d v="2453-11-18T00:00:00"/>
    <d v="2453-11-18T00:00:00"/>
    <d v="1900-01-22T00:00:00"/>
    <s v="Feb-2025"/>
    <x v="2"/>
    <x v="0"/>
    <d v="1900-01-29T00:00:00"/>
    <d v="2025-03-04T00:00:00"/>
    <d v="2025-03-04T00:00:00"/>
    <x v="1"/>
    <x v="2"/>
    <s v="Osaka"/>
    <s v="Education"/>
    <x v="3"/>
    <x v="4"/>
    <x v="6"/>
    <s v="ACC-9591"/>
    <n v="766.59"/>
    <n v="1912.8"/>
    <n v="815.10700000000008"/>
    <n v="1620.05"/>
    <m/>
    <n v="0.19600000000000001"/>
    <n v="0"/>
    <n v="5"/>
    <n v="9564"/>
    <n v="3832.9500000000003"/>
    <n v="5731.0499999999993"/>
    <n v="0.5992314930991216"/>
  </r>
  <r>
    <s v="ORD-2023-334213"/>
    <n v="1"/>
    <x v="66"/>
    <n v="202308"/>
    <n v="202301"/>
    <n v="202301"/>
    <n v="7"/>
    <s v="Aug-2023"/>
    <x v="4"/>
    <x v="1"/>
    <n v="4"/>
    <d v="2023-08-23T00:00:00"/>
    <d v="2023-08-23T00:00:00"/>
    <x v="0"/>
    <x v="1"/>
    <s v="Abuja"/>
    <s v="Small Business"/>
    <x v="1"/>
    <x v="1"/>
    <x v="5"/>
    <s v="MON-5517"/>
    <n v="790.63"/>
    <n v="1382.31"/>
    <n v="815.10700000000008"/>
    <n v="1620.05"/>
    <s v="High"/>
    <n v="0.10100000000000001"/>
    <n v="0"/>
    <n v="7"/>
    <n v="9676.17"/>
    <n v="5534.41"/>
    <n v="4141.76"/>
    <n v="0.42803712625966683"/>
  </r>
  <r>
    <s v="ORD-2024-640340"/>
    <n v="1"/>
    <x v="168"/>
    <n v="202410"/>
    <n v="202301"/>
    <n v="202301"/>
    <n v="21"/>
    <s v="Oct-2024"/>
    <x v="11"/>
    <x v="1"/>
    <n v="7"/>
    <d v="2024-10-29T00:00:00"/>
    <d v="2024-10-29T00:00:00"/>
    <x v="0"/>
    <x v="1"/>
    <s v="Port Harcourt"/>
    <s v="Enterprise"/>
    <x v="3"/>
    <x v="12"/>
    <x v="5"/>
    <s v="MON-8758"/>
    <n v="1023.06"/>
    <n v="1355.61"/>
    <n v="815.10700000000008"/>
    <n v="1620.05"/>
    <s v="Medium"/>
    <n v="0.153"/>
    <n v="0"/>
    <n v="23"/>
    <n v="31179.03"/>
    <n v="23530.379999999997"/>
    <n v="7648.6500000000015"/>
    <n v="0.24531391771969821"/>
  </r>
  <r>
    <s v="ORD-2023-399631"/>
    <m/>
    <x v="169"/>
    <d v="2453-11-21T00:00:00"/>
    <d v="2453-11-16T00:00:00"/>
    <d v="2453-11-16T00:00:00"/>
    <d v="1900-01-04T00:00:00"/>
    <s v="Jun-2023"/>
    <x v="2"/>
    <x v="0"/>
    <d v="1900-01-28T00:00:00"/>
    <d v="2023-07-21T00:00:00"/>
    <d v="2023-07-21T00:00:00"/>
    <x v="3"/>
    <x v="7"/>
    <s v="Lyon"/>
    <s v="Corporate"/>
    <x v="0"/>
    <x v="1"/>
    <x v="6"/>
    <s v="ACC-3385"/>
    <n v="734.34"/>
    <n v="887.9"/>
    <n v="815.10700000000008"/>
    <n v="1620.05"/>
    <m/>
    <n v="2.5000000000000001E-2"/>
    <n v="0"/>
    <n v="12"/>
    <n v="10654.8"/>
    <n v="8812.08"/>
    <n v="1842.7199999999993"/>
    <n v="0.17294740398693542"/>
  </r>
  <r>
    <s v="ORD-2025-542939"/>
    <m/>
    <x v="170"/>
    <d v="2454-06-04T00:00:00"/>
    <d v="2453-11-16T00:00:00"/>
    <d v="2453-11-16T00:00:00"/>
    <d v="1900-01-23T00:00:00"/>
    <s v="Jan-2025"/>
    <x v="9"/>
    <x v="0"/>
    <d v="1900-01-25T00:00:00"/>
    <d v="2025-02-08T00:00:00"/>
    <d v="2025-02-08T00:00:00"/>
    <x v="3"/>
    <x v="7"/>
    <s v="Paris"/>
    <s v="Non-Profit"/>
    <x v="1"/>
    <x v="6"/>
    <x v="5"/>
    <s v="MON-1593"/>
    <n v="594.74"/>
    <n v="1020.69"/>
    <n v="815.10700000000008"/>
    <n v="1620.05"/>
    <m/>
    <n v="0.21099999999999999"/>
    <n v="1"/>
    <n v="6"/>
    <n v="6124.14"/>
    <n v="3568.44"/>
    <n v="2555.7000000000003"/>
    <n v="0.417315737393332"/>
  </r>
  <r>
    <s v="ORD-2023-825836"/>
    <n v="1"/>
    <x v="171"/>
    <n v="202307"/>
    <n v="202301"/>
    <n v="202301"/>
    <n v="6"/>
    <s v="Jul-2023"/>
    <x v="4"/>
    <x v="0"/>
    <n v="12"/>
    <d v="2023-07-31T00:00:00"/>
    <d v="2023-07-31T00:00:00"/>
    <x v="2"/>
    <x v="5"/>
    <s v="Rio de Janeiro"/>
    <s v="Corporate"/>
    <x v="0"/>
    <x v="0"/>
    <x v="5"/>
    <s v="MON-7869"/>
    <n v="1334.64"/>
    <n v="2273.42"/>
    <n v="815.10700000000008"/>
    <n v="1620.05"/>
    <s v="Medium"/>
    <n v="0.11799999999999999"/>
    <n v="0"/>
    <n v="14"/>
    <n v="31827.88"/>
    <n v="18684.960000000003"/>
    <n v="13142.919999999998"/>
    <n v="0.41293733669977384"/>
  </r>
  <r>
    <s v="ORD-2024-503082"/>
    <n v="1"/>
    <x v="172"/>
    <n v="202405"/>
    <n v="202301"/>
    <n v="202301"/>
    <n v="16"/>
    <s v="May-2024"/>
    <x v="11"/>
    <x v="0"/>
    <n v="20"/>
    <d v="2024-06-08T00:00:00"/>
    <d v="2024-06-08T00:00:00"/>
    <x v="2"/>
    <x v="5"/>
    <s v="Brasília"/>
    <s v="Small Business"/>
    <x v="0"/>
    <x v="6"/>
    <x v="5"/>
    <s v="MON-4271"/>
    <n v="1075.9000000000001"/>
    <n v="1242.1500000000001"/>
    <n v="815.10700000000008"/>
    <n v="1620.05"/>
    <s v="High"/>
    <n v="1.2E-2"/>
    <n v="0"/>
    <n v="7"/>
    <n v="8695.0500000000011"/>
    <n v="7531.3000000000011"/>
    <n v="1163.75"/>
    <n v="0.13384051845590306"/>
  </r>
  <r>
    <s v="ORD-2024-760799"/>
    <n v="1"/>
    <x v="162"/>
    <n v="202402"/>
    <n v="202301"/>
    <n v="202301"/>
    <n v="13"/>
    <s v="Feb-2024"/>
    <x v="6"/>
    <x v="0"/>
    <n v="16"/>
    <d v="2024-02-19T00:00:00"/>
    <d v="2024-02-19T00:00:00"/>
    <x v="1"/>
    <x v="9"/>
    <s v="Shenzhen"/>
    <s v="Small Business"/>
    <x v="1"/>
    <x v="10"/>
    <x v="4"/>
    <s v="LAP-5531"/>
    <n v="993.75"/>
    <n v="1310.29"/>
    <n v="815.10700000000008"/>
    <n v="1620.05"/>
    <s v="Medium"/>
    <n v="0.215"/>
    <n v="1"/>
    <n v="19"/>
    <n v="24895.51"/>
    <n v="18881.25"/>
    <n v="6014.2599999999984"/>
    <n v="0.24158010822031759"/>
  </r>
  <r>
    <s v="ORD-2023-197661"/>
    <n v="1"/>
    <x v="173"/>
    <n v="202308"/>
    <n v="202301"/>
    <n v="202301"/>
    <n v="7"/>
    <s v="Aug-2023"/>
    <x v="1"/>
    <x v="0"/>
    <n v="14"/>
    <d v="2023-08-22T00:00:00"/>
    <d v="2023-08-22T00:00:00"/>
    <x v="3"/>
    <x v="8"/>
    <s v="Birmingham"/>
    <s v="Non-Profit"/>
    <x v="4"/>
    <x v="13"/>
    <x v="5"/>
    <s v="MON-7511"/>
    <n v="446.69"/>
    <n v="967.25"/>
    <n v="815.10700000000008"/>
    <n v="1620.05"/>
    <s v="Medium"/>
    <n v="9.4E-2"/>
    <n v="0"/>
    <n v="10"/>
    <n v="9672.5"/>
    <n v="4466.8999999999996"/>
    <n v="5205.6000000000004"/>
    <n v="0.53818557766864827"/>
  </r>
  <r>
    <s v="ORD-2024-212990"/>
    <m/>
    <x v="174"/>
    <d v="2454-03-03T00:00:00"/>
    <d v="2453-11-16T00:00:00"/>
    <d v="2453-11-16T00:00:00"/>
    <d v="1900-01-18T00:00:00"/>
    <s v="Aug-2024"/>
    <x v="11"/>
    <x v="0"/>
    <d v="1900-01-21T00:00:00"/>
    <d v="2024-09-03T00:00:00"/>
    <d v="2024-09-03T00:00:00"/>
    <x v="2"/>
    <x v="10"/>
    <s v="Austin"/>
    <s v="Consumer"/>
    <x v="3"/>
    <x v="2"/>
    <x v="4"/>
    <s v="LAP-7979"/>
    <n v="797.8"/>
    <n v="886.22"/>
    <n v="815.10700000000008"/>
    <n v="1620.05"/>
    <m/>
    <n v="0.23599999999999999"/>
    <n v="1"/>
    <n v="36"/>
    <n v="31903.920000000002"/>
    <n v="28720.799999999999"/>
    <n v="3183.1200000000026"/>
    <n v="9.9772065627045284E-2"/>
  </r>
  <r>
    <s v="ORD-2023-925146"/>
    <n v="1"/>
    <x v="175"/>
    <n v="202310"/>
    <n v="202301"/>
    <n v="202301"/>
    <n v="9"/>
    <s v="Oct-2023"/>
    <x v="10"/>
    <x v="0"/>
    <n v="29"/>
    <d v="2023-11-13T00:00:00"/>
    <d v="2023-11-13T00:00:00"/>
    <x v="1"/>
    <x v="9"/>
    <s v="Shenzhen"/>
    <s v="Non-Profit"/>
    <x v="3"/>
    <x v="1"/>
    <x v="1"/>
    <s v="PRN-4983"/>
    <n v="986.44"/>
    <n v="790.61"/>
    <n v="815.10700000000008"/>
    <n v="1620.05"/>
    <s v="Medium"/>
    <n v="7.1999999999999995E-2"/>
    <n v="0"/>
    <n v="6"/>
    <n v="4743.66"/>
    <n v="5918.64"/>
    <n v="-1174.9800000000005"/>
    <n v="-0.24769481792539949"/>
  </r>
  <r>
    <s v="ORD-2023-177794"/>
    <m/>
    <x v="176"/>
    <d v="2453-11-20T00:00:00"/>
    <d v="2453-11-16T00:00:00"/>
    <d v="2453-11-16T00:00:00"/>
    <d v="1900-01-03T00:00:00"/>
    <s v="May-2023"/>
    <x v="5"/>
    <x v="0"/>
    <d v="1900-01-21T00:00:00"/>
    <d v="2023-05-26T00:00:00"/>
    <d v="2023-05-26T00:00:00"/>
    <x v="2"/>
    <x v="10"/>
    <s v="San Francisco"/>
    <s v="Enterprise"/>
    <x v="1"/>
    <x v="1"/>
    <x v="2"/>
    <s v="NET-5941"/>
    <n v="249.71"/>
    <n v="361.33"/>
    <n v="815.10700000000008"/>
    <n v="1620.05"/>
    <m/>
    <n v="9.4E-2"/>
    <n v="0"/>
    <n v="12"/>
    <n v="4335.96"/>
    <n v="2996.52"/>
    <n v="1339.44"/>
    <n v="0.30891428887720368"/>
  </r>
  <r>
    <s v="ORD-2024-444710"/>
    <n v="1"/>
    <x v="177"/>
    <n v="202409"/>
    <n v="202301"/>
    <n v="202301"/>
    <n v="20"/>
    <s v="Sept-2024"/>
    <x v="9"/>
    <x v="0"/>
    <n v="9"/>
    <d v="2024-10-01T00:00:00"/>
    <d v="2024-10-01T00:00:00"/>
    <x v="2"/>
    <x v="5"/>
    <s v="São Paulo"/>
    <s v="Non-Profit"/>
    <x v="1"/>
    <x v="11"/>
    <x v="5"/>
    <s v="MON-6341"/>
    <n v="1378.8"/>
    <n v="1952.04"/>
    <n v="815.10700000000008"/>
    <n v="1620.05"/>
    <s v="Low"/>
    <n v="0.159"/>
    <n v="0"/>
    <n v="19"/>
    <n v="37088.76"/>
    <n v="26197.200000000001"/>
    <n v="10891.560000000001"/>
    <n v="0.29366201512264095"/>
  </r>
  <r>
    <s v="ORD-2024-668926"/>
    <m/>
    <x v="1"/>
    <d v="2454-03-05T00:00:00"/>
    <d v="2453-11-18T00:00:00"/>
    <d v="2453-11-18T00:00:00"/>
    <d v="1900-01-18T00:00:00"/>
    <s v="Oct-2024"/>
    <x v="10"/>
    <x v="0"/>
    <d v="1900-01-21T00:00:00"/>
    <d v="2024-11-14T00:00:00"/>
    <d v="2024-11-14T00:00:00"/>
    <x v="1"/>
    <x v="2"/>
    <s v="Osaka"/>
    <s v="Non-Profit"/>
    <x v="4"/>
    <x v="5"/>
    <x v="3"/>
    <s v="PHN-9789"/>
    <n v="1406.4"/>
    <n v="1564.76"/>
    <n v="815.10700000000008"/>
    <n v="1620.05"/>
    <m/>
    <n v="0.185"/>
    <n v="0"/>
    <n v="17"/>
    <n v="26600.92"/>
    <n v="23908.800000000003"/>
    <n v="2692.1199999999953"/>
    <n v="0.10120401850763039"/>
  </r>
  <r>
    <s v="ORD-2024-968374"/>
    <m/>
    <x v="178"/>
    <d v="2454-02-25T00:00:00"/>
    <d v="2453-11-16T00:00:00"/>
    <d v="2453-11-16T00:00:00"/>
    <d v="1900-01-12T00:00:00"/>
    <s v="Feb-2024"/>
    <x v="2"/>
    <x v="0"/>
    <d v="1900-01-20T00:00:00"/>
    <d v="2024-03-03T00:00:00"/>
    <d v="2024-03-03T00:00:00"/>
    <x v="0"/>
    <x v="0"/>
    <s v="Kisumu"/>
    <s v="Enterprise"/>
    <x v="1"/>
    <x v="5"/>
    <x v="3"/>
    <s v="PHN-5082"/>
    <n v="516.86"/>
    <n v="852.54"/>
    <n v="815.10700000000008"/>
    <n v="1620.05"/>
    <m/>
    <n v="5.0999999999999997E-2"/>
    <n v="0"/>
    <n v="14"/>
    <n v="11935.56"/>
    <n v="7236.04"/>
    <n v="4699.5199999999995"/>
    <n v="0.39374105613812838"/>
  </r>
  <r>
    <s v="ORD-2023-575584"/>
    <m/>
    <x v="179"/>
    <d v="2453-11-16T00:00:00"/>
    <d v="2453-11-16T00:00:00"/>
    <d v="2453-11-16T00:00:00"/>
    <d v="1899-12-30T00:00:00"/>
    <s v="Jan-2023"/>
    <x v="1"/>
    <x v="0"/>
    <d v="1900-01-21T00:00:00"/>
    <d v="2023-02-21T00:00:00"/>
    <d v="2023-02-21T00:00:00"/>
    <x v="3"/>
    <x v="6"/>
    <s v="Munich"/>
    <s v="Small Business"/>
    <x v="2"/>
    <x v="3"/>
    <x v="2"/>
    <s v="NET-3460"/>
    <n v="1142.8800000000001"/>
    <n v="1465.29"/>
    <n v="815.10700000000008"/>
    <n v="1620.05"/>
    <m/>
    <n v="0.186"/>
    <n v="0"/>
    <n v="7"/>
    <n v="10257.029999999999"/>
    <n v="8000.1600000000008"/>
    <n v="2256.8699999999981"/>
    <n v="0.22003152959482408"/>
  </r>
  <r>
    <s v="ORD-2023-701153"/>
    <m/>
    <x v="27"/>
    <d v="2453-11-19T00:00:00"/>
    <d v="2453-11-16T00:00:00"/>
    <d v="2453-11-16T00:00:00"/>
    <d v="1900-01-02T00:00:00"/>
    <s v="Apr-2023"/>
    <x v="3"/>
    <x v="0"/>
    <d v="1900-01-28T00:00:00"/>
    <d v="2023-05-13T00:00:00"/>
    <d v="2023-05-13T00:00:00"/>
    <x v="3"/>
    <x v="6"/>
    <s v="Frankfurt"/>
    <s v="Consumer"/>
    <x v="4"/>
    <x v="1"/>
    <x v="1"/>
    <s v="PRN-7019"/>
    <n v="1320.33"/>
    <n v="2645.23"/>
    <n v="815.10700000000008"/>
    <n v="1620.05"/>
    <m/>
    <n v="0.155"/>
    <n v="0"/>
    <n v="25"/>
    <n v="66130.75"/>
    <n v="33008.25"/>
    <n v="33122.5"/>
    <n v="0.50086381902518873"/>
  </r>
  <r>
    <s v="ORD-2023-382017"/>
    <m/>
    <x v="180"/>
    <d v="2453-11-16T00:00:00"/>
    <d v="2453-11-16T00:00:00"/>
    <d v="2453-11-16T00:00:00"/>
    <d v="1899-12-30T00:00:00"/>
    <s v="Jan-2023"/>
    <x v="9"/>
    <x v="1"/>
    <d v="1900-01-05T00:00:00"/>
    <d v="2023-01-19T00:00:00"/>
    <d v="2023-01-19T00:00:00"/>
    <x v="2"/>
    <x v="10"/>
    <s v="Chicago"/>
    <s v="Corporate"/>
    <x v="4"/>
    <x v="10"/>
    <x v="3"/>
    <s v="PHN-3159"/>
    <n v="833.57"/>
    <n v="881.57"/>
    <n v="815.10700000000008"/>
    <n v="1620.05"/>
    <m/>
    <n v="5.7000000000000002E-2"/>
    <n v="0"/>
    <n v="18"/>
    <n v="15868.26"/>
    <n v="15004.26"/>
    <n v="864"/>
    <n v="5.4448313803781886E-2"/>
  </r>
  <r>
    <s v="ORD-2024-999607"/>
    <m/>
    <x v="181"/>
    <d v="2454-02-24T00:00:00"/>
    <d v="2453-11-16T00:00:00"/>
    <d v="2453-11-16T00:00:00"/>
    <d v="1900-01-11T00:00:00"/>
    <s v="Jan-2024"/>
    <x v="3"/>
    <x v="0"/>
    <d v="1900-01-16T00:00:00"/>
    <d v="2024-01-29T00:00:00"/>
    <d v="2024-01-29T00:00:00"/>
    <x v="2"/>
    <x v="10"/>
    <s v="Chicago"/>
    <s v="Education"/>
    <x v="3"/>
    <x v="8"/>
    <x v="1"/>
    <s v="PRN-8604"/>
    <n v="493.76"/>
    <n v="625.04"/>
    <n v="815.10700000000008"/>
    <n v="1620.05"/>
    <m/>
    <n v="0.25800000000000001"/>
    <n v="1"/>
    <n v="10"/>
    <n v="6250.4"/>
    <n v="4937.6000000000004"/>
    <n v="1312.7999999999993"/>
    <n v="0.21003455778830143"/>
  </r>
  <r>
    <s v="ORD-2023-133848"/>
    <m/>
    <x v="182"/>
    <d v="2453-11-23T00:00:00"/>
    <d v="2453-11-16T00:00:00"/>
    <d v="2453-11-16T00:00:00"/>
    <d v="1900-01-06T00:00:00"/>
    <s v="Aug-2023"/>
    <x v="1"/>
    <x v="0"/>
    <d v="1900-01-22T00:00:00"/>
    <d v="2023-09-07T00:00:00"/>
    <d v="2023-09-07T00:00:00"/>
    <x v="2"/>
    <x v="10"/>
    <s v="New York"/>
    <s v="Enterprise"/>
    <x v="1"/>
    <x v="11"/>
    <x v="3"/>
    <s v="PHN-2013"/>
    <n v="590.33000000000004"/>
    <n v="973.04"/>
    <n v="815.10700000000008"/>
    <n v="1620.05"/>
    <m/>
    <n v="0"/>
    <n v="0"/>
    <n v="26"/>
    <n v="25299.040000000001"/>
    <n v="15348.580000000002"/>
    <n v="9950.4599999999991"/>
    <n v="0.39331373838691108"/>
  </r>
  <r>
    <s v="ORD-2023-586275"/>
    <m/>
    <x v="183"/>
    <d v="2453-11-16T00:00:00"/>
    <d v="2453-11-16T00:00:00"/>
    <d v="2453-11-16T00:00:00"/>
    <d v="1899-12-30T00:00:00"/>
    <s v="Jan-2023"/>
    <x v="11"/>
    <x v="0"/>
    <d v="1900-01-13T00:00:00"/>
    <d v="2023-02-03T00:00:00"/>
    <d v="2023-02-03T00:00:00"/>
    <x v="0"/>
    <x v="0"/>
    <s v="Kisumu"/>
    <s v="Corporate"/>
    <x v="0"/>
    <x v="12"/>
    <x v="2"/>
    <s v="NET-6036"/>
    <n v="884.36"/>
    <n v="1545.34"/>
    <n v="815.10700000000008"/>
    <n v="1620.05"/>
    <m/>
    <n v="0.24299999999999999"/>
    <n v="1"/>
    <n v="41"/>
    <n v="63358.939999999995"/>
    <n v="36258.76"/>
    <n v="27100.179999999993"/>
    <n v="0.42772464312060771"/>
  </r>
  <r>
    <s v="ORD-2025-964661"/>
    <n v="1"/>
    <x v="184"/>
    <n v="202502"/>
    <n v="202301"/>
    <n v="202301"/>
    <n v="25"/>
    <s v="Feb-2025"/>
    <x v="3"/>
    <x v="0"/>
    <n v="21"/>
    <d v="2025-02-25T00:00:00"/>
    <d v="2025-02-25T00:00:00"/>
    <x v="3"/>
    <x v="8"/>
    <s v="Birmingham"/>
    <s v="Corporate"/>
    <x v="2"/>
    <x v="14"/>
    <x v="5"/>
    <s v="MON-4959"/>
    <n v="1016.32"/>
    <n v="2253.42"/>
    <n v="815.10700000000008"/>
    <n v="1620.05"/>
    <s v="Medium"/>
    <n v="5.5E-2"/>
    <n v="0"/>
    <n v="12"/>
    <n v="27041.040000000001"/>
    <n v="12195.84"/>
    <n v="14845.2"/>
    <n v="0.54898776082576706"/>
  </r>
  <r>
    <s v="ORD-2023-390998"/>
    <m/>
    <x v="43"/>
    <d v="2453-11-19T00:00:00"/>
    <d v="2453-11-16T00:00:00"/>
    <d v="2453-11-16T00:00:00"/>
    <d v="1900-01-02T00:00:00"/>
    <s v="Apr-2023"/>
    <x v="4"/>
    <x v="0"/>
    <d v="1900-01-08T00:00:00"/>
    <d v="2023-04-28T00:00:00"/>
    <d v="2023-04-28T00:00:00"/>
    <x v="3"/>
    <x v="6"/>
    <s v="Berlin"/>
    <s v="Education"/>
    <x v="1"/>
    <x v="6"/>
    <x v="5"/>
    <s v="MON-1663"/>
    <n v="1178.42"/>
    <n v="2446.56"/>
    <n v="815.10700000000008"/>
    <n v="1620.05"/>
    <m/>
    <n v="2.9000000000000001E-2"/>
    <n v="0"/>
    <n v="11"/>
    <n v="26912.16"/>
    <n v="12962.62"/>
    <n v="13949.539999999999"/>
    <n v="0.51833594925119353"/>
  </r>
  <r>
    <s v="ORD-2023-920483"/>
    <n v="1"/>
    <x v="185"/>
    <n v="202307"/>
    <n v="202301"/>
    <n v="202301"/>
    <n v="6"/>
    <s v="Jul-2023"/>
    <x v="9"/>
    <x v="0"/>
    <n v="30"/>
    <d v="2023-08-01T00:00:00"/>
    <d v="2023-08-01T00:00:00"/>
    <x v="3"/>
    <x v="8"/>
    <s v="Birmingham"/>
    <s v="Small Business"/>
    <x v="0"/>
    <x v="5"/>
    <x v="0"/>
    <s v="CMP-7256"/>
    <n v="137.46"/>
    <n v="188.3"/>
    <n v="815.10700000000008"/>
    <n v="1620.05"/>
    <s v="High"/>
    <n v="3.7999999999999999E-2"/>
    <n v="0"/>
    <n v="37"/>
    <n v="6967.1"/>
    <n v="5086.0200000000004"/>
    <n v="1881.08"/>
    <n v="0.26999468932554432"/>
  </r>
  <r>
    <s v="ORD-2025-146850"/>
    <m/>
    <x v="51"/>
    <d v="2454-06-04T00:00:00"/>
    <d v="2453-11-16T00:00:00"/>
    <d v="2453-11-16T00:00:00"/>
    <d v="1900-01-23T00:00:00"/>
    <s v="Jan-2025"/>
    <x v="11"/>
    <x v="0"/>
    <d v="1900-01-23T00:00:00"/>
    <d v="2025-02-14T00:00:00"/>
    <d v="2025-02-14T00:00:00"/>
    <x v="0"/>
    <x v="0"/>
    <s v="Nairobi"/>
    <s v="Small Business"/>
    <x v="0"/>
    <x v="1"/>
    <x v="6"/>
    <s v="ACC-1659"/>
    <n v="1030.44"/>
    <n v="2562.84"/>
    <n v="815.10700000000008"/>
    <n v="1620.05"/>
    <m/>
    <n v="0.14799999999999999"/>
    <n v="0"/>
    <n v="13"/>
    <n v="33316.92"/>
    <n v="13395.720000000001"/>
    <n v="19921.199999999997"/>
    <n v="0.5979304209392704"/>
  </r>
  <r>
    <s v="ORD-2024-687100"/>
    <m/>
    <x v="186"/>
    <d v="2454-03-04T00:00:00"/>
    <d v="2453-11-16T00:00:00"/>
    <d v="2453-11-16T00:00:00"/>
    <d v="1900-01-19T00:00:00"/>
    <s v="Sept-2024"/>
    <x v="4"/>
    <x v="0"/>
    <d v="1900-01-26T00:00:00"/>
    <d v="2024-10-07T00:00:00"/>
    <d v="2024-10-07T00:00:00"/>
    <x v="0"/>
    <x v="0"/>
    <s v="Kisumu"/>
    <s v="Consumer"/>
    <x v="0"/>
    <x v="4"/>
    <x v="1"/>
    <s v="PRN-6068"/>
    <n v="1248.3900000000001"/>
    <n v="1805.11"/>
    <n v="815.10700000000008"/>
    <n v="1620.05"/>
    <m/>
    <n v="0.20300000000000001"/>
    <n v="1"/>
    <n v="11"/>
    <n v="19856.21"/>
    <n v="13732.29"/>
    <n v="6123.9199999999983"/>
    <n v="0.30841333769133178"/>
  </r>
  <r>
    <s v="ORD-2025-629393"/>
    <n v="1"/>
    <x v="187"/>
    <n v="202507"/>
    <n v="202301"/>
    <n v="202301"/>
    <n v="30"/>
    <s v="Jul-2025"/>
    <x v="10"/>
    <x v="0"/>
    <n v="17"/>
    <d v="2025-08-07T00:00:00"/>
    <d v="2025-08-07T00:00:00"/>
    <x v="0"/>
    <x v="1"/>
    <s v="Lagos"/>
    <s v="Enterprise"/>
    <x v="4"/>
    <x v="12"/>
    <x v="6"/>
    <s v="ACC-8999"/>
    <n v="1204.95"/>
    <n v="2065.73"/>
    <n v="815.10700000000008"/>
    <n v="1620.05"/>
    <s v="High"/>
    <n v="0.13600000000000001"/>
    <n v="0"/>
    <n v="10"/>
    <n v="20657.3"/>
    <n v="12049.5"/>
    <n v="8607.7999999999993"/>
    <n v="0.41669530868022442"/>
  </r>
  <r>
    <s v="ORD-2024-686712"/>
    <m/>
    <x v="188"/>
    <d v="2454-03-05T00:00:00"/>
    <d v="2453-11-16T00:00:00"/>
    <d v="2453-11-16T00:00:00"/>
    <d v="1900-01-20T00:00:00"/>
    <s v="Oct-2024"/>
    <x v="8"/>
    <x v="0"/>
    <d v="1900-01-20T00:00:00"/>
    <d v="2024-10-23T00:00:00"/>
    <d v="2024-10-23T00:00:00"/>
    <x v="0"/>
    <x v="11"/>
    <s v="Durban"/>
    <s v="Corporate"/>
    <x v="2"/>
    <x v="8"/>
    <x v="0"/>
    <s v="CMP-3978"/>
    <n v="1095.6099999999999"/>
    <n v="2366.5100000000002"/>
    <n v="815.10700000000008"/>
    <n v="1620.05"/>
    <m/>
    <n v="0.152"/>
    <n v="0"/>
    <n v="9"/>
    <n v="21298.590000000004"/>
    <n v="9860.49"/>
    <n v="11438.100000000004"/>
    <n v="0.53703555024064986"/>
  </r>
  <r>
    <s v="ORD-2025-586799"/>
    <n v="1"/>
    <x v="189"/>
    <n v="202507"/>
    <n v="202301"/>
    <n v="202301"/>
    <n v="30"/>
    <s v="Jul-2025"/>
    <x v="2"/>
    <x v="0"/>
    <n v="21"/>
    <d v="2025-08-04T00:00:00"/>
    <d v="2025-08-04T00:00:00"/>
    <x v="2"/>
    <x v="3"/>
    <s v="Montreal"/>
    <s v="Consumer"/>
    <x v="1"/>
    <x v="10"/>
    <x v="5"/>
    <s v="MON-7868"/>
    <n v="90.3"/>
    <n v="131.76"/>
    <n v="815.10700000000008"/>
    <n v="1620.05"/>
    <s v="High"/>
    <n v="0.10199999999999999"/>
    <n v="0"/>
    <n v="15"/>
    <n v="1976.3999999999999"/>
    <n v="1354.5"/>
    <n v="621.89999999999986"/>
    <n v="0.31466302367941706"/>
  </r>
  <r>
    <s v="ORD-2024-988736"/>
    <n v="1"/>
    <x v="190"/>
    <n v="202409"/>
    <n v="202301"/>
    <n v="202301"/>
    <n v="20"/>
    <s v="Sept-2024"/>
    <x v="8"/>
    <x v="0"/>
    <n v="22"/>
    <d v="2024-10-01T00:00:00"/>
    <d v="2024-10-01T00:00:00"/>
    <x v="1"/>
    <x v="9"/>
    <s v="Shenzhen"/>
    <s v="Consumer"/>
    <x v="4"/>
    <x v="4"/>
    <x v="1"/>
    <s v="PRN-3014"/>
    <n v="1166.18"/>
    <n v="1335.02"/>
    <n v="815.10700000000008"/>
    <n v="1620.05"/>
    <s v="Low"/>
    <n v="0.128"/>
    <n v="0"/>
    <n v="6"/>
    <n v="8010.12"/>
    <n v="6997.08"/>
    <n v="1013.04"/>
    <n v="0.12647001543048045"/>
  </r>
  <r>
    <s v="ORD-2025-564184"/>
    <m/>
    <x v="191"/>
    <d v="2454-06-04T00:00:00"/>
    <d v="2453-11-16T00:00:00"/>
    <d v="2453-11-16T00:00:00"/>
    <d v="1900-01-23T00:00:00"/>
    <s v="Jan-2025"/>
    <x v="10"/>
    <x v="0"/>
    <d v="1900-01-07T00:00:00"/>
    <d v="2025-02-06T00:00:00"/>
    <d v="2025-02-06T00:00:00"/>
    <x v="0"/>
    <x v="0"/>
    <s v="Kisumu"/>
    <s v="Education"/>
    <x v="0"/>
    <x v="5"/>
    <x v="3"/>
    <s v="PHN-1671"/>
    <n v="1445.27"/>
    <n v="2691.45"/>
    <n v="815.10700000000008"/>
    <n v="1620.05"/>
    <m/>
    <n v="0"/>
    <n v="0"/>
    <n v="9"/>
    <n v="24223.05"/>
    <n v="13007.43"/>
    <n v="11215.619999999999"/>
    <n v="0.46301436028906351"/>
  </r>
  <r>
    <s v="ORD-2023-653343"/>
    <n v="1"/>
    <x v="192"/>
    <n v="202311"/>
    <n v="202301"/>
    <n v="202301"/>
    <n v="10"/>
    <s v="Nov-2023"/>
    <x v="4"/>
    <x v="0"/>
    <n v="18"/>
    <d v="2023-11-28T00:00:00"/>
    <d v="2023-11-28T00:00:00"/>
    <x v="2"/>
    <x v="5"/>
    <s v="Brasília"/>
    <s v="Education"/>
    <x v="2"/>
    <x v="4"/>
    <x v="6"/>
    <s v="ACC-5260"/>
    <n v="388.51"/>
    <n v="776.46"/>
    <n v="815.10700000000008"/>
    <n v="1620.05"/>
    <s v="High"/>
    <n v="0.157"/>
    <n v="0"/>
    <n v="12"/>
    <n v="9317.52"/>
    <n v="4662.12"/>
    <n v="4655.4000000000005"/>
    <n v="0.49963938902197153"/>
  </r>
  <r>
    <s v="ORD-2024-197852"/>
    <m/>
    <x v="193"/>
    <d v="2454-02-25T00:00:00"/>
    <d v="2453-11-18T00:00:00"/>
    <d v="2453-11-18T00:00:00"/>
    <d v="1900-01-10T00:00:00"/>
    <s v="Feb-2024"/>
    <x v="5"/>
    <x v="0"/>
    <d v="1900-01-29T00:00:00"/>
    <d v="2024-03-30T00:00:00"/>
    <d v="2024-03-30T00:00:00"/>
    <x v="1"/>
    <x v="2"/>
    <s v="Nagoya"/>
    <s v="Small Business"/>
    <x v="4"/>
    <x v="2"/>
    <x v="2"/>
    <s v="NET-7588"/>
    <n v="231.11"/>
    <n v="318.17"/>
    <n v="815.10700000000008"/>
    <n v="1620.05"/>
    <m/>
    <n v="0.20100000000000001"/>
    <n v="1"/>
    <n v="60"/>
    <n v="19090.2"/>
    <n v="13866.6"/>
    <n v="5223.6000000000004"/>
    <n v="0.27362730615708586"/>
  </r>
  <r>
    <s v="ORD-2023-431328"/>
    <n v="1"/>
    <x v="194"/>
    <n v="202312"/>
    <n v="202302"/>
    <n v="202302"/>
    <n v="10"/>
    <s v="Dec-2023"/>
    <x v="1"/>
    <x v="0"/>
    <n v="25"/>
    <d v="2024-01-14T00:00:00"/>
    <d v="2024-01-14T00:00:00"/>
    <x v="1"/>
    <x v="4"/>
    <s v="Mumbai"/>
    <s v="Non-Profit"/>
    <x v="2"/>
    <x v="4"/>
    <x v="5"/>
    <s v="MON-1572"/>
    <n v="1085.6099999999999"/>
    <n v="1246.4100000000001"/>
    <n v="815.10700000000008"/>
    <n v="1620.05"/>
    <s v="Low"/>
    <n v="0.113"/>
    <n v="0"/>
    <n v="7"/>
    <n v="8724.8700000000008"/>
    <n v="7599.2699999999995"/>
    <n v="1125.6000000000013"/>
    <n v="0.12901051820829434"/>
  </r>
  <r>
    <s v="ORD-2023-613317"/>
    <m/>
    <x v="119"/>
    <d v="2453-11-16T00:00:00"/>
    <d v="2453-11-16T00:00:00"/>
    <d v="2453-11-16T00:00:00"/>
    <d v="1899-12-30T00:00:00"/>
    <s v="Jan-2023"/>
    <x v="5"/>
    <x v="1"/>
    <d v="1899-12-30T00:00:00"/>
    <d v="2023-01-22T00:00:00"/>
    <d v="2023-01-21T00:00:00"/>
    <x v="3"/>
    <x v="6"/>
    <s v="Munich"/>
    <s v="Corporate"/>
    <x v="4"/>
    <x v="9"/>
    <x v="5"/>
    <s v="MON-2537"/>
    <n v="150.86000000000001"/>
    <n v="346.96"/>
    <n v="815.10700000000008"/>
    <n v="1620.05"/>
    <m/>
    <n v="0.19600000000000001"/>
    <n v="0"/>
    <n v="8"/>
    <n v="2775.68"/>
    <n v="1206.8800000000001"/>
    <n v="1568.7999999999997"/>
    <n v="0.56519483513949731"/>
  </r>
  <r>
    <s v="ORD-2024-720756"/>
    <n v="1"/>
    <x v="195"/>
    <n v="202410"/>
    <n v="202301"/>
    <n v="202301"/>
    <n v="21"/>
    <s v="Oct-2024"/>
    <x v="3"/>
    <x v="0"/>
    <n v="29"/>
    <d v="2024-11-09T00:00:00"/>
    <d v="2024-11-09T00:00:00"/>
    <x v="1"/>
    <x v="9"/>
    <s v="Shanghai"/>
    <s v="Non-Profit"/>
    <x v="1"/>
    <x v="9"/>
    <x v="1"/>
    <s v="PRN-5666"/>
    <n v="391.64"/>
    <n v="504.76"/>
    <n v="815.10700000000008"/>
    <n v="1620.05"/>
    <s v="Low"/>
    <n v="4.0000000000000001E-3"/>
    <n v="0"/>
    <n v="13"/>
    <n v="6561.88"/>
    <n v="5091.32"/>
    <n v="1470.5600000000004"/>
    <n v="0.22410650606228708"/>
  </r>
  <r>
    <s v="ORD-2024-777623"/>
    <n v="1"/>
    <x v="196"/>
    <n v="202409"/>
    <n v="202301"/>
    <n v="202301"/>
    <n v="20"/>
    <s v="Sept-2024"/>
    <x v="2"/>
    <x v="0"/>
    <n v="25"/>
    <d v="2024-10-14T00:00:00"/>
    <d v="2024-10-14T00:00:00"/>
    <x v="2"/>
    <x v="5"/>
    <s v="Rio de Janeiro"/>
    <s v="Small Business"/>
    <x v="0"/>
    <x v="11"/>
    <x v="1"/>
    <s v="PRN-2749"/>
    <n v="386.96"/>
    <n v="937.46"/>
    <n v="815.10700000000008"/>
    <n v="1620.05"/>
    <s v="Low"/>
    <n v="0.26600000000000001"/>
    <n v="1"/>
    <n v="41"/>
    <n v="38435.86"/>
    <n v="15865.359999999999"/>
    <n v="22570.5"/>
    <n v="0.58722505493567723"/>
  </r>
  <r>
    <s v="ORD-2025-762212"/>
    <m/>
    <x v="197"/>
    <d v="2454-06-11T00:00:00"/>
    <d v="2453-11-16T00:00:00"/>
    <d v="2453-11-16T00:00:00"/>
    <d v="1900-01-30T00:00:00"/>
    <s v="Aug-2025"/>
    <x v="10"/>
    <x v="0"/>
    <d v="1900-01-29T00:00:00"/>
    <d v="2025-09-24T00:00:00"/>
    <d v="2025-09-24T00:00:00"/>
    <x v="0"/>
    <x v="0"/>
    <s v="Nairobi"/>
    <s v="Consumer"/>
    <x v="4"/>
    <x v="5"/>
    <x v="0"/>
    <s v="CMP-4970"/>
    <n v="589.14"/>
    <n v="1300.58"/>
    <n v="815.10700000000008"/>
    <n v="1620.05"/>
    <m/>
    <n v="5.5E-2"/>
    <n v="0"/>
    <n v="11"/>
    <n v="14306.38"/>
    <n v="6480.54"/>
    <n v="7825.8399999999992"/>
    <n v="0.54701748450691223"/>
  </r>
  <r>
    <s v="ORD-2023-271918"/>
    <m/>
    <x v="198"/>
    <d v="2453-11-24T00:00:00"/>
    <d v="2453-11-16T00:00:00"/>
    <d v="2453-11-16T00:00:00"/>
    <d v="1900-01-07T00:00:00"/>
    <s v="Sept-2023"/>
    <x v="8"/>
    <x v="1"/>
    <d v="1900-01-06T00:00:00"/>
    <d v="2023-10-02T00:00:00"/>
    <d v="2023-10-02T00:00:00"/>
    <x v="2"/>
    <x v="10"/>
    <s v="New York"/>
    <s v="Education"/>
    <x v="2"/>
    <x v="2"/>
    <x v="6"/>
    <s v="ACC-3551"/>
    <n v="145.58000000000001"/>
    <n v="228.15"/>
    <n v="815.10700000000008"/>
    <n v="1620.05"/>
    <m/>
    <n v="0.20399999999999999"/>
    <n v="1"/>
    <n v="5"/>
    <n v="1140.75"/>
    <n v="727.90000000000009"/>
    <n v="412.84999999999991"/>
    <n v="0.36191102344948489"/>
  </r>
  <r>
    <s v="ORD-2023-713375"/>
    <m/>
    <x v="199"/>
    <d v="2453-11-23T00:00:00"/>
    <d v="2453-11-16T00:00:00"/>
    <d v="2453-11-16T00:00:00"/>
    <d v="1900-01-06T00:00:00"/>
    <s v="Aug-2023"/>
    <x v="11"/>
    <x v="0"/>
    <d v="1900-01-14T00:00:00"/>
    <d v="2023-09-10T00:00:00"/>
    <d v="2023-09-10T00:00:00"/>
    <x v="0"/>
    <x v="11"/>
    <s v="Cape Town"/>
    <s v="Non-Profit"/>
    <x v="4"/>
    <x v="13"/>
    <x v="0"/>
    <s v="CMP-7063"/>
    <n v="241.14"/>
    <n v="496.52"/>
    <n v="815.10700000000008"/>
    <n v="1620.05"/>
    <m/>
    <n v="9.2999999999999999E-2"/>
    <n v="0"/>
    <n v="10"/>
    <n v="4965.2"/>
    <n v="2411.3999999999996"/>
    <n v="2553.8000000000002"/>
    <n v="0.51433980504310006"/>
  </r>
  <r>
    <s v="ORD-2025-678688"/>
    <m/>
    <x v="200"/>
    <d v="2454-06-10T00:00:00"/>
    <d v="2453-11-16T00:00:00"/>
    <d v="2453-11-16T00:00:00"/>
    <d v="1900-01-29T00:00:00"/>
    <s v="Jul-2025"/>
    <x v="11"/>
    <x v="1"/>
    <d v="1899-12-31T00:00:00"/>
    <d v="2025-07-17T00:00:00"/>
    <d v="2025-07-17T00:00:00"/>
    <x v="0"/>
    <x v="11"/>
    <s v="Durban"/>
    <s v="Small Business"/>
    <x v="3"/>
    <x v="5"/>
    <x v="2"/>
    <s v="NET-1612"/>
    <n v="1198.9000000000001"/>
    <n v="2941.2"/>
    <n v="815.10700000000008"/>
    <n v="1620.05"/>
    <m/>
    <n v="5.0999999999999997E-2"/>
    <n v="0"/>
    <n v="24"/>
    <n v="70588.799999999988"/>
    <n v="28773.600000000002"/>
    <n v="41815.199999999983"/>
    <n v="0.59237726098191201"/>
  </r>
  <r>
    <s v="ORD-2023-501220"/>
    <n v="1"/>
    <x v="43"/>
    <n v="202304"/>
    <n v="202301"/>
    <n v="202301"/>
    <n v="3"/>
    <s v="Apr-2023"/>
    <x v="8"/>
    <x v="0"/>
    <n v="18"/>
    <d v="2023-05-07T00:00:00"/>
    <d v="2023-05-07T00:00:00"/>
    <x v="3"/>
    <x v="8"/>
    <s v="Birmingham"/>
    <s v="Enterprise"/>
    <x v="0"/>
    <x v="13"/>
    <x v="4"/>
    <s v="LAP-9766"/>
    <n v="1089.1500000000001"/>
    <n v="1088.2"/>
    <n v="815.10700000000008"/>
    <n v="1620.05"/>
    <s v="High"/>
    <n v="5.0999999999999997E-2"/>
    <n v="0"/>
    <n v="15"/>
    <n v="16323"/>
    <n v="16337.250000000002"/>
    <n v="-14.250000000001819"/>
    <n v="-8.7300128652832319E-4"/>
  </r>
  <r>
    <s v="ORD-2023-195665"/>
    <n v="1"/>
    <x v="201"/>
    <n v="202312"/>
    <n v="202301"/>
    <n v="202301"/>
    <n v="11"/>
    <s v="Dec-2023"/>
    <x v="9"/>
    <x v="1"/>
    <n v="1"/>
    <d v="2023-12-20T00:00:00"/>
    <d v="2023-12-20T00:00:00"/>
    <x v="2"/>
    <x v="5"/>
    <s v="Rio de Janeiro"/>
    <s v="Consumer"/>
    <x v="3"/>
    <x v="1"/>
    <x v="3"/>
    <s v="PHN-7274"/>
    <n v="1080.43"/>
    <n v="2529.15"/>
    <n v="815.10700000000008"/>
    <n v="1620.05"/>
    <s v="Medium"/>
    <n v="0.14699999999999999"/>
    <n v="0"/>
    <n v="10"/>
    <n v="25291.5"/>
    <n v="10804.300000000001"/>
    <n v="14487.199999999999"/>
    <n v="0.57280904651760467"/>
  </r>
  <r>
    <s v="ORD-2023-290237"/>
    <m/>
    <x v="202"/>
    <d v="2453-11-22T00:00:00"/>
    <d v="2453-11-18T00:00:00"/>
    <d v="2453-11-18T00:00:00"/>
    <d v="1900-01-03T00:00:00"/>
    <s v="Jul-2023"/>
    <x v="5"/>
    <x v="0"/>
    <d v="1900-01-07T00:00:00"/>
    <d v="2023-08-07T00:00:00"/>
    <d v="2023-08-07T00:00:00"/>
    <x v="1"/>
    <x v="2"/>
    <s v="Nagoya"/>
    <s v="Education"/>
    <x v="2"/>
    <x v="8"/>
    <x v="2"/>
    <s v="NET-1645"/>
    <n v="1352.44"/>
    <n v="2698.01"/>
    <n v="815.10700000000008"/>
    <n v="1620.05"/>
    <m/>
    <n v="0.13100000000000001"/>
    <n v="0"/>
    <n v="13"/>
    <n v="35074.130000000005"/>
    <n v="17581.72"/>
    <n v="17492.410000000003"/>
    <n v="0.49872683941126983"/>
  </r>
  <r>
    <s v="ORD-2023-302041"/>
    <m/>
    <x v="203"/>
    <d v="2453-11-25T00:00:00"/>
    <d v="2453-11-16T00:00:00"/>
    <d v="2453-11-16T00:00:00"/>
    <d v="1900-01-08T00:00:00"/>
    <s v="Oct-2023"/>
    <x v="11"/>
    <x v="0"/>
    <d v="1900-01-24T00:00:00"/>
    <d v="2023-10-29T00:00:00"/>
    <d v="2023-10-29T00:00:00"/>
    <x v="2"/>
    <x v="10"/>
    <s v="San Francisco"/>
    <s v="Small Business"/>
    <x v="3"/>
    <x v="7"/>
    <x v="6"/>
    <s v="ACC-5079"/>
    <n v="1239.8399999999999"/>
    <n v="1482.75"/>
    <n v="815.10700000000008"/>
    <n v="1620.05"/>
    <m/>
    <n v="6.7000000000000004E-2"/>
    <n v="0"/>
    <n v="4"/>
    <n v="5931"/>
    <n v="4959.3599999999997"/>
    <n v="971.64000000000033"/>
    <n v="0.16382397572078913"/>
  </r>
  <r>
    <s v="ORD-2025-289139"/>
    <m/>
    <x v="204"/>
    <d v="2454-06-11T00:00:00"/>
    <d v="2453-11-16T00:00:00"/>
    <d v="2453-11-16T00:00:00"/>
    <d v="1900-01-30T00:00:00"/>
    <s v="Aug-2025"/>
    <x v="5"/>
    <x v="0"/>
    <d v="1900-01-19T00:00:00"/>
    <d v="2025-08-30T00:00:00"/>
    <d v="2025-08-30T00:00:00"/>
    <x v="2"/>
    <x v="10"/>
    <s v="San Francisco"/>
    <s v="Corporate"/>
    <x v="2"/>
    <x v="11"/>
    <x v="1"/>
    <s v="PRN-2098"/>
    <n v="933.29"/>
    <n v="1456.81"/>
    <n v="815.10700000000008"/>
    <n v="1620.05"/>
    <m/>
    <n v="0.123"/>
    <n v="0"/>
    <n v="13"/>
    <n v="18938.53"/>
    <n v="12132.77"/>
    <n v="6805.7599999999984"/>
    <n v="0.35936052058950713"/>
  </r>
  <r>
    <s v="ORD-2023-949710"/>
    <m/>
    <x v="205"/>
    <d v="2453-11-18T00:00:00"/>
    <d v="2453-11-16T00:00:00"/>
    <d v="2453-11-16T00:00:00"/>
    <d v="1900-01-01T00:00:00"/>
    <s v="Mar-2023"/>
    <x v="8"/>
    <x v="0"/>
    <d v="1900-01-24T00:00:00"/>
    <d v="2023-04-01T00:00:00"/>
    <d v="2023-04-01T00:00:00"/>
    <x v="0"/>
    <x v="0"/>
    <s v="Nairobi"/>
    <s v="Consumer"/>
    <x v="2"/>
    <x v="14"/>
    <x v="1"/>
    <s v="PRN-7049"/>
    <n v="1024.0999999999999"/>
    <n v="918.19"/>
    <n v="815.10700000000008"/>
    <n v="1620.05"/>
    <m/>
    <n v="0.189"/>
    <n v="0"/>
    <n v="10"/>
    <n v="9181.9000000000015"/>
    <n v="10241"/>
    <n v="-1059.0999999999985"/>
    <n v="-0.11534649691240358"/>
  </r>
  <r>
    <s v="ORD-2023-603650"/>
    <n v="1"/>
    <x v="206"/>
    <n v="202305"/>
    <n v="202301"/>
    <n v="202301"/>
    <n v="4"/>
    <s v="May-2023"/>
    <x v="3"/>
    <x v="0"/>
    <n v="18"/>
    <d v="2023-06-10T00:00:00"/>
    <d v="2023-06-10T00:00:00"/>
    <x v="1"/>
    <x v="9"/>
    <s v="Shanghai"/>
    <s v="Corporate"/>
    <x v="3"/>
    <x v="6"/>
    <x v="0"/>
    <s v="CMP-6925"/>
    <n v="54.62"/>
    <n v="48.94"/>
    <n v="815.10700000000008"/>
    <n v="1620.05"/>
    <s v="Medium"/>
    <n v="0.14799999999999999"/>
    <n v="0"/>
    <n v="16"/>
    <n v="783.04"/>
    <n v="873.92"/>
    <n v="-90.88"/>
    <n v="-0.11606048222313037"/>
  </r>
  <r>
    <s v="ORD-2025-757957"/>
    <n v="1"/>
    <x v="207"/>
    <n v="202504"/>
    <n v="202301"/>
    <n v="202301"/>
    <n v="27"/>
    <s v="Apr-2025"/>
    <x v="9"/>
    <x v="0"/>
    <n v="12"/>
    <d v="2025-05-06T00:00:00"/>
    <d v="2025-05-06T00:00:00"/>
    <x v="2"/>
    <x v="5"/>
    <s v="Brasília"/>
    <s v="Consumer"/>
    <x v="1"/>
    <x v="0"/>
    <x v="3"/>
    <s v="PHN-2787"/>
    <n v="394.13"/>
    <n v="932.29"/>
    <n v="815.10700000000008"/>
    <n v="1620.05"/>
    <s v="Low"/>
    <n v="0.109"/>
    <n v="0"/>
    <n v="7"/>
    <n v="6526.03"/>
    <n v="2758.91"/>
    <n v="3767.12"/>
    <n v="0.57724527775692114"/>
  </r>
  <r>
    <s v="ORD-2024-423853"/>
    <n v="1"/>
    <x v="208"/>
    <n v="202409"/>
    <n v="202301"/>
    <n v="202301"/>
    <n v="20"/>
    <s v="Sept-2024"/>
    <x v="7"/>
    <x v="1"/>
    <n v="5"/>
    <d v="2024-09-08T00:00:00"/>
    <d v="2024-09-08T00:00:00"/>
    <x v="0"/>
    <x v="1"/>
    <s v="Lagos"/>
    <s v="Small Business"/>
    <x v="4"/>
    <x v="11"/>
    <x v="1"/>
    <s v="PRN-1141"/>
    <n v="197.63"/>
    <n v="325.79000000000002"/>
    <n v="815.10700000000008"/>
    <n v="1620.05"/>
    <s v="Medium"/>
    <n v="0.11600000000000001"/>
    <n v="0"/>
    <n v="10"/>
    <n v="3257.9"/>
    <n v="1976.3"/>
    <n v="1281.6000000000001"/>
    <n v="0.39338224009331169"/>
  </r>
  <r>
    <s v="ORD-2024-569164"/>
    <m/>
    <x v="209"/>
    <d v="2454-03-04T00:00:00"/>
    <d v="2453-11-18T00:00:00"/>
    <d v="2453-11-18T00:00:00"/>
    <d v="1900-01-17T00:00:00"/>
    <s v="Sept-2024"/>
    <x v="10"/>
    <x v="0"/>
    <d v="1900-01-19T00:00:00"/>
    <d v="2024-09-25T00:00:00"/>
    <d v="2024-09-25T00:00:00"/>
    <x v="1"/>
    <x v="2"/>
    <s v="Osaka"/>
    <s v="Enterprise"/>
    <x v="3"/>
    <x v="14"/>
    <x v="5"/>
    <s v="MON-5249"/>
    <n v="195.54"/>
    <n v="405.97"/>
    <n v="815.10700000000008"/>
    <n v="1620.05"/>
    <m/>
    <n v="0.187"/>
    <n v="0"/>
    <n v="16"/>
    <n v="6495.52"/>
    <n v="3128.64"/>
    <n v="3366.8800000000006"/>
    <n v="0.51833879350690948"/>
  </r>
  <r>
    <s v="ORD-2023-946143"/>
    <m/>
    <x v="210"/>
    <d v="2453-11-18T00:00:00"/>
    <d v="2453-11-16T00:00:00"/>
    <d v="2453-11-16T00:00:00"/>
    <d v="1900-01-01T00:00:00"/>
    <s v="Mar-2023"/>
    <x v="10"/>
    <x v="0"/>
    <d v="1900-01-15T00:00:00"/>
    <d v="2023-03-30T00:00:00"/>
    <d v="2023-03-30T00:00:00"/>
    <x v="0"/>
    <x v="11"/>
    <s v="Cape Town"/>
    <s v="Consumer"/>
    <x v="3"/>
    <x v="11"/>
    <x v="0"/>
    <s v="CMP-8230"/>
    <n v="1309.77"/>
    <n v="1589.07"/>
    <n v="815.10700000000008"/>
    <n v="1620.05"/>
    <m/>
    <n v="0.10199999999999999"/>
    <n v="0"/>
    <n v="10"/>
    <n v="15890.699999999999"/>
    <n v="13097.7"/>
    <n v="2792.9999999999982"/>
    <n v="0.1757631822386678"/>
  </r>
  <r>
    <s v="ORD-2024-281211"/>
    <m/>
    <x v="39"/>
    <d v="2454-02-24T00:00:00"/>
    <d v="2453-11-18T00:00:00"/>
    <d v="2453-11-18T00:00:00"/>
    <d v="1900-01-09T00:00:00"/>
    <s v="Jan-2024"/>
    <x v="3"/>
    <x v="0"/>
    <d v="1900-01-21T00:00:00"/>
    <d v="2024-02-02T00:00:00"/>
    <d v="2024-02-02T00:00:00"/>
    <x v="1"/>
    <x v="2"/>
    <s v="Nagoya"/>
    <s v="Small Business"/>
    <x v="1"/>
    <x v="15"/>
    <x v="1"/>
    <s v="PRN-7816"/>
    <n v="1237.68"/>
    <n v="1432.8"/>
    <n v="815.10700000000008"/>
    <n v="1620.05"/>
    <m/>
    <n v="6.8000000000000005E-2"/>
    <n v="0"/>
    <n v="13"/>
    <n v="18626.399999999998"/>
    <n v="16089.84"/>
    <n v="2536.5599999999977"/>
    <n v="0.13618090452261294"/>
  </r>
  <r>
    <s v="ORD-2024-805860"/>
    <m/>
    <x v="211"/>
    <d v="2454-03-04T00:00:00"/>
    <d v="2453-11-16T00:00:00"/>
    <d v="2453-11-16T00:00:00"/>
    <d v="1900-01-19T00:00:00"/>
    <s v="Sept-2024"/>
    <x v="1"/>
    <x v="0"/>
    <d v="1900-01-18T00:00:00"/>
    <d v="2024-10-02T00:00:00"/>
    <d v="2024-10-02T00:00:00"/>
    <x v="0"/>
    <x v="0"/>
    <s v="Mombasa"/>
    <s v="Small Business"/>
    <x v="0"/>
    <x v="12"/>
    <x v="3"/>
    <s v="PHN-8804"/>
    <n v="1338.99"/>
    <n v="1765.76"/>
    <n v="815.10700000000008"/>
    <n v="1620.05"/>
    <m/>
    <n v="0.126"/>
    <n v="0"/>
    <n v="24"/>
    <n v="42378.239999999998"/>
    <n v="32135.760000000002"/>
    <n v="10242.479999999996"/>
    <n v="0.24169196266763313"/>
  </r>
  <r>
    <s v="ORD-2025-132174"/>
    <n v="1"/>
    <x v="212"/>
    <n v="202507"/>
    <n v="202301"/>
    <n v="202301"/>
    <n v="30"/>
    <s v="Jul-2025"/>
    <x v="10"/>
    <x v="1"/>
    <n v="6"/>
    <d v="2025-07-23T00:00:00"/>
    <d v="2025-07-23T00:00:00"/>
    <x v="2"/>
    <x v="3"/>
    <s v="Vancouver"/>
    <s v="Consumer"/>
    <x v="1"/>
    <x v="10"/>
    <x v="0"/>
    <s v="CMP-8851"/>
    <n v="1364.89"/>
    <n v="2757.54"/>
    <n v="815.10700000000008"/>
    <n v="1620.05"/>
    <s v="High"/>
    <n v="0.17199999999999999"/>
    <n v="0"/>
    <n v="61"/>
    <n v="168209.94"/>
    <n v="83258.290000000008"/>
    <n v="84951.65"/>
    <n v="0.50503347186260217"/>
  </r>
  <r>
    <s v="ORD-2023-964434"/>
    <n v="1"/>
    <x v="213"/>
    <n v="202311"/>
    <n v="202302"/>
    <n v="202302"/>
    <n v="9"/>
    <s v="Nov-2023"/>
    <x v="8"/>
    <x v="0"/>
    <n v="9"/>
    <d v="2023-12-07T00:00:00"/>
    <d v="2023-12-07T00:00:00"/>
    <x v="1"/>
    <x v="4"/>
    <s v="Delhi"/>
    <s v="Enterprise"/>
    <x v="2"/>
    <x v="4"/>
    <x v="3"/>
    <s v="PHN-2447"/>
    <n v="699.33"/>
    <n v="873.75"/>
    <n v="815.10700000000008"/>
    <n v="1620.05"/>
    <s v="High"/>
    <n v="0.23499999999999999"/>
    <n v="1"/>
    <n v="10"/>
    <n v="8737.5"/>
    <n v="6993.3"/>
    <n v="1744.1999999999998"/>
    <n v="0.19962231759656651"/>
  </r>
  <r>
    <s v="ORD-2024-897622"/>
    <m/>
    <x v="214"/>
    <d v="2454-02-26T00:00:00"/>
    <d v="2453-11-16T00:00:00"/>
    <d v="2453-11-16T00:00:00"/>
    <d v="1900-01-13T00:00:00"/>
    <s v="Mar-2024"/>
    <x v="5"/>
    <x v="0"/>
    <d v="1900-01-24T00:00:00"/>
    <d v="2024-04-24T00:00:00"/>
    <d v="2024-04-24T00:00:00"/>
    <x v="2"/>
    <x v="10"/>
    <s v="Austin"/>
    <s v="Non-Profit"/>
    <x v="1"/>
    <x v="3"/>
    <x v="4"/>
    <s v="LAP-2846"/>
    <n v="160.82"/>
    <n v="258.52"/>
    <n v="815.10700000000008"/>
    <n v="1620.05"/>
    <m/>
    <n v="0.13"/>
    <n v="0"/>
    <n v="17"/>
    <n v="4394.84"/>
    <n v="2733.94"/>
    <n v="1660.9"/>
    <n v="0.37792047036979731"/>
  </r>
  <r>
    <s v="ORD-2023-517216"/>
    <n v="1"/>
    <x v="215"/>
    <n v="202309"/>
    <n v="202302"/>
    <n v="202302"/>
    <n v="7"/>
    <s v="Sept-2023"/>
    <x v="1"/>
    <x v="0"/>
    <n v="19"/>
    <d v="2023-10-08T00:00:00"/>
    <d v="2023-10-08T00:00:00"/>
    <x v="1"/>
    <x v="4"/>
    <s v="Bengaluru"/>
    <s v="Education"/>
    <x v="4"/>
    <x v="1"/>
    <x v="1"/>
    <s v="PRN-5005"/>
    <n v="385.32"/>
    <n v="606.76"/>
    <n v="815.10700000000008"/>
    <n v="1620.05"/>
    <s v="Low"/>
    <n v="8.5999999999999993E-2"/>
    <n v="0"/>
    <n v="8"/>
    <n v="4854.08"/>
    <n v="3082.56"/>
    <n v="1771.52"/>
    <n v="0.36495484211220253"/>
  </r>
  <r>
    <s v="ORD-2025-509940"/>
    <n v="1"/>
    <x v="216"/>
    <n v="202505"/>
    <n v="202301"/>
    <n v="202301"/>
    <n v="28"/>
    <s v="May-2025"/>
    <x v="11"/>
    <x v="0"/>
    <n v="11"/>
    <d v="2025-05-27T00:00:00"/>
    <d v="2025-05-27T00:00:00"/>
    <x v="1"/>
    <x v="9"/>
    <s v="Beijing"/>
    <s v="Enterprise"/>
    <x v="1"/>
    <x v="9"/>
    <x v="3"/>
    <s v="PHN-3800"/>
    <n v="918.12"/>
    <n v="1337.69"/>
    <n v="815.10700000000008"/>
    <n v="1620.05"/>
    <s v="Low"/>
    <n v="9.5000000000000001E-2"/>
    <n v="0"/>
    <n v="8"/>
    <n v="10701.52"/>
    <n v="7344.96"/>
    <n v="3356.5600000000004"/>
    <n v="0.31365263999880394"/>
  </r>
  <r>
    <s v="ORD-2025-646342"/>
    <m/>
    <x v="217"/>
    <d v="2454-06-11T00:00:00"/>
    <d v="2453-11-18T00:00:00"/>
    <d v="2453-11-18T00:00:00"/>
    <d v="1900-01-28T00:00:00"/>
    <s v="Aug-2025"/>
    <x v="7"/>
    <x v="1"/>
    <d v="1900-01-05T00:00:00"/>
    <d v="2025-08-08T00:00:00"/>
    <d v="2025-08-08T00:00:00"/>
    <x v="1"/>
    <x v="2"/>
    <s v="Osaka"/>
    <s v="Consumer"/>
    <x v="4"/>
    <x v="13"/>
    <x v="4"/>
    <s v="LAP-4828"/>
    <n v="1225.94"/>
    <n v="1793.08"/>
    <n v="815.10700000000008"/>
    <n v="1620.05"/>
    <m/>
    <n v="0.13600000000000001"/>
    <n v="0"/>
    <n v="22"/>
    <n v="39447.759999999995"/>
    <n v="26970.68"/>
    <n v="12477.079999999994"/>
    <n v="0.31629375153367378"/>
  </r>
  <r>
    <s v="ORD-2024-866535"/>
    <m/>
    <x v="218"/>
    <d v="2454-03-07T00:00:00"/>
    <d v="2453-11-16T00:00:00"/>
    <d v="2453-11-16T00:00:00"/>
    <d v="1900-01-22T00:00:00"/>
    <s v="Dec-2024"/>
    <x v="8"/>
    <x v="0"/>
    <d v="1900-01-07T00:00:00"/>
    <d v="2024-12-12T00:00:00"/>
    <d v="2024-12-12T00:00:00"/>
    <x v="3"/>
    <x v="6"/>
    <s v="Frankfurt"/>
    <s v="Enterprise"/>
    <x v="2"/>
    <x v="5"/>
    <x v="1"/>
    <s v="PRN-5492"/>
    <n v="72.06"/>
    <n v="122.74"/>
    <n v="815.10700000000008"/>
    <n v="1620.05"/>
    <m/>
    <n v="0.23799999999999999"/>
    <n v="1"/>
    <n v="8"/>
    <n v="981.92"/>
    <n v="576.48"/>
    <n v="405.43999999999994"/>
    <n v="0.41290532833632065"/>
  </r>
  <r>
    <s v="ORD-2023-747341"/>
    <n v="1"/>
    <x v="43"/>
    <n v="202304"/>
    <n v="202301"/>
    <n v="202301"/>
    <n v="3"/>
    <s v="Apr-2023"/>
    <x v="2"/>
    <x v="0"/>
    <n v="9"/>
    <d v="2023-04-28T00:00:00"/>
    <d v="2023-04-28T00:00:00"/>
    <x v="2"/>
    <x v="5"/>
    <s v="Rio de Janeiro"/>
    <s v="Corporate"/>
    <x v="3"/>
    <x v="12"/>
    <x v="3"/>
    <s v="PHN-7132"/>
    <n v="1013.54"/>
    <n v="927.93"/>
    <n v="815.10700000000008"/>
    <n v="1620.05"/>
    <s v="Low"/>
    <n v="0.17499999999999999"/>
    <n v="0"/>
    <n v="16"/>
    <n v="14846.88"/>
    <n v="16216.64"/>
    <n v="-1369.7600000000002"/>
    <n v="-9.225911437285142E-2"/>
  </r>
  <r>
    <s v="ORD-2024-853298"/>
    <n v="1"/>
    <x v="219"/>
    <n v="202403"/>
    <n v="202301"/>
    <n v="202301"/>
    <n v="14"/>
    <s v="Mar-2024"/>
    <x v="9"/>
    <x v="0"/>
    <n v="20"/>
    <d v="2024-03-26T00:00:00"/>
    <d v="2024-03-26T00:00:00"/>
    <x v="0"/>
    <x v="1"/>
    <s v="Port Harcourt"/>
    <s v="Consumer"/>
    <x v="2"/>
    <x v="2"/>
    <x v="3"/>
    <s v="PHN-4741"/>
    <n v="65.64"/>
    <n v="151.88"/>
    <n v="815.10700000000008"/>
    <n v="1620.05"/>
    <s v="Medium"/>
    <n v="0.16700000000000001"/>
    <n v="0"/>
    <n v="23"/>
    <n v="3493.24"/>
    <n v="1509.72"/>
    <n v="1983.5199999999998"/>
    <n v="0.56781669739267837"/>
  </r>
  <r>
    <s v="ORD-2024-544865"/>
    <n v="1"/>
    <x v="220"/>
    <n v="202402"/>
    <n v="202301"/>
    <n v="202301"/>
    <n v="13"/>
    <s v="Feb-2024"/>
    <x v="1"/>
    <x v="0"/>
    <n v="17"/>
    <d v="2024-03-04T00:00:00"/>
    <d v="2024-03-04T00:00:00"/>
    <x v="2"/>
    <x v="3"/>
    <s v="Montreal"/>
    <s v="Non-Profit"/>
    <x v="0"/>
    <x v="14"/>
    <x v="4"/>
    <s v="LAP-2774"/>
    <n v="1350.98"/>
    <n v="2210.4"/>
    <n v="815.10700000000008"/>
    <n v="1620.05"/>
    <s v="Low"/>
    <n v="0.26300000000000001"/>
    <n v="1"/>
    <n v="6"/>
    <n v="13262.400000000001"/>
    <n v="8105.88"/>
    <n v="5156.5200000000013"/>
    <n v="0.38880745566413327"/>
  </r>
  <r>
    <s v="ORD-2025-946490"/>
    <m/>
    <x v="221"/>
    <d v="2454-06-07T00:00:00"/>
    <d v="2453-11-16T00:00:00"/>
    <d v="2453-11-16T00:00:00"/>
    <d v="1900-01-26T00:00:00"/>
    <s v="Apr-2025"/>
    <x v="1"/>
    <x v="0"/>
    <d v="1900-01-09T00:00:00"/>
    <d v="2025-05-02T00:00:00"/>
    <d v="2025-05-02T00:00:00"/>
    <x v="3"/>
    <x v="6"/>
    <s v="Berlin"/>
    <s v="Corporate"/>
    <x v="2"/>
    <x v="0"/>
    <x v="5"/>
    <s v="MON-2842"/>
    <n v="20.149999999999999"/>
    <n v="39.74"/>
    <n v="815.10700000000008"/>
    <n v="1620.05"/>
    <m/>
    <n v="0.151"/>
    <n v="0"/>
    <n v="18"/>
    <n v="715.32"/>
    <n v="362.7"/>
    <n v="352.62000000000006"/>
    <n v="0.49295420231504788"/>
  </r>
  <r>
    <s v="ORD-2024-320972"/>
    <m/>
    <x v="222"/>
    <d v="2454-03-06T00:00:00"/>
    <d v="2453-11-16T00:00:00"/>
    <d v="2453-11-16T00:00:00"/>
    <d v="1900-01-21T00:00:00"/>
    <s v="Nov-2024"/>
    <x v="7"/>
    <x v="1"/>
    <d v="1899-12-30T00:00:00"/>
    <d v="2024-11-08T00:00:00"/>
    <d v="2024-11-08T00:00:00"/>
    <x v="0"/>
    <x v="0"/>
    <s v="Nakuru"/>
    <s v="Enterprise"/>
    <x v="2"/>
    <x v="12"/>
    <x v="2"/>
    <s v="NET-2628"/>
    <n v="803.28"/>
    <n v="1009"/>
    <n v="815.10700000000008"/>
    <n v="1620.05"/>
    <m/>
    <n v="0.11"/>
    <n v="0"/>
    <n v="4"/>
    <n v="4036"/>
    <n v="3213.12"/>
    <n v="822.88000000000011"/>
    <n v="0.20388503468780975"/>
  </r>
  <r>
    <s v="ORD-2025-248586"/>
    <m/>
    <x v="223"/>
    <d v="2454-06-12T00:00:00"/>
    <d v="2453-11-18T00:00:00"/>
    <d v="2453-11-18T00:00:00"/>
    <d v="1900-01-29T00:00:00"/>
    <s v="Sept-2025"/>
    <x v="2"/>
    <x v="0"/>
    <d v="1900-01-17T00:00:00"/>
    <d v="2025-09-30T00:00:00"/>
    <d v="2025-09-30T00:00:00"/>
    <x v="1"/>
    <x v="2"/>
    <s v="Nagoya"/>
    <s v="Non-Profit"/>
    <x v="2"/>
    <x v="9"/>
    <x v="5"/>
    <s v="MON-2998"/>
    <n v="1212.99"/>
    <n v="1653.64"/>
    <n v="815.10700000000008"/>
    <n v="1620.05"/>
    <m/>
    <n v="0.107"/>
    <n v="0"/>
    <n v="8"/>
    <n v="13229.12"/>
    <n v="9703.92"/>
    <n v="3525.2000000000007"/>
    <n v="0.26647275102198792"/>
  </r>
  <r>
    <s v="ORD-2024-664046"/>
    <m/>
    <x v="224"/>
    <d v="2454-03-04T00:00:00"/>
    <d v="2453-11-16T00:00:00"/>
    <d v="2453-11-16T00:00:00"/>
    <d v="1900-01-19T00:00:00"/>
    <s v="Sept-2024"/>
    <x v="8"/>
    <x v="1"/>
    <d v="1900-01-05T00:00:00"/>
    <d v="2024-09-08T00:00:00"/>
    <d v="2024-09-08T00:00:00"/>
    <x v="2"/>
    <x v="10"/>
    <s v="Austin"/>
    <s v="Consumer"/>
    <x v="4"/>
    <x v="10"/>
    <x v="0"/>
    <s v="CMP-7563"/>
    <n v="462.94"/>
    <n v="1015.7"/>
    <n v="815.10700000000008"/>
    <n v="1620.05"/>
    <m/>
    <n v="0.14299999999999999"/>
    <n v="0"/>
    <n v="14"/>
    <n v="14219.800000000001"/>
    <n v="6481.16"/>
    <n v="7738.6400000000012"/>
    <n v="0.54421581175543965"/>
  </r>
  <r>
    <s v="ORD-2023-276806"/>
    <n v="1"/>
    <x v="225"/>
    <n v="202303"/>
    <n v="202301"/>
    <n v="202301"/>
    <n v="2"/>
    <s v="Mar-2023"/>
    <x v="10"/>
    <x v="0"/>
    <n v="20"/>
    <d v="2023-03-24T00:00:00"/>
    <d v="2023-03-24T00:00:00"/>
    <x v="2"/>
    <x v="3"/>
    <s v="Montreal"/>
    <s v="Consumer"/>
    <x v="3"/>
    <x v="2"/>
    <x v="4"/>
    <s v="LAP-6160"/>
    <n v="481.71"/>
    <n v="912.45"/>
    <n v="815.10700000000008"/>
    <n v="1620.05"/>
    <s v="Medium"/>
    <n v="0.20300000000000001"/>
    <n v="1"/>
    <n v="24"/>
    <n v="21898.800000000003"/>
    <n v="11561.039999999999"/>
    <n v="10337.760000000004"/>
    <n v="0.4720697024494494"/>
  </r>
  <r>
    <s v="ORD-2024-220234"/>
    <n v="1"/>
    <x v="226"/>
    <n v="202403"/>
    <n v="202301"/>
    <n v="202301"/>
    <n v="14"/>
    <s v="Mar-2024"/>
    <x v="3"/>
    <x v="0"/>
    <n v="25"/>
    <d v="2024-04-09T00:00:00"/>
    <d v="2024-04-09T00:00:00"/>
    <x v="2"/>
    <x v="3"/>
    <s v="Vancouver"/>
    <s v="Consumer"/>
    <x v="1"/>
    <x v="9"/>
    <x v="5"/>
    <s v="MON-4361"/>
    <n v="648.64"/>
    <n v="815.19"/>
    <n v="815.10700000000008"/>
    <n v="1620.05"/>
    <s v="Medium"/>
    <n v="0.22500000000000001"/>
    <n v="1"/>
    <n v="28"/>
    <n v="22825.32"/>
    <n v="18161.919999999998"/>
    <n v="4663.4000000000015"/>
    <n v="0.20430819808878919"/>
  </r>
  <r>
    <s v="ORD-2024-301260"/>
    <m/>
    <x v="227"/>
    <d v="2454-03-02T00:00:00"/>
    <d v="2453-11-16T00:00:00"/>
    <d v="2453-11-16T00:00:00"/>
    <d v="1900-01-17T00:00:00"/>
    <s v="Jul-2024"/>
    <x v="1"/>
    <x v="1"/>
    <d v="1900-01-01T00:00:00"/>
    <d v="2024-07-31T00:00:00"/>
    <d v="2024-07-31T00:00:00"/>
    <x v="2"/>
    <x v="10"/>
    <s v="New York"/>
    <s v="Education"/>
    <x v="2"/>
    <x v="2"/>
    <x v="1"/>
    <s v="PRN-2829"/>
    <n v="798.97"/>
    <n v="1814.06"/>
    <n v="815.10700000000008"/>
    <n v="1620.05"/>
    <m/>
    <n v="0.122"/>
    <n v="0"/>
    <n v="16"/>
    <n v="29024.959999999999"/>
    <n v="12783.52"/>
    <n v="16241.439999999999"/>
    <n v="0.55956804074837652"/>
  </r>
  <r>
    <s v="ORD-2024-350100"/>
    <m/>
    <x v="228"/>
    <d v="2454-03-05T00:00:00"/>
    <d v="2453-11-18T00:00:00"/>
    <d v="2453-11-18T00:00:00"/>
    <d v="1900-01-18T00:00:00"/>
    <s v="Oct-2024"/>
    <x v="10"/>
    <x v="0"/>
    <d v="1900-01-23T00:00:00"/>
    <d v="2024-11-20T00:00:00"/>
    <d v="2024-11-20T00:00:00"/>
    <x v="1"/>
    <x v="2"/>
    <s v="Nagoya"/>
    <s v="Non-Profit"/>
    <x v="1"/>
    <x v="10"/>
    <x v="5"/>
    <s v="MON-8939"/>
    <n v="317.25"/>
    <n v="758.92"/>
    <n v="815.10700000000008"/>
    <n v="1620.05"/>
    <m/>
    <n v="5.2999999999999999E-2"/>
    <n v="0"/>
    <n v="9"/>
    <n v="6830.28"/>
    <n v="2855.25"/>
    <n v="3975.0299999999997"/>
    <n v="0.58197174932799245"/>
  </r>
  <r>
    <s v="ORD-2024-855600"/>
    <m/>
    <x v="229"/>
    <d v="2454-02-27T00:00:00"/>
    <d v="2453-11-16T00:00:00"/>
    <d v="2453-11-16T00:00:00"/>
    <d v="1900-01-14T00:00:00"/>
    <s v="Apr-2024"/>
    <x v="2"/>
    <x v="0"/>
    <d v="1900-01-19T00:00:00"/>
    <d v="2024-05-19T00:00:00"/>
    <d v="2024-05-19T00:00:00"/>
    <x v="3"/>
    <x v="6"/>
    <s v="Frankfurt"/>
    <s v="Enterprise"/>
    <x v="2"/>
    <x v="0"/>
    <x v="4"/>
    <s v="LAP-5009"/>
    <n v="668.97"/>
    <n v="1667.44"/>
    <n v="815.10700000000008"/>
    <n v="1620.05"/>
    <m/>
    <n v="3.4000000000000002E-2"/>
    <n v="0"/>
    <n v="15"/>
    <n v="25011.600000000002"/>
    <n v="10034.550000000001"/>
    <n v="14977.050000000001"/>
    <n v="0.59880415487213934"/>
  </r>
  <r>
    <s v="ORD-2023-474313"/>
    <n v="1"/>
    <x v="230"/>
    <n v="202310"/>
    <n v="202302"/>
    <n v="202302"/>
    <n v="8"/>
    <s v="Oct-2023"/>
    <x v="6"/>
    <x v="1"/>
    <n v="1"/>
    <d v="2023-10-06T00:00:00"/>
    <d v="2023-10-06T00:00:00"/>
    <x v="1"/>
    <x v="4"/>
    <s v="Bengaluru"/>
    <s v="Non-Profit"/>
    <x v="1"/>
    <x v="2"/>
    <x v="0"/>
    <s v="CMP-4807"/>
    <n v="1470.26"/>
    <n v="2562.5500000000002"/>
    <n v="815.10700000000008"/>
    <n v="1620.05"/>
    <s v="High"/>
    <n v="0.17299999999999999"/>
    <n v="0"/>
    <n v="9"/>
    <n v="23062.95"/>
    <n v="13232.34"/>
    <n v="9830.61"/>
    <n v="0.42625119509863224"/>
  </r>
  <r>
    <s v="ORD-2023-256951"/>
    <n v="1"/>
    <x v="43"/>
    <n v="202304"/>
    <n v="202301"/>
    <n v="202301"/>
    <n v="3"/>
    <s v="Apr-2023"/>
    <x v="5"/>
    <x v="0"/>
    <n v="18"/>
    <d v="2023-05-07T00:00:00"/>
    <d v="2023-05-07T00:00:00"/>
    <x v="3"/>
    <x v="8"/>
    <s v="London"/>
    <s v="Non-Profit"/>
    <x v="4"/>
    <x v="10"/>
    <x v="2"/>
    <s v="NET-2439"/>
    <n v="516.96"/>
    <n v="745.38"/>
    <n v="815.10700000000008"/>
    <n v="1620.05"/>
    <s v="High"/>
    <n v="0.19700000000000001"/>
    <n v="0"/>
    <n v="4"/>
    <n v="2981.52"/>
    <n v="2067.84"/>
    <n v="913.67999999999984"/>
    <n v="0.3064477179425259"/>
  </r>
  <r>
    <s v="ORD-2025-184754"/>
    <m/>
    <x v="231"/>
    <d v="2454-06-09T00:00:00"/>
    <d v="2453-11-16T00:00:00"/>
    <d v="2453-11-16T00:00:00"/>
    <d v="1900-01-28T00:00:00"/>
    <s v="Jun-2025"/>
    <x v="9"/>
    <x v="0"/>
    <d v="1900-01-07T00:00:00"/>
    <d v="2025-07-05T00:00:00"/>
    <d v="2025-07-05T00:00:00"/>
    <x v="3"/>
    <x v="6"/>
    <s v="Munich"/>
    <s v="Small Business"/>
    <x v="4"/>
    <x v="3"/>
    <x v="5"/>
    <s v="MON-7626"/>
    <n v="314.93"/>
    <n v="687.95"/>
    <n v="815.10700000000008"/>
    <n v="1620.05"/>
    <m/>
    <n v="0.20499999999999999"/>
    <n v="1"/>
    <n v="8"/>
    <n v="5503.6"/>
    <n v="2519.44"/>
    <n v="2984.1600000000003"/>
    <n v="0.54221963805509121"/>
  </r>
  <r>
    <s v="ORD-2023-888140"/>
    <n v="1"/>
    <x v="232"/>
    <n v="202310"/>
    <n v="202301"/>
    <n v="202301"/>
    <n v="9"/>
    <s v="Oct-2023"/>
    <x v="7"/>
    <x v="1"/>
    <n v="2"/>
    <d v="2023-10-13T00:00:00"/>
    <d v="2023-10-13T00:00:00"/>
    <x v="2"/>
    <x v="5"/>
    <s v="Brasília"/>
    <s v="Consumer"/>
    <x v="3"/>
    <x v="15"/>
    <x v="6"/>
    <s v="ACC-3567"/>
    <n v="715.94"/>
    <n v="550.07000000000005"/>
    <n v="815.10700000000008"/>
    <n v="1620.05"/>
    <s v="Low"/>
    <n v="0.14000000000000001"/>
    <n v="0"/>
    <n v="16"/>
    <n v="8801.1200000000008"/>
    <n v="11455.04"/>
    <n v="-2653.92"/>
    <n v="-0.30154343992582761"/>
  </r>
  <r>
    <s v="ORD-2023-638181"/>
    <n v="1"/>
    <x v="72"/>
    <n v="202305"/>
    <n v="202301"/>
    <n v="202301"/>
    <n v="4"/>
    <s v="May-2023"/>
    <x v="5"/>
    <x v="0"/>
    <n v="18"/>
    <d v="2023-06-07T00:00:00"/>
    <d v="2023-06-07T00:00:00"/>
    <x v="0"/>
    <x v="1"/>
    <s v="Port Harcourt"/>
    <s v="Enterprise"/>
    <x v="3"/>
    <x v="6"/>
    <x v="0"/>
    <s v="CMP-4630"/>
    <n v="1120.06"/>
    <n v="2068.21"/>
    <n v="815.10700000000008"/>
    <n v="1620.05"/>
    <s v="Low"/>
    <n v="7.8E-2"/>
    <n v="0"/>
    <n v="12"/>
    <n v="24818.52"/>
    <n v="13440.72"/>
    <n v="11377.800000000001"/>
    <n v="0.45843990697269621"/>
  </r>
  <r>
    <s v="ORD-2023-521280"/>
    <m/>
    <x v="233"/>
    <d v="2453-11-20T00:00:00"/>
    <d v="2453-11-16T00:00:00"/>
    <d v="2453-11-16T00:00:00"/>
    <d v="1900-01-03T00:00:00"/>
    <s v="May-2023"/>
    <x v="9"/>
    <x v="0"/>
    <d v="1900-01-22T00:00:00"/>
    <d v="2023-06-19T00:00:00"/>
    <d v="2023-06-19T00:00:00"/>
    <x v="3"/>
    <x v="6"/>
    <s v="Berlin"/>
    <s v="Education"/>
    <x v="0"/>
    <x v="7"/>
    <x v="6"/>
    <s v="ACC-1882"/>
    <n v="1471.58"/>
    <n v="2576.65"/>
    <n v="815.10700000000008"/>
    <n v="1620.05"/>
    <m/>
    <n v="4.0000000000000001E-3"/>
    <n v="0"/>
    <n v="7"/>
    <n v="18036.55"/>
    <n v="10301.06"/>
    <n v="7735.49"/>
    <n v="0.428878582655774"/>
  </r>
  <r>
    <s v="ORD-2023-630430"/>
    <n v="1"/>
    <x v="234"/>
    <n v="202308"/>
    <n v="202301"/>
    <n v="202301"/>
    <n v="7"/>
    <s v="Aug-2023"/>
    <x v="9"/>
    <x v="0"/>
    <n v="20"/>
    <d v="2023-08-24T00:00:00"/>
    <d v="2023-08-24T00:00:00"/>
    <x v="2"/>
    <x v="5"/>
    <s v="Brasília"/>
    <s v="Non-Profit"/>
    <x v="4"/>
    <x v="15"/>
    <x v="2"/>
    <s v="NET-9125"/>
    <n v="582.88"/>
    <n v="1044.1400000000001"/>
    <n v="815.10700000000008"/>
    <n v="1620.05"/>
    <s v="High"/>
    <n v="0.216"/>
    <n v="1"/>
    <n v="10"/>
    <n v="10441.400000000001"/>
    <n v="5828.8"/>
    <n v="4612.6000000000013"/>
    <n v="0.44176068343325614"/>
  </r>
  <r>
    <s v="ORD-2025-908258"/>
    <m/>
    <x v="235"/>
    <d v="2454-06-09T00:00:00"/>
    <d v="2453-11-16T00:00:00"/>
    <d v="2453-11-16T00:00:00"/>
    <d v="1900-01-28T00:00:00"/>
    <s v="Jun-2025"/>
    <x v="11"/>
    <x v="1"/>
    <d v="1900-01-05T00:00:00"/>
    <d v="2025-06-27T00:00:00"/>
    <d v="2025-06-27T00:00:00"/>
    <x v="0"/>
    <x v="11"/>
    <s v="Durban"/>
    <s v="Enterprise"/>
    <x v="3"/>
    <x v="13"/>
    <x v="3"/>
    <s v="PHN-3819"/>
    <n v="93.91"/>
    <n v="99.04"/>
    <n v="815.10700000000008"/>
    <n v="1620.05"/>
    <m/>
    <n v="5.7000000000000002E-2"/>
    <n v="0"/>
    <n v="6"/>
    <n v="594.24"/>
    <n v="563.46"/>
    <n v="30.779999999999973"/>
    <n v="5.1797253634894944E-2"/>
  </r>
  <r>
    <s v="ORD-2025-440093"/>
    <n v="1"/>
    <x v="139"/>
    <n v="202504"/>
    <n v="202301"/>
    <n v="202301"/>
    <n v="27"/>
    <s v="Apr-2025"/>
    <x v="7"/>
    <x v="0"/>
    <n v="10"/>
    <d v="2025-04-26T00:00:00"/>
    <d v="2025-04-26T00:00:00"/>
    <x v="0"/>
    <x v="1"/>
    <s v="Port Harcourt"/>
    <s v="Enterprise"/>
    <x v="2"/>
    <x v="9"/>
    <x v="4"/>
    <s v="LAP-3490"/>
    <n v="1457.44"/>
    <n v="1996.81"/>
    <n v="815.10700000000008"/>
    <n v="1620.05"/>
    <s v="Low"/>
    <n v="0.126"/>
    <n v="0"/>
    <n v="23"/>
    <n v="45926.63"/>
    <n v="33521.120000000003"/>
    <n v="12405.509999999995"/>
    <n v="0.27011583475643641"/>
  </r>
  <r>
    <s v="ORD-2025-898022"/>
    <n v="1"/>
    <x v="236"/>
    <n v="202509"/>
    <n v="202301"/>
    <n v="202301"/>
    <n v="32"/>
    <s v="Sept-2025"/>
    <x v="7"/>
    <x v="0"/>
    <n v="9"/>
    <d v="2025-09-11T00:00:00"/>
    <d v="2025-09-11T00:00:00"/>
    <x v="2"/>
    <x v="3"/>
    <s v="Toronto"/>
    <s v="Corporate"/>
    <x v="3"/>
    <x v="12"/>
    <x v="1"/>
    <s v="PRN-1276"/>
    <n v="1207.6300000000001"/>
    <n v="921.68"/>
    <n v="815.10700000000008"/>
    <n v="1620.05"/>
    <s v="High"/>
    <n v="0.19600000000000001"/>
    <n v="0"/>
    <n v="17"/>
    <n v="15668.56"/>
    <n v="20529.710000000003"/>
    <n v="-4861.1500000000033"/>
    <n v="-0.31024867633017988"/>
  </r>
  <r>
    <s v="ORD-2024-500511"/>
    <n v="1"/>
    <x v="237"/>
    <n v="202410"/>
    <n v="202301"/>
    <n v="202301"/>
    <n v="21"/>
    <s v="Oct-2024"/>
    <x v="8"/>
    <x v="1"/>
    <n v="0"/>
    <d v="2024-10-08T00:00:00"/>
    <d v="2024-10-08T00:00:00"/>
    <x v="3"/>
    <x v="8"/>
    <s v="London"/>
    <s v="Corporate"/>
    <x v="1"/>
    <x v="6"/>
    <x v="5"/>
    <s v="MON-9733"/>
    <n v="1108.1099999999999"/>
    <n v="2503.79"/>
    <n v="815.10700000000008"/>
    <n v="1620.05"/>
    <s v="Medium"/>
    <n v="0.184"/>
    <n v="0"/>
    <n v="19"/>
    <n v="47572.01"/>
    <n v="21054.089999999997"/>
    <n v="26517.920000000006"/>
    <n v="0.5574269407578113"/>
  </r>
  <r>
    <s v="ORD-2023-632893"/>
    <n v="1"/>
    <x v="238"/>
    <n v="202305"/>
    <n v="202301"/>
    <n v="202301"/>
    <n v="4"/>
    <s v="May-2023"/>
    <x v="2"/>
    <x v="1"/>
    <n v="0"/>
    <d v="2023-05-07T00:00:00"/>
    <d v="2023-05-05T00:00:00"/>
    <x v="0"/>
    <x v="1"/>
    <s v="Port Harcourt"/>
    <s v="Non-Profit"/>
    <x v="2"/>
    <x v="8"/>
    <x v="0"/>
    <s v="CMP-9392"/>
    <n v="1269.6500000000001"/>
    <n v="2462.77"/>
    <n v="815.10700000000008"/>
    <n v="1620.05"/>
    <s v="High"/>
    <n v="0.107"/>
    <n v="0"/>
    <n v="8"/>
    <n v="19702.16"/>
    <n v="10157.200000000001"/>
    <n v="9544.9599999999991"/>
    <n v="0.48446261729678364"/>
  </r>
  <r>
    <s v="ORD-2023-967239"/>
    <n v="1"/>
    <x v="239"/>
    <n v="202312"/>
    <n v="202301"/>
    <n v="202301"/>
    <n v="11"/>
    <s v="Dec-2023"/>
    <x v="9"/>
    <x v="0"/>
    <n v="8"/>
    <d v="2024-01-01T00:00:00"/>
    <d v="2024-01-01T00:00:00"/>
    <x v="2"/>
    <x v="5"/>
    <s v="São Paulo"/>
    <s v="Education"/>
    <x v="4"/>
    <x v="0"/>
    <x v="3"/>
    <s v="PHN-3014"/>
    <n v="526.49"/>
    <n v="496.2"/>
    <n v="815.10700000000008"/>
    <n v="1620.05"/>
    <s v="High"/>
    <n v="0"/>
    <n v="0"/>
    <n v="14"/>
    <n v="6946.8"/>
    <n v="7370.8600000000006"/>
    <n v="-424.0600000000004"/>
    <n v="-6.1043933897621985E-2"/>
  </r>
  <r>
    <s v="ORD-2024-885858"/>
    <m/>
    <x v="240"/>
    <d v="2454-02-24T00:00:00"/>
    <d v="2453-11-16T00:00:00"/>
    <d v="2453-11-16T00:00:00"/>
    <d v="1900-01-11T00:00:00"/>
    <s v="Jan-2024"/>
    <x v="5"/>
    <x v="0"/>
    <d v="1900-01-12T00:00:00"/>
    <d v="2024-01-23T00:00:00"/>
    <d v="2024-01-23T00:00:00"/>
    <x v="3"/>
    <x v="7"/>
    <s v="Marseille"/>
    <s v="Corporate"/>
    <x v="4"/>
    <x v="8"/>
    <x v="1"/>
    <s v="PRN-6776"/>
    <n v="720"/>
    <n v="907.59"/>
    <n v="815.10700000000008"/>
    <n v="1620.05"/>
    <m/>
    <n v="0.154"/>
    <n v="0"/>
    <n v="10"/>
    <n v="9075.9"/>
    <n v="7200"/>
    <n v="1875.8999999999996"/>
    <n v="0.20669024559547811"/>
  </r>
  <r>
    <s v="ORD-2023-253245"/>
    <n v="1"/>
    <x v="241"/>
    <n v="202308"/>
    <n v="202301"/>
    <n v="202301"/>
    <n v="7"/>
    <s v="Aug-2023"/>
    <x v="1"/>
    <x v="0"/>
    <n v="11"/>
    <d v="2023-08-14T00:00:00"/>
    <d v="2023-08-14T00:00:00"/>
    <x v="2"/>
    <x v="5"/>
    <s v="Brasília"/>
    <s v="Corporate"/>
    <x v="4"/>
    <x v="1"/>
    <x v="6"/>
    <s v="ACC-3951"/>
    <n v="232.73"/>
    <n v="334.19"/>
    <n v="815.10700000000008"/>
    <n v="1620.05"/>
    <s v="Medium"/>
    <n v="0.13400000000000001"/>
    <n v="0"/>
    <n v="25"/>
    <n v="8354.75"/>
    <n v="5818.25"/>
    <n v="2536.5"/>
    <n v="0.30359974864597983"/>
  </r>
  <r>
    <s v="ORD-2025-484073"/>
    <n v="1"/>
    <x v="242"/>
    <n v="202502"/>
    <n v="202302"/>
    <n v="202302"/>
    <n v="24"/>
    <s v="Feb-2025"/>
    <x v="11"/>
    <x v="0"/>
    <n v="18"/>
    <d v="2025-03-09T00:00:00"/>
    <d v="2025-03-09T00:00:00"/>
    <x v="1"/>
    <x v="4"/>
    <s v="Delhi"/>
    <s v="Small Business"/>
    <x v="4"/>
    <x v="7"/>
    <x v="5"/>
    <s v="MON-1436"/>
    <n v="325.87"/>
    <n v="538.79"/>
    <n v="815.10700000000008"/>
    <n v="1620.05"/>
    <s v="Low"/>
    <n v="0.17399999999999999"/>
    <n v="0"/>
    <n v="16"/>
    <n v="8620.64"/>
    <n v="5213.92"/>
    <n v="3406.7199999999993"/>
    <n v="0.39518179624714633"/>
  </r>
  <r>
    <s v="ORD-2024-745822"/>
    <m/>
    <x v="243"/>
    <d v="2454-02-26T00:00:00"/>
    <d v="2453-11-16T00:00:00"/>
    <d v="2453-11-16T00:00:00"/>
    <d v="1900-01-13T00:00:00"/>
    <s v="Mar-2024"/>
    <x v="4"/>
    <x v="0"/>
    <d v="1900-01-16T00:00:00"/>
    <d v="2024-04-17T00:00:00"/>
    <d v="2024-04-17T00:00:00"/>
    <x v="3"/>
    <x v="6"/>
    <s v="Frankfurt"/>
    <s v="Education"/>
    <x v="4"/>
    <x v="10"/>
    <x v="5"/>
    <s v="MON-8651"/>
    <n v="1025.51"/>
    <n v="1436.54"/>
    <n v="815.10700000000008"/>
    <n v="1620.05"/>
    <m/>
    <n v="0.13900000000000001"/>
    <n v="0"/>
    <n v="28"/>
    <n v="40223.119999999995"/>
    <n v="28714.28"/>
    <n v="11508.839999999997"/>
    <n v="0.28612499477912201"/>
  </r>
  <r>
    <s v="ORD-2023-369160"/>
    <n v="1"/>
    <x v="244"/>
    <n v="202307"/>
    <n v="202301"/>
    <n v="202301"/>
    <n v="6"/>
    <s v="Jul-2023"/>
    <x v="1"/>
    <x v="0"/>
    <n v="20"/>
    <d v="2023-08-13T00:00:00"/>
    <d v="2023-08-13T00:00:00"/>
    <x v="2"/>
    <x v="3"/>
    <s v="Montreal"/>
    <s v="Education"/>
    <x v="4"/>
    <x v="0"/>
    <x v="5"/>
    <s v="MON-3307"/>
    <n v="1082.3800000000001"/>
    <n v="1766.55"/>
    <n v="815.10700000000008"/>
    <n v="1620.05"/>
    <s v="Medium"/>
    <n v="0.16400000000000001"/>
    <n v="0"/>
    <n v="20"/>
    <n v="35331"/>
    <n v="21647.600000000002"/>
    <n v="13683.399999999998"/>
    <n v="0.38729161359712427"/>
  </r>
  <r>
    <s v="ORD-2024-834983"/>
    <m/>
    <x v="245"/>
    <d v="2454-02-26T00:00:00"/>
    <d v="2453-11-16T00:00:00"/>
    <d v="2453-11-16T00:00:00"/>
    <d v="1900-01-13T00:00:00"/>
    <s v="Mar-2024"/>
    <x v="11"/>
    <x v="0"/>
    <d v="1900-01-27T00:00:00"/>
    <d v="2024-04-13T00:00:00"/>
    <d v="2024-04-13T00:00:00"/>
    <x v="3"/>
    <x v="7"/>
    <s v="Paris"/>
    <s v="Small Business"/>
    <x v="1"/>
    <x v="11"/>
    <x v="1"/>
    <s v="PRN-8758"/>
    <n v="287.61"/>
    <n v="628.54"/>
    <n v="815.10700000000008"/>
    <n v="1620.05"/>
    <m/>
    <n v="0.13500000000000001"/>
    <n v="0"/>
    <n v="21"/>
    <n v="13199.34"/>
    <n v="6039.81"/>
    <n v="7159.53"/>
    <n v="0.54241575715149393"/>
  </r>
  <r>
    <s v="ORD-2024-499009"/>
    <n v="1"/>
    <x v="246"/>
    <n v="202401"/>
    <n v="202301"/>
    <n v="202301"/>
    <n v="12"/>
    <s v="Jan-2024"/>
    <x v="1"/>
    <x v="1"/>
    <n v="2"/>
    <d v="2024-01-27T00:00:00"/>
    <d v="2024-01-27T00:00:00"/>
    <x v="2"/>
    <x v="5"/>
    <s v="São Paulo"/>
    <s v="Non-Profit"/>
    <x v="2"/>
    <x v="13"/>
    <x v="4"/>
    <s v="LAP-7056"/>
    <n v="1410.97"/>
    <n v="1650.75"/>
    <n v="815.10700000000008"/>
    <n v="1620.05"/>
    <s v="Low"/>
    <n v="0.13500000000000001"/>
    <n v="0"/>
    <n v="6"/>
    <n v="9904.5"/>
    <n v="8465.82"/>
    <n v="1438.6800000000003"/>
    <n v="0.14525518703619569"/>
  </r>
  <r>
    <s v="ORD-2024-948800"/>
    <m/>
    <x v="247"/>
    <d v="2454-02-26T00:00:00"/>
    <d v="2453-11-16T00:00:00"/>
    <d v="2453-11-16T00:00:00"/>
    <d v="1900-01-13T00:00:00"/>
    <s v="Mar-2024"/>
    <x v="1"/>
    <x v="0"/>
    <d v="1900-01-14T00:00:00"/>
    <d v="2024-04-11T00:00:00"/>
    <d v="2024-04-11T00:00:00"/>
    <x v="2"/>
    <x v="10"/>
    <s v="San Francisco"/>
    <s v="Small Business"/>
    <x v="4"/>
    <x v="7"/>
    <x v="2"/>
    <s v="NET-5523"/>
    <n v="1338.35"/>
    <n v="2247.14"/>
    <n v="815.10700000000008"/>
    <n v="1620.05"/>
    <m/>
    <n v="0.115"/>
    <n v="0"/>
    <n v="40"/>
    <n v="89885.599999999991"/>
    <n v="53534"/>
    <n v="36351.599999999991"/>
    <n v="0.40442073035057891"/>
  </r>
  <r>
    <s v="ORD-2025-678328"/>
    <m/>
    <x v="35"/>
    <d v="2454-06-09T00:00:00"/>
    <d v="2453-11-16T00:00:00"/>
    <d v="2453-11-16T00:00:00"/>
    <d v="1900-01-28T00:00:00"/>
    <s v="Jun-2025"/>
    <x v="1"/>
    <x v="0"/>
    <d v="1900-01-19T00:00:00"/>
    <d v="2025-07-14T00:00:00"/>
    <d v="2025-07-14T00:00:00"/>
    <x v="3"/>
    <x v="6"/>
    <s v="Berlin"/>
    <s v="Corporate"/>
    <x v="4"/>
    <x v="7"/>
    <x v="6"/>
    <s v="ACC-8094"/>
    <n v="385.08"/>
    <n v="893.19"/>
    <n v="815.10700000000008"/>
    <n v="1620.05"/>
    <m/>
    <n v="0.151"/>
    <n v="0"/>
    <n v="8"/>
    <n v="7145.52"/>
    <n v="3080.64"/>
    <n v="4064.8800000000006"/>
    <n v="0.56887112484465796"/>
  </r>
  <r>
    <s v="ORD-2024-580808"/>
    <m/>
    <x v="248"/>
    <d v="2454-03-01T00:00:00"/>
    <d v="2453-11-16T00:00:00"/>
    <d v="2453-11-16T00:00:00"/>
    <d v="1900-01-16T00:00:00"/>
    <s v="Jun-2024"/>
    <x v="7"/>
    <x v="0"/>
    <d v="1900-01-16T00:00:00"/>
    <d v="2024-07-03T00:00:00"/>
    <d v="2024-07-03T00:00:00"/>
    <x v="0"/>
    <x v="11"/>
    <s v="Johannesburg"/>
    <s v="Enterprise"/>
    <x v="2"/>
    <x v="9"/>
    <x v="3"/>
    <s v="PHN-6832"/>
    <n v="1173.83"/>
    <n v="2328.9"/>
    <n v="815.10700000000008"/>
    <n v="1620.05"/>
    <m/>
    <n v="0.12"/>
    <n v="0"/>
    <n v="17"/>
    <n v="39591.300000000003"/>
    <n v="19955.11"/>
    <n v="19636.190000000002"/>
    <n v="0.49597234746017438"/>
  </r>
  <r>
    <s v="ORD-2023-211715"/>
    <n v="1"/>
    <x v="249"/>
    <n v="202310"/>
    <n v="202302"/>
    <n v="202302"/>
    <n v="8"/>
    <s v="Oct-2023"/>
    <x v="6"/>
    <x v="0"/>
    <n v="15"/>
    <d v="2023-11-14T00:00:00"/>
    <d v="2023-11-14T00:00:00"/>
    <x v="1"/>
    <x v="4"/>
    <s v="Bengaluru"/>
    <s v="Corporate"/>
    <x v="1"/>
    <x v="9"/>
    <x v="4"/>
    <s v="LAP-2378"/>
    <n v="953.46"/>
    <n v="2066.75"/>
    <n v="815.10700000000008"/>
    <n v="1620.05"/>
    <s v="High"/>
    <n v="0.13800000000000001"/>
    <n v="0"/>
    <n v="5"/>
    <n v="10333.75"/>
    <n v="4767.3"/>
    <n v="5566.45"/>
    <n v="0.538666989234305"/>
  </r>
  <r>
    <s v="ORD-2023-715175"/>
    <m/>
    <x v="250"/>
    <d v="2453-11-21T00:00:00"/>
    <d v="2453-11-16T00:00:00"/>
    <d v="2453-11-16T00:00:00"/>
    <d v="1900-01-04T00:00:00"/>
    <s v="Jun-2023"/>
    <x v="5"/>
    <x v="0"/>
    <d v="1900-01-07T00:00:00"/>
    <d v="2023-06-23T00:00:00"/>
    <d v="2023-06-23T00:00:00"/>
    <x v="2"/>
    <x v="10"/>
    <s v="San Francisco"/>
    <s v="Consumer"/>
    <x v="3"/>
    <x v="7"/>
    <x v="5"/>
    <s v="MON-5424"/>
    <n v="1097.0899999999999"/>
    <n v="2182.31"/>
    <n v="815.10700000000008"/>
    <n v="1620.05"/>
    <m/>
    <n v="0.112"/>
    <n v="0"/>
    <n v="9"/>
    <n v="19640.79"/>
    <n v="9873.81"/>
    <n v="9766.9800000000014"/>
    <n v="0.49728040470877194"/>
  </r>
  <r>
    <s v="ORD-2025-685236"/>
    <m/>
    <x v="251"/>
    <d v="2454-06-06T00:00:00"/>
    <d v="2453-11-18T00:00:00"/>
    <d v="2453-11-18T00:00:00"/>
    <d v="1900-01-23T00:00:00"/>
    <s v="Mar-2025"/>
    <x v="9"/>
    <x v="0"/>
    <d v="1900-01-14T00:00:00"/>
    <d v="2025-03-29T00:00:00"/>
    <d v="2025-03-29T00:00:00"/>
    <x v="1"/>
    <x v="2"/>
    <s v="Tokyo"/>
    <s v="Non-Profit"/>
    <x v="4"/>
    <x v="10"/>
    <x v="2"/>
    <s v="NET-8430"/>
    <n v="1106.96"/>
    <n v="2726.62"/>
    <n v="815.10700000000008"/>
    <n v="1620.05"/>
    <m/>
    <n v="0.317"/>
    <n v="1"/>
    <n v="7"/>
    <n v="19086.34"/>
    <n v="7748.72"/>
    <n v="11337.619999999999"/>
    <n v="0.59401750152203092"/>
  </r>
  <r>
    <s v="ORD-2023-274037"/>
    <m/>
    <x v="182"/>
    <d v="2453-11-23T00:00:00"/>
    <d v="2453-11-16T00:00:00"/>
    <d v="2453-11-16T00:00:00"/>
    <d v="1900-01-06T00:00:00"/>
    <s v="Aug-2023"/>
    <x v="4"/>
    <x v="0"/>
    <d v="1900-01-09T00:00:00"/>
    <d v="2023-08-25T00:00:00"/>
    <d v="2023-08-25T00:00:00"/>
    <x v="0"/>
    <x v="0"/>
    <s v="Nairobi"/>
    <s v="Small Business"/>
    <x v="0"/>
    <x v="13"/>
    <x v="3"/>
    <s v="PHN-1234"/>
    <n v="91.85"/>
    <n v="111.29"/>
    <n v="815.10700000000008"/>
    <n v="1620.05"/>
    <m/>
    <n v="0"/>
    <n v="0"/>
    <n v="6"/>
    <n v="667.74"/>
    <n v="551.09999999999991"/>
    <n v="116.6400000000001"/>
    <n v="0.17467876718483258"/>
  </r>
  <r>
    <s v="ORD-2025-983096"/>
    <n v="1"/>
    <x v="252"/>
    <n v="202505"/>
    <n v="202302"/>
    <n v="202302"/>
    <n v="27"/>
    <s v="May-2025"/>
    <x v="11"/>
    <x v="0"/>
    <n v="11"/>
    <d v="2025-05-28T00:00:00"/>
    <d v="2025-05-28T00:00:00"/>
    <x v="1"/>
    <x v="4"/>
    <s v="Bengaluru"/>
    <s v="Corporate"/>
    <x v="3"/>
    <x v="5"/>
    <x v="4"/>
    <s v="LAP-9016"/>
    <n v="623.4"/>
    <n v="1100.0899999999999"/>
    <n v="815.10700000000008"/>
    <n v="1620.05"/>
    <s v="Low"/>
    <n v="0.114"/>
    <n v="0"/>
    <n v="12"/>
    <n v="13201.079999999998"/>
    <n v="7480.7999999999993"/>
    <n v="5720.2799999999988"/>
    <n v="0.43331909207428482"/>
  </r>
  <r>
    <s v="ORD-2024-366010"/>
    <m/>
    <x v="94"/>
    <d v="2454-02-24T00:00:00"/>
    <d v="2453-11-16T00:00:00"/>
    <d v="2453-11-16T00:00:00"/>
    <d v="1900-01-11T00:00:00"/>
    <s v="Jan-2024"/>
    <x v="7"/>
    <x v="0"/>
    <d v="1900-01-22T00:00:00"/>
    <d v="2024-02-05T00:00:00"/>
    <d v="2024-02-05T00:00:00"/>
    <x v="3"/>
    <x v="6"/>
    <s v="Frankfurt"/>
    <s v="Education"/>
    <x v="4"/>
    <x v="5"/>
    <x v="4"/>
    <s v="LAP-9931"/>
    <n v="1017.93"/>
    <n v="1529.14"/>
    <n v="815.10700000000008"/>
    <n v="1620.05"/>
    <m/>
    <n v="0.155"/>
    <n v="0"/>
    <n v="12"/>
    <n v="18349.68"/>
    <n v="12215.16"/>
    <n v="6134.52"/>
    <n v="0.33431209699569697"/>
  </r>
  <r>
    <s v="ORD-2023-610470"/>
    <m/>
    <x v="87"/>
    <d v="2453-11-21T00:00:00"/>
    <d v="2453-11-18T00:00:00"/>
    <d v="2453-11-18T00:00:00"/>
    <d v="1900-01-02T00:00:00"/>
    <s v="Jun-2023"/>
    <x v="1"/>
    <x v="0"/>
    <d v="1900-01-26T00:00:00"/>
    <d v="2023-07-21T00:00:00"/>
    <d v="2023-07-21T00:00:00"/>
    <x v="1"/>
    <x v="2"/>
    <s v="Nagoya"/>
    <s v="Consumer"/>
    <x v="2"/>
    <x v="1"/>
    <x v="3"/>
    <s v="PHN-6818"/>
    <n v="554.76"/>
    <n v="728.69"/>
    <n v="815.10700000000008"/>
    <n v="1620.05"/>
    <m/>
    <n v="0.22"/>
    <n v="1"/>
    <n v="7"/>
    <n v="5100.83"/>
    <n v="3883.3199999999997"/>
    <n v="1217.5100000000002"/>
    <n v="0.23868860557987626"/>
  </r>
  <r>
    <s v="ORD-2025-541048"/>
    <m/>
    <x v="253"/>
    <d v="2454-06-07T00:00:00"/>
    <d v="2453-11-16T00:00:00"/>
    <d v="2453-11-16T00:00:00"/>
    <d v="1900-01-26T00:00:00"/>
    <s v="Apr-2025"/>
    <x v="9"/>
    <x v="0"/>
    <d v="1900-01-08T00:00:00"/>
    <d v="2025-04-13T00:00:00"/>
    <d v="2025-04-13T00:00:00"/>
    <x v="3"/>
    <x v="6"/>
    <s v="Munich"/>
    <s v="Consumer"/>
    <x v="2"/>
    <x v="9"/>
    <x v="3"/>
    <s v="PHN-3803"/>
    <n v="7.02"/>
    <n v="6.28"/>
    <n v="815.10700000000008"/>
    <n v="1620.05"/>
    <m/>
    <n v="0.13400000000000001"/>
    <n v="0"/>
    <n v="14"/>
    <n v="87.92"/>
    <n v="98.28"/>
    <n v="-10.36"/>
    <n v="-0.11783439490445859"/>
  </r>
  <r>
    <s v="ORD-2024-862371"/>
    <n v="1"/>
    <x v="254"/>
    <n v="202409"/>
    <n v="202302"/>
    <n v="202302"/>
    <n v="19"/>
    <s v="Sept-2024"/>
    <x v="7"/>
    <x v="1"/>
    <n v="0"/>
    <d v="2024-09-07T00:00:00"/>
    <d v="2024-09-07T00:00:00"/>
    <x v="1"/>
    <x v="4"/>
    <s v="Mumbai"/>
    <s v="Education"/>
    <x v="3"/>
    <x v="5"/>
    <x v="2"/>
    <s v="NET-9835"/>
    <n v="1066.6500000000001"/>
    <n v="2569.77"/>
    <n v="815.10700000000008"/>
    <n v="1620.05"/>
    <s v="Low"/>
    <n v="0.13400000000000001"/>
    <n v="0"/>
    <n v="9"/>
    <n v="23127.93"/>
    <n v="9599.85"/>
    <n v="13528.08"/>
    <n v="0.58492394260964986"/>
  </r>
  <r>
    <s v="ORD-2024-277241"/>
    <m/>
    <x v="10"/>
    <d v="2454-02-24T00:00:00"/>
    <d v="2453-11-16T00:00:00"/>
    <d v="2453-11-16T00:00:00"/>
    <d v="1900-01-11T00:00:00"/>
    <s v="Jan-2024"/>
    <x v="10"/>
    <x v="1"/>
    <d v="1900-01-01T00:00:00"/>
    <d v="2024-01-30T00:00:00"/>
    <d v="2024-01-30T00:00:00"/>
    <x v="0"/>
    <x v="11"/>
    <s v="Cape Town"/>
    <s v="Consumer"/>
    <x v="4"/>
    <x v="9"/>
    <x v="6"/>
    <s v="ACC-6223"/>
    <n v="798.45"/>
    <n v="1592.02"/>
    <n v="815.10700000000008"/>
    <n v="1620.05"/>
    <m/>
    <n v="6.6000000000000003E-2"/>
    <n v="0"/>
    <n v="18"/>
    <n v="28656.36"/>
    <n v="14372.1"/>
    <n v="14284.26"/>
    <n v="0.4984673559377395"/>
  </r>
  <r>
    <s v="ORD-2023-369150"/>
    <m/>
    <x v="255"/>
    <d v="2453-11-22T00:00:00"/>
    <d v="2453-11-16T00:00:00"/>
    <d v="2453-11-16T00:00:00"/>
    <d v="1900-01-05T00:00:00"/>
    <s v="Jul-2023"/>
    <x v="1"/>
    <x v="0"/>
    <d v="1900-01-22T00:00:00"/>
    <d v="2023-08-10T00:00:00"/>
    <d v="2023-08-10T00:00:00"/>
    <x v="0"/>
    <x v="11"/>
    <s v="Johannesburg"/>
    <s v="Small Business"/>
    <x v="0"/>
    <x v="4"/>
    <x v="0"/>
    <s v="CMP-8659"/>
    <n v="1271.56"/>
    <n v="995.47"/>
    <n v="815.10700000000008"/>
    <n v="1620.05"/>
    <m/>
    <n v="0.192"/>
    <n v="0"/>
    <n v="13"/>
    <n v="12941.11"/>
    <n v="16530.28"/>
    <n v="-3589.1699999999983"/>
    <n v="-0.27734637909731069"/>
  </r>
  <r>
    <s v="ORD-2025-922513"/>
    <n v="1"/>
    <x v="256"/>
    <n v="202508"/>
    <n v="202301"/>
    <n v="202301"/>
    <n v="31"/>
    <s v="Aug-2025"/>
    <x v="11"/>
    <x v="1"/>
    <n v="0"/>
    <d v="2025-08-28T00:00:00"/>
    <d v="2025-08-26T00:00:00"/>
    <x v="0"/>
    <x v="1"/>
    <s v="Port Harcourt"/>
    <s v="Small Business"/>
    <x v="0"/>
    <x v="8"/>
    <x v="6"/>
    <s v="ACC-4483"/>
    <n v="521.05999999999995"/>
    <n v="1240.31"/>
    <n v="815.10700000000008"/>
    <n v="1620.05"/>
    <s v="Medium"/>
    <n v="0.14599999999999999"/>
    <n v="0"/>
    <n v="18"/>
    <n v="22325.579999999998"/>
    <n v="9379.0799999999981"/>
    <n v="12946.5"/>
    <n v="0.57989534874345938"/>
  </r>
  <r>
    <s v="ORD-2025-752845"/>
    <n v="1"/>
    <x v="257"/>
    <n v="202503"/>
    <n v="202301"/>
    <n v="202301"/>
    <n v="26"/>
    <s v="Mar-2025"/>
    <x v="8"/>
    <x v="0"/>
    <n v="8"/>
    <d v="2025-04-07T00:00:00"/>
    <d v="2025-04-07T00:00:00"/>
    <x v="2"/>
    <x v="5"/>
    <s v="São Paulo"/>
    <s v="Non-Profit"/>
    <x v="4"/>
    <x v="4"/>
    <x v="1"/>
    <s v="PRN-8763"/>
    <n v="71.62"/>
    <n v="118.37"/>
    <n v="815.10700000000008"/>
    <n v="1620.05"/>
    <s v="Medium"/>
    <n v="0.156"/>
    <n v="0"/>
    <n v="11"/>
    <n v="1302.0700000000002"/>
    <n v="787.82"/>
    <n v="514.25000000000011"/>
    <n v="0.39494804426797336"/>
  </r>
  <r>
    <s v="ORD-2023-667815"/>
    <n v="1"/>
    <x v="258"/>
    <n v="202310"/>
    <n v="202301"/>
    <n v="202301"/>
    <n v="9"/>
    <s v="Oct-2023"/>
    <x v="4"/>
    <x v="0"/>
    <n v="19"/>
    <d v="2023-11-09T00:00:00"/>
    <d v="2023-11-09T00:00:00"/>
    <x v="3"/>
    <x v="8"/>
    <s v="London"/>
    <s v="Non-Profit"/>
    <x v="4"/>
    <x v="8"/>
    <x v="6"/>
    <s v="ACC-8557"/>
    <n v="1142.48"/>
    <n v="2105.5300000000002"/>
    <n v="815.10700000000008"/>
    <n v="1620.05"/>
    <s v="Low"/>
    <n v="0.20699999999999999"/>
    <n v="1"/>
    <n v="14"/>
    <n v="29477.420000000002"/>
    <n v="15994.720000000001"/>
    <n v="13482.7"/>
    <n v="0.45739077571917758"/>
  </r>
  <r>
    <s v="ORD-2023-375011"/>
    <n v="1"/>
    <x v="259"/>
    <n v="202308"/>
    <n v="202301"/>
    <n v="202301"/>
    <n v="7"/>
    <s v="Aug-2023"/>
    <x v="5"/>
    <x v="0"/>
    <n v="30"/>
    <d v="2023-09-22T00:00:00"/>
    <d v="2023-09-22T00:00:00"/>
    <x v="3"/>
    <x v="8"/>
    <s v="London"/>
    <s v="Consumer"/>
    <x v="3"/>
    <x v="7"/>
    <x v="6"/>
    <s v="ACC-1492"/>
    <n v="209.81"/>
    <n v="523"/>
    <n v="815.10700000000008"/>
    <n v="1620.05"/>
    <s v="High"/>
    <n v="5.8999999999999997E-2"/>
    <n v="0"/>
    <n v="15"/>
    <n v="7845"/>
    <n v="3147.15"/>
    <n v="4697.8500000000004"/>
    <n v="0.59883365200764826"/>
  </r>
  <r>
    <s v="ORD-2025-487025"/>
    <m/>
    <x v="260"/>
    <d v="2454-06-07T00:00:00"/>
    <d v="2453-11-18T00:00:00"/>
    <d v="2453-11-18T00:00:00"/>
    <d v="1900-01-24T00:00:00"/>
    <s v="Apr-2025"/>
    <x v="11"/>
    <x v="0"/>
    <d v="1900-01-22T00:00:00"/>
    <d v="2025-05-04T00:00:00"/>
    <d v="2025-05-04T00:00:00"/>
    <x v="1"/>
    <x v="2"/>
    <s v="Osaka"/>
    <s v="Small Business"/>
    <x v="1"/>
    <x v="12"/>
    <x v="0"/>
    <s v="CMP-3743"/>
    <n v="786.2"/>
    <n v="1075.3"/>
    <n v="815.10700000000008"/>
    <n v="1620.05"/>
    <m/>
    <n v="0.08"/>
    <n v="0"/>
    <n v="9"/>
    <n v="9677.6999999999989"/>
    <n v="7075.8"/>
    <n v="2601.8999999999987"/>
    <n v="0.26885520319910711"/>
  </r>
  <r>
    <s v="ORD-2025-398335"/>
    <m/>
    <x v="261"/>
    <d v="2454-06-09T00:00:00"/>
    <d v="2453-11-16T00:00:00"/>
    <d v="2453-11-16T00:00:00"/>
    <d v="1900-01-28T00:00:00"/>
    <s v="Jun-2025"/>
    <x v="7"/>
    <x v="0"/>
    <d v="1900-01-25T00:00:00"/>
    <d v="2025-06-27T00:00:00"/>
    <d v="2025-06-27T00:00:00"/>
    <x v="3"/>
    <x v="6"/>
    <s v="Munich"/>
    <s v="Consumer"/>
    <x v="3"/>
    <x v="6"/>
    <x v="4"/>
    <s v="LAP-1619"/>
    <n v="1362.31"/>
    <n v="3294.57"/>
    <n v="815.10700000000008"/>
    <n v="1620.05"/>
    <m/>
    <n v="0.113"/>
    <n v="0"/>
    <n v="7"/>
    <n v="23061.99"/>
    <n v="9536.17"/>
    <n v="13525.820000000002"/>
    <n v="0.58649838977468993"/>
  </r>
  <r>
    <s v="ORD-2024-792137"/>
    <n v="1"/>
    <x v="262"/>
    <n v="202403"/>
    <n v="202301"/>
    <n v="202301"/>
    <n v="14"/>
    <s v="Mar-2024"/>
    <x v="7"/>
    <x v="0"/>
    <n v="14"/>
    <d v="2024-03-16T00:00:00"/>
    <d v="2024-03-16T00:00:00"/>
    <x v="2"/>
    <x v="3"/>
    <s v="Vancouver"/>
    <s v="Non-Profit"/>
    <x v="4"/>
    <x v="7"/>
    <x v="1"/>
    <s v="PRN-7976"/>
    <n v="248.24"/>
    <n v="464.05"/>
    <n v="815.10700000000008"/>
    <n v="1620.05"/>
    <s v="High"/>
    <n v="0.16900000000000001"/>
    <n v="0"/>
    <n v="11"/>
    <n v="5104.55"/>
    <n v="2730.6400000000003"/>
    <n v="2373.91"/>
    <n v="0.46505764465036092"/>
  </r>
  <r>
    <s v="ORD-2023-602648"/>
    <m/>
    <x v="263"/>
    <d v="2453-11-21T00:00:00"/>
    <d v="2453-11-16T00:00:00"/>
    <d v="2453-11-16T00:00:00"/>
    <d v="1900-01-04T00:00:00"/>
    <s v="Jun-2023"/>
    <x v="1"/>
    <x v="0"/>
    <d v="1900-01-17T00:00:00"/>
    <d v="2023-07-08T00:00:00"/>
    <d v="2023-07-08T00:00:00"/>
    <x v="2"/>
    <x v="10"/>
    <s v="Austin"/>
    <s v="Non-Profit"/>
    <x v="4"/>
    <x v="9"/>
    <x v="5"/>
    <s v="MON-4326"/>
    <n v="337"/>
    <n v="511.03"/>
    <n v="815.10700000000008"/>
    <n v="1620.05"/>
    <m/>
    <n v="0.108"/>
    <n v="0"/>
    <n v="7"/>
    <n v="3577.21"/>
    <n v="2359"/>
    <n v="1218.21"/>
    <n v="0.34054752167191749"/>
  </r>
  <r>
    <s v="ORD-2024-207096"/>
    <m/>
    <x v="264"/>
    <d v="2454-02-26T00:00:00"/>
    <d v="2453-11-16T00:00:00"/>
    <d v="2453-11-16T00:00:00"/>
    <d v="1900-01-13T00:00:00"/>
    <s v="Mar-2024"/>
    <x v="9"/>
    <x v="0"/>
    <d v="1900-01-09T00:00:00"/>
    <d v="2024-04-05T00:00:00"/>
    <d v="2024-04-05T00:00:00"/>
    <x v="2"/>
    <x v="10"/>
    <s v="Austin"/>
    <s v="Consumer"/>
    <x v="4"/>
    <x v="1"/>
    <x v="5"/>
    <s v="MON-5444"/>
    <n v="5.66"/>
    <n v="4.22"/>
    <n v="815.10700000000008"/>
    <n v="1620.05"/>
    <m/>
    <n v="0.11899999999999999"/>
    <n v="0"/>
    <n v="18"/>
    <n v="75.959999999999994"/>
    <n v="101.88"/>
    <n v="-25.92"/>
    <n v="-0.34123222748815168"/>
  </r>
  <r>
    <s v="ORD-2025-939953"/>
    <m/>
    <x v="265"/>
    <d v="2454-06-04T00:00:00"/>
    <d v="2453-11-16T00:00:00"/>
    <d v="2453-11-16T00:00:00"/>
    <d v="1900-01-23T00:00:00"/>
    <s v="Jan-2025"/>
    <x v="1"/>
    <x v="1"/>
    <d v="1899-12-30T00:00:00"/>
    <d v="2025-01-22T00:00:00"/>
    <d v="2025-01-22T00:00:00"/>
    <x v="3"/>
    <x v="7"/>
    <s v="Lyon"/>
    <s v="Small Business"/>
    <x v="1"/>
    <x v="5"/>
    <x v="6"/>
    <s v="ACC-5422"/>
    <n v="591.72"/>
    <n v="577.24"/>
    <n v="815.10700000000008"/>
    <n v="1620.05"/>
    <m/>
    <n v="0"/>
    <n v="0"/>
    <n v="22"/>
    <n v="12699.28"/>
    <n v="13017.84"/>
    <n v="-318.55999999999949"/>
    <n v="-2.5084886702238195E-2"/>
  </r>
  <r>
    <s v="ORD-2025-191328"/>
    <n v="1"/>
    <x v="266"/>
    <n v="202505"/>
    <n v="202301"/>
    <n v="202301"/>
    <n v="28"/>
    <s v="May-2025"/>
    <x v="4"/>
    <x v="0"/>
    <n v="17"/>
    <d v="2025-05-27T00:00:00"/>
    <d v="2025-05-27T00:00:00"/>
    <x v="2"/>
    <x v="3"/>
    <s v="Vancouver"/>
    <s v="Education"/>
    <x v="4"/>
    <x v="0"/>
    <x v="0"/>
    <s v="CMP-9307"/>
    <n v="862.89"/>
    <n v="1426.03"/>
    <n v="815.10700000000008"/>
    <n v="1620.05"/>
    <s v="Low"/>
    <n v="5.6000000000000001E-2"/>
    <n v="0"/>
    <n v="19"/>
    <n v="27094.57"/>
    <n v="16394.91"/>
    <n v="10699.66"/>
    <n v="0.39490052803938208"/>
  </r>
  <r>
    <s v="ORD-2023-166668"/>
    <n v="1"/>
    <x v="230"/>
    <n v="202310"/>
    <n v="202301"/>
    <n v="202301"/>
    <n v="9"/>
    <s v="Oct-2023"/>
    <x v="7"/>
    <x v="0"/>
    <n v="26"/>
    <d v="2023-10-31T00:00:00"/>
    <d v="2023-10-31T00:00:00"/>
    <x v="1"/>
    <x v="9"/>
    <s v="Shanghai"/>
    <s v="Consumer"/>
    <x v="1"/>
    <x v="1"/>
    <x v="1"/>
    <s v="PRN-6520"/>
    <n v="649.91"/>
    <n v="1360.12"/>
    <n v="815.10700000000008"/>
    <n v="1620.05"/>
    <s v="Medium"/>
    <n v="0.19400000000000001"/>
    <n v="0"/>
    <n v="9"/>
    <n v="12241.079999999998"/>
    <n v="5849.19"/>
    <n v="6391.8899999999985"/>
    <n v="0.52216716172102462"/>
  </r>
  <r>
    <s v="ORD-2023-594700"/>
    <n v="1"/>
    <x v="255"/>
    <n v="202307"/>
    <n v="202301"/>
    <n v="202301"/>
    <n v="6"/>
    <s v="Jul-2023"/>
    <x v="5"/>
    <x v="1"/>
    <n v="4"/>
    <d v="2023-07-22T00:00:00"/>
    <d v="2023-07-22T00:00:00"/>
    <x v="2"/>
    <x v="5"/>
    <s v="São Paulo"/>
    <s v="Consumer"/>
    <x v="4"/>
    <x v="9"/>
    <x v="2"/>
    <s v="NET-1699"/>
    <n v="1269.55"/>
    <n v="2071.1"/>
    <n v="815.10700000000008"/>
    <n v="1620.05"/>
    <s v="Medium"/>
    <n v="0.129"/>
    <n v="0"/>
    <n v="22"/>
    <n v="45564.2"/>
    <n v="27930.1"/>
    <n v="17634.099999999999"/>
    <n v="0.38701656124764616"/>
  </r>
  <r>
    <s v="ORD-2025-278048"/>
    <n v="1"/>
    <x v="267"/>
    <n v="202506"/>
    <n v="202301"/>
    <n v="202301"/>
    <n v="29"/>
    <s v="Jun-2025"/>
    <x v="11"/>
    <x v="0"/>
    <n v="16"/>
    <d v="2025-07-08T00:00:00"/>
    <d v="2025-07-08T00:00:00"/>
    <x v="3"/>
    <x v="8"/>
    <s v="London"/>
    <s v="Education"/>
    <x v="4"/>
    <x v="8"/>
    <x v="3"/>
    <s v="PHN-5316"/>
    <n v="892.73"/>
    <n v="979.84"/>
    <n v="815.10700000000008"/>
    <n v="1620.05"/>
    <s v="High"/>
    <n v="0.17399999999999999"/>
    <n v="0"/>
    <n v="10"/>
    <n v="9798.4"/>
    <n v="8927.2999999999993"/>
    <n v="871.10000000000036"/>
    <n v="8.8902269758327934E-2"/>
  </r>
  <r>
    <s v="ORD-2024-878493"/>
    <m/>
    <x v="268"/>
    <d v="2454-03-01T00:00:00"/>
    <d v="2453-11-16T00:00:00"/>
    <d v="2453-11-16T00:00:00"/>
    <d v="1900-01-16T00:00:00"/>
    <s v="Jun-2024"/>
    <x v="7"/>
    <x v="1"/>
    <d v="1899-12-31T00:00:00"/>
    <d v="2024-06-20T00:00:00"/>
    <d v="2024-06-20T00:00:00"/>
    <x v="0"/>
    <x v="0"/>
    <s v="Kisumu"/>
    <s v="Small Business"/>
    <x v="4"/>
    <x v="1"/>
    <x v="4"/>
    <s v="LAP-4607"/>
    <n v="231.63"/>
    <n v="537.39"/>
    <n v="815.10700000000008"/>
    <n v="1620.05"/>
    <m/>
    <n v="0.08"/>
    <n v="0"/>
    <n v="12"/>
    <n v="6448.68"/>
    <n v="2779.56"/>
    <n v="3669.1200000000003"/>
    <n v="0.56897225478702618"/>
  </r>
  <r>
    <s v="ORD-2025-138578"/>
    <m/>
    <x v="69"/>
    <d v="2454-06-07T00:00:00"/>
    <d v="2453-11-16T00:00:00"/>
    <d v="2453-11-16T00:00:00"/>
    <d v="1900-01-26T00:00:00"/>
    <s v="Apr-2025"/>
    <x v="6"/>
    <x v="1"/>
    <d v="1900-01-02T00:00:00"/>
    <d v="2025-04-12T00:00:00"/>
    <d v="2025-04-12T00:00:00"/>
    <x v="3"/>
    <x v="7"/>
    <s v="Lyon"/>
    <s v="Small Business"/>
    <x v="3"/>
    <x v="10"/>
    <x v="5"/>
    <s v="MON-5276"/>
    <n v="86.68"/>
    <n v="213.32"/>
    <n v="815.10700000000008"/>
    <n v="1620.05"/>
    <m/>
    <n v="3.7999999999999999E-2"/>
    <n v="0"/>
    <n v="8"/>
    <n v="1706.56"/>
    <n v="693.44"/>
    <n v="1013.1199999999999"/>
    <n v="0.59366210388149254"/>
  </r>
  <r>
    <s v="ORD-2025-944081"/>
    <n v="1"/>
    <x v="80"/>
    <n v="202503"/>
    <n v="202301"/>
    <n v="202301"/>
    <n v="26"/>
    <s v="Mar-2025"/>
    <x v="7"/>
    <x v="1"/>
    <n v="1"/>
    <d v="2025-03-26T00:00:00"/>
    <d v="2025-03-26T00:00:00"/>
    <x v="0"/>
    <x v="1"/>
    <s v="Lagos"/>
    <s v="Education"/>
    <x v="3"/>
    <x v="3"/>
    <x v="6"/>
    <s v="ACC-9533"/>
    <n v="1450.43"/>
    <n v="1994.67"/>
    <n v="815.10700000000008"/>
    <n v="1620.05"/>
    <s v="Low"/>
    <n v="0.1"/>
    <n v="0"/>
    <n v="24"/>
    <n v="47872.08"/>
    <n v="34810.32"/>
    <n v="13061.760000000002"/>
    <n v="0.27284713762176205"/>
  </r>
  <r>
    <s v="ORD-2025-364852"/>
    <m/>
    <x v="269"/>
    <d v="2454-06-08T00:00:00"/>
    <d v="2453-11-16T00:00:00"/>
    <d v="2453-11-16T00:00:00"/>
    <d v="1900-01-27T00:00:00"/>
    <s v="May-2025"/>
    <x v="4"/>
    <x v="0"/>
    <d v="1900-01-21T00:00:00"/>
    <d v="2025-06-09T00:00:00"/>
    <d v="2025-06-09T00:00:00"/>
    <x v="2"/>
    <x v="10"/>
    <s v="New York"/>
    <s v="Consumer"/>
    <x v="0"/>
    <x v="10"/>
    <x v="2"/>
    <s v="NET-3749"/>
    <n v="382.96"/>
    <n v="552.84"/>
    <n v="815.10700000000008"/>
    <n v="1620.05"/>
    <m/>
    <n v="0.17599999999999999"/>
    <n v="0"/>
    <n v="8"/>
    <n v="4422.72"/>
    <n v="3063.68"/>
    <n v="1359.0400000000004"/>
    <n v="0.30728601403661104"/>
  </r>
  <r>
    <s v="ORD-2025-415018"/>
    <m/>
    <x v="265"/>
    <d v="2454-06-04T00:00:00"/>
    <d v="2453-11-18T00:00:00"/>
    <d v="2453-11-18T00:00:00"/>
    <d v="1900-01-21T00:00:00"/>
    <s v="Jan-2025"/>
    <x v="7"/>
    <x v="0"/>
    <d v="1900-01-12T00:00:00"/>
    <d v="2025-02-04T00:00:00"/>
    <d v="2025-02-04T00:00:00"/>
    <x v="1"/>
    <x v="2"/>
    <s v="Tokyo"/>
    <s v="Small Business"/>
    <x v="3"/>
    <x v="4"/>
    <x v="1"/>
    <s v="PRN-2991"/>
    <n v="122.29"/>
    <n v="224.95"/>
    <n v="815.10700000000008"/>
    <n v="1620.05"/>
    <m/>
    <n v="0.153"/>
    <n v="0"/>
    <n v="28"/>
    <n v="6298.5999999999995"/>
    <n v="3424.1200000000003"/>
    <n v="2874.4799999999991"/>
    <n v="0.45636808179595456"/>
  </r>
  <r>
    <s v="ORD-2023-884192"/>
    <m/>
    <x v="270"/>
    <d v="2453-11-16T00:00:00"/>
    <d v="2453-11-16T00:00:00"/>
    <d v="2453-11-16T00:00:00"/>
    <d v="1899-12-30T00:00:00"/>
    <s v="Jan-2023"/>
    <x v="4"/>
    <x v="0"/>
    <d v="1900-01-18T00:00:00"/>
    <d v="2023-01-29T00:00:00"/>
    <d v="2023-01-29T00:00:00"/>
    <x v="3"/>
    <x v="7"/>
    <s v="Lyon"/>
    <s v="Non-Profit"/>
    <x v="4"/>
    <x v="14"/>
    <x v="4"/>
    <s v="LAP-4551"/>
    <n v="401.66"/>
    <n v="772.09"/>
    <n v="815.10700000000008"/>
    <n v="1620.05"/>
    <m/>
    <n v="8.8999999999999996E-2"/>
    <n v="0"/>
    <n v="14"/>
    <n v="10809.26"/>
    <n v="5623.2400000000007"/>
    <n v="5186.0199999999995"/>
    <n v="0.47977567382040948"/>
  </r>
  <r>
    <s v="ORD-2024-165942"/>
    <n v="1"/>
    <x v="271"/>
    <n v="202412"/>
    <n v="202301"/>
    <n v="202301"/>
    <n v="23"/>
    <s v="Dec-2024"/>
    <x v="3"/>
    <x v="0"/>
    <n v="14"/>
    <d v="2025-01-12T00:00:00"/>
    <d v="2025-01-12T00:00:00"/>
    <x v="3"/>
    <x v="8"/>
    <s v="Manchester"/>
    <s v="Corporate"/>
    <x v="4"/>
    <x v="5"/>
    <x v="5"/>
    <s v="MON-6310"/>
    <n v="1399.72"/>
    <n v="3149.21"/>
    <n v="815.10700000000008"/>
    <n v="1620.05"/>
    <s v="Low"/>
    <n v="0.185"/>
    <n v="0"/>
    <n v="12"/>
    <n v="37790.520000000004"/>
    <n v="16796.64"/>
    <n v="20993.880000000005"/>
    <n v="0.5555329749365715"/>
  </r>
  <r>
    <s v="ORD-2024-403664"/>
    <n v="1"/>
    <x v="154"/>
    <n v="202405"/>
    <n v="202301"/>
    <n v="202301"/>
    <n v="16"/>
    <s v="May-2024"/>
    <x v="2"/>
    <x v="0"/>
    <n v="14"/>
    <d v="2024-06-06T00:00:00"/>
    <d v="2024-06-06T00:00:00"/>
    <x v="2"/>
    <x v="5"/>
    <s v="Rio de Janeiro"/>
    <s v="Non-Profit"/>
    <x v="1"/>
    <x v="2"/>
    <x v="2"/>
    <s v="NET-1166"/>
    <n v="51.13"/>
    <n v="57.53"/>
    <n v="815.10700000000008"/>
    <n v="1620.05"/>
    <s v="High"/>
    <n v="4.4999999999999998E-2"/>
    <n v="0"/>
    <n v="16"/>
    <n v="920.48"/>
    <n v="818.08"/>
    <n v="102.39999999999998"/>
    <n v="0.11124630627498694"/>
  </r>
  <r>
    <s v="ORD-2023-890605"/>
    <n v="1"/>
    <x v="87"/>
    <n v="202306"/>
    <n v="202301"/>
    <n v="202301"/>
    <n v="5"/>
    <s v="Jun-2023"/>
    <x v="6"/>
    <x v="1"/>
    <n v="0"/>
    <d v="2023-06-24T00:00:00"/>
    <d v="2023-06-22T00:00:00"/>
    <x v="2"/>
    <x v="3"/>
    <s v="Toronto"/>
    <s v="Non-Profit"/>
    <x v="0"/>
    <x v="12"/>
    <x v="6"/>
    <s v="ACC-2903"/>
    <n v="471.42"/>
    <n v="824.81"/>
    <n v="815.10700000000008"/>
    <n v="1620.05"/>
    <s v="Low"/>
    <n v="8.7999999999999995E-2"/>
    <n v="0"/>
    <n v="15"/>
    <n v="12372.15"/>
    <n v="7071.3"/>
    <n v="5300.8499999999995"/>
    <n v="0.42845018852826711"/>
  </r>
  <r>
    <s v="ORD-2024-925626"/>
    <n v="1"/>
    <x v="272"/>
    <n v="202411"/>
    <n v="202301"/>
    <n v="202301"/>
    <n v="22"/>
    <s v="Nov-2024"/>
    <x v="9"/>
    <x v="1"/>
    <n v="1"/>
    <d v="2024-11-05T00:00:00"/>
    <d v="2024-11-05T00:00:00"/>
    <x v="3"/>
    <x v="8"/>
    <s v="London"/>
    <s v="Corporate"/>
    <x v="0"/>
    <x v="12"/>
    <x v="1"/>
    <s v="PRN-2293"/>
    <n v="840.68"/>
    <n v="1493.53"/>
    <n v="815.10700000000008"/>
    <n v="1620.05"/>
    <s v="Medium"/>
    <n v="0"/>
    <n v="0"/>
    <n v="27"/>
    <n v="40325.31"/>
    <n v="22698.359999999997"/>
    <n v="17626.95"/>
    <n v="0.43711877230454027"/>
  </r>
  <r>
    <s v="ORD-2024-427031"/>
    <m/>
    <x v="273"/>
    <d v="2454-03-01T00:00:00"/>
    <d v="2453-11-16T00:00:00"/>
    <d v="2453-11-16T00:00:00"/>
    <d v="1900-01-16T00:00:00"/>
    <s v="Jun-2024"/>
    <x v="2"/>
    <x v="0"/>
    <d v="1900-01-15T00:00:00"/>
    <d v="2024-06-24T00:00:00"/>
    <d v="2024-06-24T00:00:00"/>
    <x v="0"/>
    <x v="11"/>
    <s v="Durban"/>
    <s v="Education"/>
    <x v="3"/>
    <x v="10"/>
    <x v="5"/>
    <s v="MON-1389"/>
    <n v="597.85"/>
    <n v="741.92"/>
    <n v="815.10700000000008"/>
    <n v="1620.05"/>
    <m/>
    <n v="3.1E-2"/>
    <n v="0"/>
    <n v="7"/>
    <n v="5193.4399999999996"/>
    <n v="4184.95"/>
    <n v="1008.4899999999998"/>
    <n v="0.19418535691179639"/>
  </r>
  <r>
    <s v="ORD-2025-231184"/>
    <m/>
    <x v="261"/>
    <d v="2454-06-09T00:00:00"/>
    <d v="2453-11-16T00:00:00"/>
    <d v="2453-11-16T00:00:00"/>
    <d v="1900-01-28T00:00:00"/>
    <s v="Jun-2025"/>
    <x v="6"/>
    <x v="1"/>
    <d v="1900-01-04T00:00:00"/>
    <d v="2025-06-06T00:00:00"/>
    <d v="2025-06-06T00:00:00"/>
    <x v="3"/>
    <x v="7"/>
    <s v="Paris"/>
    <s v="Consumer"/>
    <x v="3"/>
    <x v="3"/>
    <x v="0"/>
    <s v="CMP-4093"/>
    <n v="379.45"/>
    <n v="742.23"/>
    <n v="815.10700000000008"/>
    <n v="1620.05"/>
    <m/>
    <n v="0.09"/>
    <n v="0"/>
    <n v="13"/>
    <n v="9648.99"/>
    <n v="4932.8499999999995"/>
    <n v="4716.1400000000003"/>
    <n v="0.48877032725704972"/>
  </r>
  <r>
    <s v="ORD-2023-363031"/>
    <m/>
    <x v="274"/>
    <d v="2453-11-20T00:00:00"/>
    <d v="2453-11-18T00:00:00"/>
    <d v="2453-11-18T00:00:00"/>
    <d v="1900-01-01T00:00:00"/>
    <s v="May-2023"/>
    <x v="7"/>
    <x v="0"/>
    <d v="1900-01-07T00:00:00"/>
    <d v="2023-05-14T00:00:00"/>
    <d v="2023-05-14T00:00:00"/>
    <x v="1"/>
    <x v="2"/>
    <s v="Osaka"/>
    <s v="Enterprise"/>
    <x v="2"/>
    <x v="5"/>
    <x v="3"/>
    <s v="PHN-6131"/>
    <n v="291.18"/>
    <n v="479.54"/>
    <n v="815.10700000000008"/>
    <n v="1620.05"/>
    <m/>
    <n v="0.14099999999999999"/>
    <n v="0"/>
    <n v="22"/>
    <n v="10549.880000000001"/>
    <n v="6405.96"/>
    <n v="4143.920000000001"/>
    <n v="0.39279309338115698"/>
  </r>
  <r>
    <s v="ORD-2023-619570"/>
    <n v="1"/>
    <x v="275"/>
    <n v="202311"/>
    <n v="202301"/>
    <n v="202301"/>
    <n v="10"/>
    <s v="Nov-2023"/>
    <x v="9"/>
    <x v="0"/>
    <n v="16"/>
    <d v="2023-11-30T00:00:00"/>
    <d v="2023-11-30T00:00:00"/>
    <x v="2"/>
    <x v="5"/>
    <s v="São Paulo"/>
    <s v="Enterprise"/>
    <x v="4"/>
    <x v="11"/>
    <x v="2"/>
    <s v="NET-4104"/>
    <n v="1017.92"/>
    <n v="1175.25"/>
    <n v="815.10700000000008"/>
    <n v="1620.05"/>
    <s v="Low"/>
    <n v="7.4999999999999997E-2"/>
    <n v="0"/>
    <n v="15"/>
    <n v="17628.75"/>
    <n v="15268.8"/>
    <n v="2359.9500000000007"/>
    <n v="0.13386938949159757"/>
  </r>
  <r>
    <s v="ORD-2025-861401"/>
    <m/>
    <x v="276"/>
    <d v="2454-06-07T00:00:00"/>
    <d v="2453-11-16T00:00:00"/>
    <d v="2453-11-16T00:00:00"/>
    <d v="1900-01-26T00:00:00"/>
    <s v="Apr-2025"/>
    <x v="5"/>
    <x v="0"/>
    <d v="1900-01-25T00:00:00"/>
    <d v="2025-04-27T00:00:00"/>
    <d v="2025-04-27T00:00:00"/>
    <x v="2"/>
    <x v="10"/>
    <s v="San Francisco"/>
    <s v="Corporate"/>
    <x v="4"/>
    <x v="2"/>
    <x v="5"/>
    <s v="MON-9319"/>
    <n v="156.55000000000001"/>
    <n v="227.45"/>
    <n v="815.10700000000008"/>
    <n v="1620.05"/>
    <m/>
    <n v="1.4E-2"/>
    <n v="0"/>
    <n v="13"/>
    <n v="2956.85"/>
    <n v="2035.15"/>
    <n v="921.69999999999982"/>
    <n v="0.31171686084853811"/>
  </r>
  <r>
    <s v="ORD-2023-835010"/>
    <m/>
    <x v="277"/>
    <d v="2453-11-18T00:00:00"/>
    <d v="2453-11-16T00:00:00"/>
    <d v="2453-11-16T00:00:00"/>
    <d v="1900-01-01T00:00:00"/>
    <s v="Mar-2023"/>
    <x v="7"/>
    <x v="0"/>
    <d v="1900-01-22T00:00:00"/>
    <d v="2023-04-15T00:00:00"/>
    <d v="2023-04-15T00:00:00"/>
    <x v="0"/>
    <x v="0"/>
    <s v="Mombasa"/>
    <s v="Small Business"/>
    <x v="0"/>
    <x v="0"/>
    <x v="6"/>
    <s v="ACC-2988"/>
    <n v="875.36"/>
    <n v="1178.6199999999999"/>
    <n v="815.10700000000008"/>
    <n v="1620.05"/>
    <m/>
    <n v="0.151"/>
    <n v="0"/>
    <n v="53"/>
    <n v="62466.859999999993"/>
    <n v="46394.080000000002"/>
    <n v="16072.779999999992"/>
    <n v="0.25730091123517324"/>
  </r>
  <r>
    <s v="ORD-2024-819979"/>
    <m/>
    <x v="91"/>
    <d v="2454-02-28T00:00:00"/>
    <d v="2453-11-16T00:00:00"/>
    <d v="2453-11-16T00:00:00"/>
    <d v="1900-01-15T00:00:00"/>
    <s v="May-2024"/>
    <x v="3"/>
    <x v="0"/>
    <d v="1900-01-20T00:00:00"/>
    <d v="2024-06-18T00:00:00"/>
    <d v="2024-06-18T00:00:00"/>
    <x v="3"/>
    <x v="6"/>
    <s v="Frankfurt"/>
    <s v="Small Business"/>
    <x v="1"/>
    <x v="6"/>
    <x v="3"/>
    <s v="PHN-9399"/>
    <n v="986.85"/>
    <n v="2422.1"/>
    <n v="815.10700000000008"/>
    <n v="1620.05"/>
    <m/>
    <n v="7.5999999999999998E-2"/>
    <n v="0"/>
    <n v="10"/>
    <n v="24221"/>
    <n v="9868.5"/>
    <n v="14352.5"/>
    <n v="0.59256430370339785"/>
  </r>
  <r>
    <s v="ORD-2024-719055"/>
    <m/>
    <x v="278"/>
    <d v="2454-02-24T00:00:00"/>
    <d v="2453-11-16T00:00:00"/>
    <d v="2453-11-16T00:00:00"/>
    <d v="1900-01-11T00:00:00"/>
    <s v="Jan-2024"/>
    <x v="6"/>
    <x v="1"/>
    <d v="1899-12-30T00:00:00"/>
    <d v="2024-01-02T00:00:00"/>
    <d v="2024-01-01T00:00:00"/>
    <x v="2"/>
    <x v="10"/>
    <s v="Chicago"/>
    <s v="Education"/>
    <x v="2"/>
    <x v="5"/>
    <x v="2"/>
    <s v="NET-4554"/>
    <n v="404.77"/>
    <n v="433.88"/>
    <n v="815.10700000000008"/>
    <n v="1620.05"/>
    <m/>
    <n v="0.215"/>
    <n v="1"/>
    <n v="22"/>
    <n v="9545.36"/>
    <n v="8904.9399999999987"/>
    <n v="640.42000000000189"/>
    <n v="6.7092283580713757E-2"/>
  </r>
  <r>
    <s v="ORD-2023-888245"/>
    <m/>
    <x v="2"/>
    <d v="2453-11-17T00:00:00"/>
    <d v="2453-11-16T00:00:00"/>
    <d v="2453-11-16T00:00:00"/>
    <d v="1899-12-31T00:00:00"/>
    <s v="Feb-2023"/>
    <x v="1"/>
    <x v="1"/>
    <d v="1899-12-30T00:00:00"/>
    <d v="2023-02-28T00:00:00"/>
    <d v="2023-02-27T00:00:00"/>
    <x v="3"/>
    <x v="7"/>
    <s v="Marseille"/>
    <s v="Corporate"/>
    <x v="0"/>
    <x v="11"/>
    <x v="2"/>
    <s v="NET-5195"/>
    <n v="1299.81"/>
    <n v="3149.13"/>
    <n v="815.10700000000008"/>
    <n v="1620.05"/>
    <m/>
    <n v="0.10299999999999999"/>
    <n v="0"/>
    <n v="14"/>
    <n v="44087.82"/>
    <n v="18197.34"/>
    <n v="25890.48"/>
    <n v="0.58724790656467019"/>
  </r>
  <r>
    <s v="ORD-2024-206121"/>
    <n v="1"/>
    <x v="142"/>
    <n v="202402"/>
    <n v="202301"/>
    <n v="202301"/>
    <n v="13"/>
    <s v="Feb-2024"/>
    <x v="3"/>
    <x v="0"/>
    <n v="22"/>
    <d v="2024-03-11T00:00:00"/>
    <d v="2024-03-11T00:00:00"/>
    <x v="2"/>
    <x v="5"/>
    <s v="São Paulo"/>
    <s v="Consumer"/>
    <x v="1"/>
    <x v="8"/>
    <x v="0"/>
    <s v="CMP-9801"/>
    <n v="80.48"/>
    <n v="65.650000000000006"/>
    <n v="815.10700000000008"/>
    <n v="1620.05"/>
    <s v="High"/>
    <n v="0.17599999999999999"/>
    <n v="0"/>
    <n v="13"/>
    <n v="853.45"/>
    <n v="1046.24"/>
    <n v="-192.78999999999996"/>
    <n v="-0.22589489718202585"/>
  </r>
  <r>
    <s v="ORD-2024-500890"/>
    <n v="1"/>
    <x v="190"/>
    <n v="202409"/>
    <n v="202301"/>
    <n v="202301"/>
    <n v="20"/>
    <s v="Sept-2024"/>
    <x v="1"/>
    <x v="0"/>
    <n v="29"/>
    <d v="2024-10-08T00:00:00"/>
    <d v="2024-10-08T00:00:00"/>
    <x v="2"/>
    <x v="5"/>
    <s v="São Paulo"/>
    <s v="Education"/>
    <x v="4"/>
    <x v="1"/>
    <x v="0"/>
    <s v="CMP-3093"/>
    <n v="1010.33"/>
    <n v="2492.14"/>
    <n v="815.10700000000008"/>
    <n v="1620.05"/>
    <s v="Low"/>
    <n v="5.0999999999999997E-2"/>
    <n v="0"/>
    <n v="11"/>
    <n v="27413.539999999997"/>
    <n v="11113.630000000001"/>
    <n v="16299.909999999996"/>
    <n v="0.59459340165480257"/>
  </r>
  <r>
    <s v="ORD-2023-144816"/>
    <m/>
    <x v="238"/>
    <d v="2453-11-20T00:00:00"/>
    <d v="2453-11-16T00:00:00"/>
    <d v="2453-11-16T00:00:00"/>
    <d v="1900-01-03T00:00:00"/>
    <s v="May-2023"/>
    <x v="10"/>
    <x v="0"/>
    <d v="1900-01-21T00:00:00"/>
    <d v="2023-05-29T00:00:00"/>
    <d v="2023-05-29T00:00:00"/>
    <x v="0"/>
    <x v="11"/>
    <s v="Durban"/>
    <s v="Education"/>
    <x v="3"/>
    <x v="11"/>
    <x v="6"/>
    <s v="ACC-2364"/>
    <n v="653.86"/>
    <n v="931.84"/>
    <n v="815.10700000000008"/>
    <n v="1620.05"/>
    <m/>
    <n v="0.121"/>
    <n v="0"/>
    <n v="12"/>
    <n v="11182.08"/>
    <n v="7846.32"/>
    <n v="3335.76"/>
    <n v="0.29831301510989011"/>
  </r>
  <r>
    <s v="ORD-2024-153053"/>
    <n v="1"/>
    <x v="181"/>
    <n v="202401"/>
    <n v="202302"/>
    <n v="202302"/>
    <n v="11"/>
    <s v="Jan-2024"/>
    <x v="9"/>
    <x v="0"/>
    <n v="17"/>
    <d v="2024-01-29T00:00:00"/>
    <d v="2024-01-29T00:00:00"/>
    <x v="1"/>
    <x v="4"/>
    <s v="Hyderabad"/>
    <s v="Small Business"/>
    <x v="4"/>
    <x v="5"/>
    <x v="0"/>
    <s v="CMP-5138"/>
    <n v="310.02"/>
    <n v="619.51"/>
    <n v="815.10700000000008"/>
    <n v="1620.05"/>
    <s v="Medium"/>
    <n v="4.2000000000000003E-2"/>
    <n v="0"/>
    <n v="4"/>
    <n v="2478.04"/>
    <n v="1240.08"/>
    <n v="1237.96"/>
    <n v="0.49957224257881233"/>
  </r>
  <r>
    <s v="ORD-2023-536542"/>
    <m/>
    <x v="279"/>
    <d v="2453-11-21T00:00:00"/>
    <d v="2453-11-16T00:00:00"/>
    <d v="2453-11-16T00:00:00"/>
    <d v="1900-01-04T00:00:00"/>
    <s v="Jun-2023"/>
    <x v="1"/>
    <x v="0"/>
    <d v="1900-01-07T00:00:00"/>
    <d v="2023-06-18T00:00:00"/>
    <d v="2023-06-18T00:00:00"/>
    <x v="0"/>
    <x v="0"/>
    <s v="Nakuru"/>
    <s v="Enterprise"/>
    <x v="4"/>
    <x v="10"/>
    <x v="3"/>
    <s v="PHN-2337"/>
    <n v="894.23"/>
    <n v="1421.55"/>
    <n v="815.10700000000008"/>
    <n v="1620.05"/>
    <m/>
    <n v="0.109"/>
    <n v="0"/>
    <n v="3"/>
    <n v="4264.6499999999996"/>
    <n v="2682.69"/>
    <n v="1581.9599999999996"/>
    <n v="0.37094720551510668"/>
  </r>
  <r>
    <s v="ORD-2025-779530"/>
    <n v="1"/>
    <x v="280"/>
    <n v="202505"/>
    <n v="202301"/>
    <n v="202301"/>
    <n v="28"/>
    <s v="May-2025"/>
    <x v="9"/>
    <x v="1"/>
    <n v="0"/>
    <d v="2025-05-19T00:00:00"/>
    <d v="2025-05-17T00:00:00"/>
    <x v="2"/>
    <x v="5"/>
    <s v="São Paulo"/>
    <s v="Small Business"/>
    <x v="3"/>
    <x v="4"/>
    <x v="5"/>
    <s v="MON-2993"/>
    <n v="383.77"/>
    <n v="952.56"/>
    <n v="815.10700000000008"/>
    <n v="1620.05"/>
    <s v="Medium"/>
    <n v="0.34599999999999997"/>
    <n v="1"/>
    <n v="10"/>
    <n v="9525.5999999999985"/>
    <n v="3837.7"/>
    <n v="5687.8999999999987"/>
    <n v="0.59711724195851179"/>
  </r>
  <r>
    <s v="ORD-2023-163610"/>
    <n v="1"/>
    <x v="281"/>
    <n v="202310"/>
    <n v="202301"/>
    <n v="202301"/>
    <n v="9"/>
    <s v="Oct-2023"/>
    <x v="7"/>
    <x v="0"/>
    <n v="25"/>
    <d v="2023-11-16T00:00:00"/>
    <d v="2023-11-16T00:00:00"/>
    <x v="2"/>
    <x v="3"/>
    <s v="Toronto"/>
    <s v="Small Business"/>
    <x v="2"/>
    <x v="2"/>
    <x v="4"/>
    <s v="LAP-9024"/>
    <n v="1373.31"/>
    <n v="3154.14"/>
    <n v="815.10700000000008"/>
    <n v="1620.05"/>
    <s v="Medium"/>
    <n v="0.2"/>
    <n v="0"/>
    <n v="11"/>
    <n v="34695.54"/>
    <n v="15106.41"/>
    <n v="19589.13"/>
    <n v="0.56460081036352228"/>
  </r>
  <r>
    <s v="ORD-2025-653781"/>
    <m/>
    <x v="282"/>
    <d v="2454-06-04T00:00:00"/>
    <d v="2453-11-16T00:00:00"/>
    <d v="2453-11-16T00:00:00"/>
    <d v="1900-01-23T00:00:00"/>
    <s v="Jan-2025"/>
    <x v="5"/>
    <x v="0"/>
    <d v="1900-01-11T00:00:00"/>
    <d v="2025-01-23T00:00:00"/>
    <d v="2025-01-23T00:00:00"/>
    <x v="2"/>
    <x v="10"/>
    <s v="Austin"/>
    <s v="Consumer"/>
    <x v="3"/>
    <x v="10"/>
    <x v="3"/>
    <s v="PHN-6307"/>
    <n v="100.69"/>
    <n v="226.14"/>
    <n v="815.10700000000008"/>
    <n v="1620.05"/>
    <m/>
    <n v="6.5000000000000002E-2"/>
    <n v="0"/>
    <n v="12"/>
    <n v="2713.68"/>
    <n v="1208.28"/>
    <n v="1505.3999999999999"/>
    <n v="0.55474484832404702"/>
  </r>
  <r>
    <s v="ORD-2025-737787"/>
    <n v="1"/>
    <x v="283"/>
    <n v="202509"/>
    <n v="202301"/>
    <n v="202301"/>
    <n v="32"/>
    <s v="Sept-2025"/>
    <x v="4"/>
    <x v="0"/>
    <n v="12"/>
    <d v="2025-09-26T00:00:00"/>
    <d v="2025-09-26T00:00:00"/>
    <x v="3"/>
    <x v="8"/>
    <s v="London"/>
    <s v="Small Business"/>
    <x v="4"/>
    <x v="13"/>
    <x v="2"/>
    <s v="NET-9003"/>
    <n v="425.15"/>
    <n v="885.92"/>
    <n v="815.10700000000008"/>
    <n v="1620.05"/>
    <s v="Low"/>
    <n v="0.23899999999999999"/>
    <n v="1"/>
    <n v="13"/>
    <n v="11516.96"/>
    <n v="5526.95"/>
    <n v="5990.0099999999993"/>
    <n v="0.52010339534043704"/>
  </r>
  <r>
    <s v="ORD-2023-944052"/>
    <n v="1"/>
    <x v="52"/>
    <n v="202308"/>
    <n v="202302"/>
    <n v="202302"/>
    <n v="6"/>
    <s v="Aug-2023"/>
    <x v="8"/>
    <x v="1"/>
    <n v="4"/>
    <d v="2023-09-03T00:00:00"/>
    <d v="2023-09-03T00:00:00"/>
    <x v="1"/>
    <x v="4"/>
    <s v="Delhi"/>
    <s v="Small Business"/>
    <x v="2"/>
    <x v="4"/>
    <x v="6"/>
    <s v="ACC-3068"/>
    <n v="1082.25"/>
    <n v="2433.34"/>
    <n v="815.10700000000008"/>
    <n v="1620.05"/>
    <s v="Medium"/>
    <n v="0.27"/>
    <n v="1"/>
    <n v="4"/>
    <n v="9733.36"/>
    <n v="4329"/>
    <n v="5404.3600000000006"/>
    <n v="0.55524094454535744"/>
  </r>
  <r>
    <s v="ORD-2023-181257"/>
    <n v="1"/>
    <x v="284"/>
    <n v="202311"/>
    <n v="202301"/>
    <n v="202301"/>
    <n v="10"/>
    <s v="Nov-2023"/>
    <x v="11"/>
    <x v="0"/>
    <n v="21"/>
    <d v="2023-12-06T00:00:00"/>
    <d v="2023-12-06T00:00:00"/>
    <x v="3"/>
    <x v="8"/>
    <s v="Manchester"/>
    <s v="Education"/>
    <x v="4"/>
    <x v="10"/>
    <x v="6"/>
    <s v="ACC-1060"/>
    <n v="1184.99"/>
    <n v="1154.3399999999999"/>
    <n v="815.10700000000008"/>
    <n v="1620.05"/>
    <s v="High"/>
    <n v="2.8000000000000001E-2"/>
    <n v="0"/>
    <n v="5"/>
    <n v="5771.7"/>
    <n v="5924.95"/>
    <n v="-153.25"/>
    <n v="-2.6551969090562573E-2"/>
  </r>
  <r>
    <s v="ORD-2025-323492"/>
    <n v="1"/>
    <x v="60"/>
    <n v="202504"/>
    <n v="202302"/>
    <n v="202302"/>
    <n v="26"/>
    <s v="Apr-2025"/>
    <x v="5"/>
    <x v="0"/>
    <n v="30"/>
    <d v="2025-05-27T00:00:00"/>
    <d v="2025-05-27T00:00:00"/>
    <x v="1"/>
    <x v="4"/>
    <s v="Bengaluru"/>
    <s v="Enterprise"/>
    <x v="2"/>
    <x v="10"/>
    <x v="3"/>
    <s v="PHN-3854"/>
    <n v="481.32"/>
    <n v="1135.99"/>
    <n v="815.10700000000008"/>
    <n v="1620.05"/>
    <s v="Medium"/>
    <n v="0.14499999999999999"/>
    <n v="0"/>
    <n v="5"/>
    <n v="5679.95"/>
    <n v="2406.6"/>
    <n v="3273.35"/>
    <n v="0.57629908713985156"/>
  </r>
  <r>
    <s v="ORD-2024-332076"/>
    <m/>
    <x v="285"/>
    <d v="2454-02-27T00:00:00"/>
    <d v="2453-11-16T00:00:00"/>
    <d v="2453-11-16T00:00:00"/>
    <d v="1900-01-14T00:00:00"/>
    <s v="Apr-2024"/>
    <x v="7"/>
    <x v="0"/>
    <d v="1900-01-08T00:00:00"/>
    <d v="2024-04-18T00:00:00"/>
    <d v="2024-04-18T00:00:00"/>
    <x v="3"/>
    <x v="7"/>
    <s v="Lyon"/>
    <s v="Consumer"/>
    <x v="1"/>
    <x v="6"/>
    <x v="1"/>
    <s v="PRN-1086"/>
    <n v="1288.8499999999999"/>
    <n v="2751.84"/>
    <n v="815.10700000000008"/>
    <n v="1620.05"/>
    <m/>
    <n v="0.158"/>
    <n v="0"/>
    <n v="7"/>
    <n v="19262.88"/>
    <n v="9021.9499999999989"/>
    <n v="10240.930000000002"/>
    <n v="0.53164064771207642"/>
  </r>
  <r>
    <s v="ORD-2024-571797"/>
    <n v="1"/>
    <x v="286"/>
    <n v="202407"/>
    <n v="202301"/>
    <n v="202301"/>
    <n v="18"/>
    <s v="Jul-2024"/>
    <x v="6"/>
    <x v="0"/>
    <n v="20"/>
    <d v="2024-07-31T00:00:00"/>
    <d v="2024-07-31T00:00:00"/>
    <x v="1"/>
    <x v="9"/>
    <s v="Shenzhen"/>
    <s v="Consumer"/>
    <x v="1"/>
    <x v="3"/>
    <x v="3"/>
    <s v="PHN-7815"/>
    <n v="647.26"/>
    <n v="1374.72"/>
    <n v="815.10700000000008"/>
    <n v="1620.05"/>
    <s v="High"/>
    <n v="6.6000000000000003E-2"/>
    <n v="0"/>
    <n v="22"/>
    <n v="30243.84"/>
    <n v="14239.72"/>
    <n v="16004.12"/>
    <n v="0.5291695763500931"/>
  </r>
  <r>
    <s v="ORD-2024-129345"/>
    <n v="1"/>
    <x v="142"/>
    <n v="202402"/>
    <n v="202301"/>
    <n v="202301"/>
    <n v="13"/>
    <s v="Feb-2024"/>
    <x v="10"/>
    <x v="0"/>
    <n v="14"/>
    <d v="2024-03-03T00:00:00"/>
    <d v="2024-03-03T00:00:00"/>
    <x v="2"/>
    <x v="5"/>
    <s v="Null"/>
    <s v="Enterprise"/>
    <x v="3"/>
    <x v="8"/>
    <x v="1"/>
    <s v="PRN-5384"/>
    <n v="624.23"/>
    <n v="1318.37"/>
    <n v="815.10700000000008"/>
    <n v="1620.05"/>
    <s v="Medium"/>
    <n v="0.21"/>
    <n v="1"/>
    <n v="37"/>
    <n v="48779.689999999995"/>
    <n v="23096.510000000002"/>
    <n v="25683.179999999993"/>
    <n v="0.52651380113321744"/>
  </r>
  <r>
    <s v="ORD-2023-660608"/>
    <n v="1"/>
    <x v="287"/>
    <n v="202307"/>
    <n v="202301"/>
    <n v="202301"/>
    <n v="6"/>
    <s v="Jul-2023"/>
    <x v="1"/>
    <x v="0"/>
    <n v="16"/>
    <d v="2023-08-10T00:00:00"/>
    <d v="2023-08-10T00:00:00"/>
    <x v="0"/>
    <x v="1"/>
    <s v="Port Harcourt"/>
    <s v="Corporate"/>
    <x v="3"/>
    <x v="2"/>
    <x v="6"/>
    <s v="ACC-8178"/>
    <n v="506.83"/>
    <n v="441.74"/>
    <n v="815.10700000000008"/>
    <n v="1620.05"/>
    <s v="Medium"/>
    <n v="0.24"/>
    <n v="1"/>
    <n v="9"/>
    <n v="3975.66"/>
    <n v="4561.47"/>
    <n v="-585.8100000000004"/>
    <n v="-0.14734911939149736"/>
  </r>
  <r>
    <s v="ORD-2023-825084"/>
    <m/>
    <x v="288"/>
    <d v="2453-11-22T00:00:00"/>
    <d v="2453-11-16T00:00:00"/>
    <d v="2453-11-16T00:00:00"/>
    <d v="1900-01-05T00:00:00"/>
    <s v="Jul-2023"/>
    <x v="11"/>
    <x v="1"/>
    <d v="1900-01-06T00:00:00"/>
    <d v="2023-07-21T00:00:00"/>
    <d v="2023-07-21T00:00:00"/>
    <x v="0"/>
    <x v="11"/>
    <s v="Durban"/>
    <s v="Enterprise"/>
    <x v="2"/>
    <x v="15"/>
    <x v="5"/>
    <s v="MON-1018"/>
    <n v="620.74"/>
    <n v="1330.07"/>
    <n v="815.10700000000008"/>
    <n v="1620.05"/>
    <m/>
    <n v="0.29899999999999999"/>
    <n v="1"/>
    <n v="28"/>
    <n v="37241.96"/>
    <n v="17380.72"/>
    <n v="19861.239999999998"/>
    <n v="0.53330275850143216"/>
  </r>
  <r>
    <s v="ORD-2023-261081"/>
    <m/>
    <x v="244"/>
    <d v="2453-11-22T00:00:00"/>
    <d v="2453-11-16T00:00:00"/>
    <d v="2453-11-16T00:00:00"/>
    <d v="1900-01-05T00:00:00"/>
    <s v="Jul-2023"/>
    <x v="11"/>
    <x v="0"/>
    <d v="1900-01-25T00:00:00"/>
    <d v="2023-08-19T00:00:00"/>
    <d v="2023-08-19T00:00:00"/>
    <x v="0"/>
    <x v="0"/>
    <s v="Nairobi"/>
    <s v="Enterprise"/>
    <x v="3"/>
    <x v="12"/>
    <x v="6"/>
    <s v="ACC-1238"/>
    <n v="661.45"/>
    <n v="1634.86"/>
    <n v="815.10700000000008"/>
    <n v="1620.05"/>
    <m/>
    <n v="0.56499999999999995"/>
    <n v="1"/>
    <n v="24"/>
    <n v="39236.639999999999"/>
    <n v="15874.800000000001"/>
    <n v="23361.839999999997"/>
    <n v="0.59540878118003981"/>
  </r>
  <r>
    <s v="ORD-2023-766015"/>
    <m/>
    <x v="289"/>
    <d v="2453-11-19T00:00:00"/>
    <d v="2453-11-16T00:00:00"/>
    <d v="2453-11-16T00:00:00"/>
    <d v="1900-01-02T00:00:00"/>
    <s v="Apr-2023"/>
    <x v="11"/>
    <x v="1"/>
    <d v="1899-12-30T00:00:00"/>
    <d v="2023-04-13T00:00:00"/>
    <d v="2023-04-11T00:00:00"/>
    <x v="2"/>
    <x v="10"/>
    <s v="San Francisco"/>
    <s v="Education"/>
    <x v="2"/>
    <x v="3"/>
    <x v="2"/>
    <s v="NET-1816"/>
    <n v="32.1"/>
    <n v="70.599999999999994"/>
    <n v="815.10700000000008"/>
    <n v="1620.05"/>
    <m/>
    <n v="0.28199999999999997"/>
    <n v="1"/>
    <n v="22"/>
    <n v="1553.1999999999998"/>
    <n v="706.2"/>
    <n v="846.99999999999977"/>
    <n v="0.54532577903682711"/>
  </r>
  <r>
    <s v="ORD-2024-333192"/>
    <m/>
    <x v="290"/>
    <d v="2454-03-05T00:00:00"/>
    <d v="2453-11-16T00:00:00"/>
    <d v="2453-11-16T00:00:00"/>
    <d v="1900-01-20T00:00:00"/>
    <s v="Oct-2024"/>
    <x v="9"/>
    <x v="1"/>
    <d v="1900-01-05T00:00:00"/>
    <d v="2024-11-04T00:00:00"/>
    <d v="2024-11-04T00:00:00"/>
    <x v="0"/>
    <x v="0"/>
    <s v="Nairobi"/>
    <s v="Corporate"/>
    <x v="3"/>
    <x v="12"/>
    <x v="1"/>
    <s v="PRN-4893"/>
    <n v="805.81"/>
    <n v="1823.04"/>
    <n v="815.10700000000008"/>
    <n v="1620.05"/>
    <m/>
    <n v="0"/>
    <n v="0"/>
    <n v="11"/>
    <n v="20053.439999999999"/>
    <n v="8863.91"/>
    <n v="11189.529999999999"/>
    <n v="0.55798556257679477"/>
  </r>
  <r>
    <s v="ORD-2024-647473"/>
    <n v="1"/>
    <x v="291"/>
    <n v="202402"/>
    <n v="202302"/>
    <n v="202302"/>
    <n v="12"/>
    <s v="Feb-2024"/>
    <x v="2"/>
    <x v="0"/>
    <n v="16"/>
    <d v="2024-03-04T00:00:00"/>
    <d v="2024-03-04T00:00:00"/>
    <x v="1"/>
    <x v="4"/>
    <s v="Delhi"/>
    <s v="Small Business"/>
    <x v="2"/>
    <x v="9"/>
    <x v="3"/>
    <s v="PHN-1717"/>
    <n v="1231.8"/>
    <n v="2015.99"/>
    <n v="815.10700000000008"/>
    <n v="1620.05"/>
    <s v="High"/>
    <n v="0.26100000000000001"/>
    <n v="1"/>
    <n v="6"/>
    <n v="12095.94"/>
    <n v="7390.7999999999993"/>
    <n v="4705.1400000000012"/>
    <n v="0.38898506441004183"/>
  </r>
  <r>
    <s v="ORD-2024-892908"/>
    <m/>
    <x v="292"/>
    <d v="2454-03-02T00:00:00"/>
    <d v="2453-11-18T00:00:00"/>
    <d v="2453-11-18T00:00:00"/>
    <d v="1900-01-15T00:00:00"/>
    <s v="Jul-2024"/>
    <x v="1"/>
    <x v="1"/>
    <d v="1899-12-30T00:00:00"/>
    <d v="2024-07-13T00:00:00"/>
    <d v="2024-07-12T00:00:00"/>
    <x v="1"/>
    <x v="2"/>
    <s v="Nagoya"/>
    <s v="Small Business"/>
    <x v="2"/>
    <x v="9"/>
    <x v="2"/>
    <s v="NET-9575"/>
    <n v="105.13"/>
    <n v="244.13"/>
    <n v="815.10700000000008"/>
    <n v="1620.05"/>
    <m/>
    <n v="7.0999999999999994E-2"/>
    <n v="0"/>
    <n v="14"/>
    <n v="3417.8199999999997"/>
    <n v="1471.82"/>
    <n v="1945.9999999999998"/>
    <n v="0.56936877892925897"/>
  </r>
  <r>
    <s v="ORD-2023-573146"/>
    <m/>
    <x v="293"/>
    <d v="2453-11-27T00:00:00"/>
    <d v="2453-11-18T00:00:00"/>
    <d v="2453-11-18T00:00:00"/>
    <d v="1900-01-08T00:00:00"/>
    <s v="Dec-2023"/>
    <x v="10"/>
    <x v="0"/>
    <d v="1900-01-16T00:00:00"/>
    <d v="2023-12-18T00:00:00"/>
    <d v="2023-12-18T00:00:00"/>
    <x v="1"/>
    <x v="2"/>
    <s v="Nagoya"/>
    <s v="Small Business"/>
    <x v="4"/>
    <x v="13"/>
    <x v="4"/>
    <s v="LAP-3604"/>
    <n v="1495.79"/>
    <n v="2783.12"/>
    <n v="815.10700000000008"/>
    <n v="1620.05"/>
    <m/>
    <n v="0.02"/>
    <n v="0"/>
    <n v="5"/>
    <n v="13915.599999999999"/>
    <n v="7478.95"/>
    <n v="6436.6499999999987"/>
    <n v="0.4625492253298456"/>
  </r>
  <r>
    <s v="ORD-2024-901115"/>
    <n v="1"/>
    <x v="19"/>
    <n v="202407"/>
    <n v="202301"/>
    <n v="202301"/>
    <n v="18"/>
    <s v="Jul-2024"/>
    <x v="5"/>
    <x v="0"/>
    <n v="8"/>
    <d v="2024-08-02T00:00:00"/>
    <d v="2024-08-02T00:00:00"/>
    <x v="2"/>
    <x v="3"/>
    <s v="Montreal"/>
    <s v="Consumer"/>
    <x v="4"/>
    <x v="1"/>
    <x v="6"/>
    <s v="ACC-6626"/>
    <n v="986.81"/>
    <n v="2050.31"/>
    <n v="815.10700000000008"/>
    <n v="1620.05"/>
    <s v="High"/>
    <n v="0.10299999999999999"/>
    <n v="0"/>
    <n v="43"/>
    <n v="88163.33"/>
    <n v="42432.829999999994"/>
    <n v="45730.500000000007"/>
    <n v="0.51870204993391256"/>
  </r>
  <r>
    <s v="ORD-2023-898009"/>
    <n v="1"/>
    <x v="176"/>
    <n v="202305"/>
    <n v="202301"/>
    <n v="202301"/>
    <n v="4"/>
    <s v="May-2023"/>
    <x v="10"/>
    <x v="0"/>
    <n v="12"/>
    <d v="2023-05-16T00:00:00"/>
    <d v="2023-05-16T00:00:00"/>
    <x v="0"/>
    <x v="1"/>
    <s v="Abuja"/>
    <s v="Small Business"/>
    <x v="2"/>
    <x v="1"/>
    <x v="3"/>
    <s v="PHN-1670"/>
    <n v="77.739999999999995"/>
    <n v="147.12"/>
    <n v="815.10700000000008"/>
    <n v="1620.05"/>
    <s v="High"/>
    <n v="0"/>
    <n v="0"/>
    <n v="15"/>
    <n v="2206.8000000000002"/>
    <n v="1166.0999999999999"/>
    <n v="1040.7000000000003"/>
    <n v="0.47158781946710177"/>
  </r>
  <r>
    <s v="ORD-2023-208944"/>
    <n v="1"/>
    <x v="294"/>
    <n v="202312"/>
    <n v="202301"/>
    <n v="202301"/>
    <n v="11"/>
    <s v="Dec-2023"/>
    <x v="9"/>
    <x v="0"/>
    <n v="16"/>
    <d v="2024-01-06T00:00:00"/>
    <d v="2024-01-06T00:00:00"/>
    <x v="0"/>
    <x v="1"/>
    <s v="Lagos"/>
    <s v="Corporate"/>
    <x v="2"/>
    <x v="11"/>
    <x v="0"/>
    <s v="CMP-4792"/>
    <n v="932.61"/>
    <n v="1982.98"/>
    <n v="815.10700000000008"/>
    <n v="1620.05"/>
    <s v="Low"/>
    <n v="0.14399999999999999"/>
    <n v="0"/>
    <n v="16"/>
    <n v="31727.68"/>
    <n v="14921.76"/>
    <n v="16805.919999999998"/>
    <n v="0.52969268474719855"/>
  </r>
  <r>
    <s v="ORD-2025-480172"/>
    <n v="1"/>
    <x v="295"/>
    <n v="202506"/>
    <n v="202302"/>
    <n v="202302"/>
    <n v="28"/>
    <s v="Jun-2025"/>
    <x v="5"/>
    <x v="0"/>
    <n v="18"/>
    <d v="2025-07-05T00:00:00"/>
    <d v="2025-07-05T00:00:00"/>
    <x v="1"/>
    <x v="4"/>
    <s v="Delhi"/>
    <s v="Consumer"/>
    <x v="2"/>
    <x v="4"/>
    <x v="4"/>
    <s v="LAP-1990"/>
    <n v="982.93"/>
    <n v="2299.3000000000002"/>
    <n v="815.10700000000008"/>
    <n v="1620.05"/>
    <s v="High"/>
    <n v="0.113"/>
    <n v="0"/>
    <n v="6"/>
    <n v="13795.800000000001"/>
    <n v="5897.58"/>
    <n v="7898.2200000000012"/>
    <n v="0.57250902448571306"/>
  </r>
  <r>
    <s v="ORD-2023-735274"/>
    <n v="1"/>
    <x v="29"/>
    <n v="202302"/>
    <n v="202301"/>
    <n v="202301"/>
    <n v="1"/>
    <s v="Feb-2023"/>
    <x v="7"/>
    <x v="0"/>
    <n v="13"/>
    <d v="2023-03-08T00:00:00"/>
    <d v="2023-03-08T00:00:00"/>
    <x v="3"/>
    <x v="8"/>
    <s v="Manchester"/>
    <s v="Small Business"/>
    <x v="4"/>
    <x v="0"/>
    <x v="1"/>
    <s v="PRN-7410"/>
    <n v="307.37"/>
    <n v="462.61"/>
    <n v="815.10700000000008"/>
    <n v="1620.05"/>
    <s v="High"/>
    <n v="0.188"/>
    <n v="0"/>
    <n v="11"/>
    <n v="5088.71"/>
    <n v="3381.07"/>
    <n v="1707.6399999999999"/>
    <n v="0.33557424180194978"/>
  </r>
  <r>
    <s v="ORD-2023-212701"/>
    <m/>
    <x v="296"/>
    <d v="2453-11-27T00:00:00"/>
    <d v="2453-11-16T00:00:00"/>
    <d v="2453-11-16T00:00:00"/>
    <d v="1900-01-10T00:00:00"/>
    <s v="Dec-2023"/>
    <x v="3"/>
    <x v="0"/>
    <d v="1900-01-13T00:00:00"/>
    <d v="2023-12-16T00:00:00"/>
    <d v="2023-12-16T00:00:00"/>
    <x v="3"/>
    <x v="6"/>
    <s v="Frankfurt"/>
    <s v="Education"/>
    <x v="4"/>
    <x v="13"/>
    <x v="5"/>
    <s v="MON-4278"/>
    <n v="879.08"/>
    <n v="1093.3900000000001"/>
    <n v="815.10700000000008"/>
    <n v="1620.05"/>
    <m/>
    <n v="0.113"/>
    <n v="0"/>
    <n v="17"/>
    <n v="18587.63"/>
    <n v="14944.36"/>
    <n v="3643.2700000000004"/>
    <n v="0.19600508510229653"/>
  </r>
  <r>
    <s v="ORD-2023-479747"/>
    <n v="1"/>
    <x v="288"/>
    <n v="202307"/>
    <n v="202301"/>
    <n v="202301"/>
    <n v="6"/>
    <s v="Jul-2023"/>
    <x v="5"/>
    <x v="1"/>
    <n v="0"/>
    <d v="2023-07-14T00:00:00"/>
    <d v="2023-07-14T00:00:00"/>
    <x v="0"/>
    <x v="1"/>
    <s v="Lagos"/>
    <s v="Education"/>
    <x v="0"/>
    <x v="2"/>
    <x v="6"/>
    <s v="ACC-5334"/>
    <n v="956.38"/>
    <n v="1454.22"/>
    <n v="815.10700000000008"/>
    <n v="1620.05"/>
    <s v="Medium"/>
    <n v="3.9E-2"/>
    <n v="0"/>
    <n v="19"/>
    <n v="27630.18"/>
    <n v="18171.22"/>
    <n v="9458.9599999999991"/>
    <n v="0.34234159893276117"/>
  </r>
  <r>
    <s v="ORD-2024-915495"/>
    <m/>
    <x v="297"/>
    <d v="2454-03-03T00:00:00"/>
    <d v="2453-11-18T00:00:00"/>
    <d v="2453-11-18T00:00:00"/>
    <d v="1900-01-16T00:00:00"/>
    <s v="Aug-2024"/>
    <x v="11"/>
    <x v="0"/>
    <d v="1900-01-11T00:00:00"/>
    <d v="2024-08-20T00:00:00"/>
    <d v="2024-08-20T00:00:00"/>
    <x v="1"/>
    <x v="2"/>
    <s v="Osaka"/>
    <s v="Small Business"/>
    <x v="0"/>
    <x v="10"/>
    <x v="2"/>
    <s v="NET-8957"/>
    <n v="1233.3599999999999"/>
    <n v="2120.4"/>
    <n v="815.10700000000008"/>
    <n v="1620.05"/>
    <m/>
    <n v="0.17899999999999999"/>
    <n v="0"/>
    <n v="20"/>
    <n v="42408"/>
    <n v="24667.199999999997"/>
    <n v="17740.800000000003"/>
    <n v="0.41833616298811555"/>
  </r>
  <r>
    <s v="ORD-2024-225829"/>
    <n v="1"/>
    <x v="298"/>
    <n v="202411"/>
    <n v="202301"/>
    <n v="202301"/>
    <n v="22"/>
    <s v="Nov-2024"/>
    <x v="10"/>
    <x v="0"/>
    <n v="19"/>
    <d v="2024-11-26T00:00:00"/>
    <d v="2024-11-26T00:00:00"/>
    <x v="2"/>
    <x v="5"/>
    <s v="Rio de Janeiro"/>
    <s v="Non-Profit"/>
    <x v="3"/>
    <x v="1"/>
    <x v="1"/>
    <s v="PRN-9960"/>
    <n v="55.35"/>
    <n v="128.68"/>
    <n v="815.10700000000008"/>
    <n v="1620.05"/>
    <s v="High"/>
    <n v="0.128"/>
    <n v="0"/>
    <n v="10"/>
    <n v="1286.8000000000002"/>
    <n v="553.5"/>
    <n v="733.30000000000018"/>
    <n v="0.56986322660864164"/>
  </r>
  <r>
    <s v="ORD-2024-921935"/>
    <n v="1"/>
    <x v="299"/>
    <n v="202401"/>
    <n v="202301"/>
    <n v="202301"/>
    <n v="12"/>
    <s v="Jan-2024"/>
    <x v="2"/>
    <x v="0"/>
    <n v="26"/>
    <d v="2024-01-27T00:00:00"/>
    <d v="2024-01-27T00:00:00"/>
    <x v="3"/>
    <x v="8"/>
    <s v="Manchester"/>
    <s v="Education"/>
    <x v="3"/>
    <x v="14"/>
    <x v="6"/>
    <s v="ACC-3103"/>
    <n v="657.45"/>
    <n v="1325.96"/>
    <n v="815.10700000000008"/>
    <n v="1620.05"/>
    <s v="Low"/>
    <n v="0.16700000000000001"/>
    <n v="0"/>
    <n v="21"/>
    <n v="27845.16"/>
    <n v="13806.45"/>
    <n v="14038.71"/>
    <n v="0.50417056321457654"/>
  </r>
  <r>
    <s v="ORD-2025-949776"/>
    <n v="1"/>
    <x v="300"/>
    <n v="202508"/>
    <n v="202301"/>
    <n v="202301"/>
    <n v="31"/>
    <s v="Aug-2025"/>
    <x v="1"/>
    <x v="0"/>
    <n v="28"/>
    <d v="2025-09-11T00:00:00"/>
    <d v="2025-09-11T00:00:00"/>
    <x v="2"/>
    <x v="5"/>
    <s v="São Paulo"/>
    <s v="Non-Profit"/>
    <x v="4"/>
    <x v="9"/>
    <x v="1"/>
    <s v="PRN-9490"/>
    <n v="1203.02"/>
    <n v="2439.33"/>
    <n v="815.10700000000008"/>
    <n v="1620.05"/>
    <s v="Medium"/>
    <n v="0"/>
    <n v="0"/>
    <n v="18"/>
    <n v="43907.94"/>
    <n v="21654.36"/>
    <n v="22253.58"/>
    <n v="0.50682359500354612"/>
  </r>
  <r>
    <s v="ORD-2024-510591"/>
    <n v="1"/>
    <x v="149"/>
    <n v="202404"/>
    <n v="202301"/>
    <n v="202301"/>
    <n v="15"/>
    <s v="Apr-2024"/>
    <x v="8"/>
    <x v="0"/>
    <n v="18"/>
    <d v="2024-04-21T00:00:00"/>
    <d v="2024-04-21T00:00:00"/>
    <x v="2"/>
    <x v="5"/>
    <s v="Brasília"/>
    <s v="Small Business"/>
    <x v="3"/>
    <x v="5"/>
    <x v="2"/>
    <s v="NET-3850"/>
    <n v="1176.69"/>
    <n v="2201.54"/>
    <n v="815.10700000000008"/>
    <n v="1620.05"/>
    <s v="High"/>
    <n v="0.17"/>
    <n v="0"/>
    <n v="27"/>
    <n v="59441.58"/>
    <n v="31770.63"/>
    <n v="27670.95"/>
    <n v="0.46551504855691922"/>
  </r>
  <r>
    <s v="ORD-2024-961756"/>
    <n v="1"/>
    <x v="301"/>
    <n v="202411"/>
    <n v="202301"/>
    <n v="202301"/>
    <n v="22"/>
    <s v="Nov-2024"/>
    <x v="6"/>
    <x v="0"/>
    <n v="12"/>
    <d v="2024-12-07T00:00:00"/>
    <d v="2024-12-07T00:00:00"/>
    <x v="1"/>
    <x v="9"/>
    <s v="Shanghai"/>
    <s v="Corporate"/>
    <x v="3"/>
    <x v="8"/>
    <x v="6"/>
    <s v="ACC-7047"/>
    <n v="769.9"/>
    <n v="814.36"/>
    <n v="815.10700000000008"/>
    <n v="1620.05"/>
    <s v="High"/>
    <n v="0"/>
    <n v="0"/>
    <n v="5"/>
    <n v="4071.8"/>
    <n v="3849.5"/>
    <n v="222.30000000000018"/>
    <n v="5.4595019401738831E-2"/>
  </r>
  <r>
    <s v="ORD-2024-892173"/>
    <m/>
    <x v="302"/>
    <d v="2454-02-24T00:00:00"/>
    <d v="2453-11-16T00:00:00"/>
    <d v="2453-11-16T00:00:00"/>
    <d v="1900-01-11T00:00:00"/>
    <s v="Jan-2024"/>
    <x v="2"/>
    <x v="0"/>
    <d v="1900-01-15T00:00:00"/>
    <d v="2024-02-03T00:00:00"/>
    <d v="2024-02-03T00:00:00"/>
    <x v="0"/>
    <x v="11"/>
    <s v="Cape Town"/>
    <s v="Non-Profit"/>
    <x v="3"/>
    <x v="4"/>
    <x v="1"/>
    <s v="PRN-6660"/>
    <n v="666.23"/>
    <n v="1382.91"/>
    <n v="815.10700000000008"/>
    <n v="1620.05"/>
    <m/>
    <n v="0.17599999999999999"/>
    <n v="0"/>
    <n v="13"/>
    <n v="17977.830000000002"/>
    <n v="8660.99"/>
    <n v="9316.840000000002"/>
    <n v="0.5182405217982371"/>
  </r>
  <r>
    <s v="ORD-2024-704056"/>
    <n v="1"/>
    <x v="303"/>
    <n v="202406"/>
    <n v="202301"/>
    <n v="202301"/>
    <n v="17"/>
    <s v="Jun-2024"/>
    <x v="1"/>
    <x v="1"/>
    <n v="2"/>
    <d v="2024-06-25T00:00:00"/>
    <d v="2024-06-25T00:00:00"/>
    <x v="3"/>
    <x v="8"/>
    <s v="Birmingham"/>
    <s v="Small Business"/>
    <x v="2"/>
    <x v="4"/>
    <x v="6"/>
    <s v="ACC-7838"/>
    <n v="951.44"/>
    <n v="1646.43"/>
    <n v="815.10700000000008"/>
    <n v="1620.05"/>
    <s v="Medium"/>
    <n v="0.11"/>
    <n v="0"/>
    <n v="24"/>
    <n v="39514.32"/>
    <n v="22834.560000000001"/>
    <n v="16679.759999999998"/>
    <n v="0.4221193734322139"/>
  </r>
  <r>
    <s v="ORD-2025-591006"/>
    <n v="1"/>
    <x v="304"/>
    <n v="202506"/>
    <n v="202301"/>
    <n v="202301"/>
    <n v="29"/>
    <s v="Jun-2025"/>
    <x v="6"/>
    <x v="0"/>
    <n v="15"/>
    <d v="2025-07-10T00:00:00"/>
    <d v="2025-07-10T00:00:00"/>
    <x v="3"/>
    <x v="8"/>
    <s v="Birmingham"/>
    <s v="Non-Profit"/>
    <x v="2"/>
    <x v="14"/>
    <x v="3"/>
    <s v="PHN-5383"/>
    <n v="546.83000000000004"/>
    <n v="400.84"/>
    <n v="815.10700000000008"/>
    <n v="1620.05"/>
    <s v="High"/>
    <n v="7.8E-2"/>
    <n v="0"/>
    <n v="13"/>
    <n v="5210.92"/>
    <n v="7108.7900000000009"/>
    <n v="-1897.8700000000008"/>
    <n v="-0.36421015866679984"/>
  </r>
  <r>
    <s v="ORD-2023-159821"/>
    <n v="1"/>
    <x v="305"/>
    <n v="202307"/>
    <n v="202301"/>
    <n v="202301"/>
    <n v="6"/>
    <s v="Jul-2023"/>
    <x v="7"/>
    <x v="1"/>
    <n v="7"/>
    <d v="2023-07-08T00:00:00"/>
    <d v="2023-07-08T00:00:00"/>
    <x v="0"/>
    <x v="1"/>
    <s v="Port Harcourt"/>
    <s v="Corporate"/>
    <x v="0"/>
    <x v="8"/>
    <x v="4"/>
    <s v="LAP-3904"/>
    <n v="834.26"/>
    <n v="1780.56"/>
    <n v="815.10700000000008"/>
    <n v="1620.05"/>
    <s v="Low"/>
    <n v="1.4E-2"/>
    <n v="0"/>
    <n v="47"/>
    <n v="83686.319999999992"/>
    <n v="39210.22"/>
    <n v="44476.099999999991"/>
    <n v="0.53146201195129616"/>
  </r>
  <r>
    <s v="ORD-2024-343877"/>
    <n v="1"/>
    <x v="306"/>
    <n v="202403"/>
    <n v="202301"/>
    <n v="202301"/>
    <n v="14"/>
    <s v="Mar-2024"/>
    <x v="11"/>
    <x v="0"/>
    <n v="17"/>
    <d v="2024-03-26T00:00:00"/>
    <d v="2024-03-26T00:00:00"/>
    <x v="1"/>
    <x v="9"/>
    <s v="Shenzhen"/>
    <s v="Enterprise"/>
    <x v="1"/>
    <x v="11"/>
    <x v="5"/>
    <s v="MON-5749"/>
    <n v="1029.67"/>
    <n v="1118.43"/>
    <n v="815.10700000000008"/>
    <n v="1620.05"/>
    <s v="High"/>
    <n v="0.27200000000000002"/>
    <n v="1"/>
    <n v="9"/>
    <n v="10065.870000000001"/>
    <n v="9267.0300000000007"/>
    <n v="798.84000000000015"/>
    <n v="7.9361247462961484E-2"/>
  </r>
  <r>
    <s v="ORD-2023-386663"/>
    <n v="1"/>
    <x v="307"/>
    <n v="202306"/>
    <n v="202301"/>
    <n v="202301"/>
    <n v="5"/>
    <s v="Jun-2023"/>
    <x v="1"/>
    <x v="0"/>
    <n v="23"/>
    <d v="2023-06-28T00:00:00"/>
    <d v="2023-06-28T00:00:00"/>
    <x v="3"/>
    <x v="8"/>
    <s v="Birmingham"/>
    <s v="Corporate"/>
    <x v="4"/>
    <x v="11"/>
    <x v="1"/>
    <s v="PRN-3690"/>
    <n v="605.82000000000005"/>
    <n v="771.12"/>
    <n v="815.10700000000008"/>
    <n v="1620.05"/>
    <s v="Medium"/>
    <n v="0.13200000000000001"/>
    <n v="0"/>
    <n v="19"/>
    <n v="14651.28"/>
    <n v="11510.580000000002"/>
    <n v="3140.6999999999989"/>
    <n v="0.21436352318705251"/>
  </r>
  <r>
    <s v="ORD-2025-125517"/>
    <m/>
    <x v="308"/>
    <d v="2454-06-06T00:00:00"/>
    <d v="2453-11-18T00:00:00"/>
    <d v="2453-11-18T00:00:00"/>
    <d v="1900-01-23T00:00:00"/>
    <s v="Mar-2025"/>
    <x v="9"/>
    <x v="0"/>
    <d v="1900-01-18T00:00:00"/>
    <d v="2025-04-09T00:00:00"/>
    <d v="2025-04-09T00:00:00"/>
    <x v="1"/>
    <x v="2"/>
    <s v="Tokyo"/>
    <s v="Small Business"/>
    <x v="3"/>
    <x v="6"/>
    <x v="0"/>
    <s v="CMP-7055"/>
    <n v="1055.45"/>
    <n v="1210.04"/>
    <n v="815.10700000000008"/>
    <n v="1620.05"/>
    <m/>
    <n v="8.9999999999999993E-3"/>
    <n v="0"/>
    <n v="18"/>
    <n v="21780.720000000001"/>
    <n v="18998.100000000002"/>
    <n v="2782.619999999999"/>
    <n v="0.12775610723612438"/>
  </r>
  <r>
    <s v="ORD-2024-819778"/>
    <m/>
    <x v="101"/>
    <d v="2454-03-01T00:00:00"/>
    <d v="2453-11-16T00:00:00"/>
    <d v="2453-11-16T00:00:00"/>
    <d v="1900-01-16T00:00:00"/>
    <s v="Jun-2024"/>
    <x v="4"/>
    <x v="0"/>
    <d v="1900-01-12T00:00:00"/>
    <d v="2024-06-15T00:00:00"/>
    <d v="2024-06-15T00:00:00"/>
    <x v="0"/>
    <x v="0"/>
    <s v="Mombasa"/>
    <s v="Education"/>
    <x v="1"/>
    <x v="7"/>
    <x v="3"/>
    <s v="PHN-6866"/>
    <n v="1295.18"/>
    <n v="3024.03"/>
    <n v="815.10700000000008"/>
    <n v="1620.05"/>
    <m/>
    <n v="0.192"/>
    <n v="0"/>
    <n v="8"/>
    <n v="24192.240000000002"/>
    <n v="10361.44"/>
    <n v="13830.800000000001"/>
    <n v="0.57170398441814396"/>
  </r>
  <r>
    <s v="ORD-2025-624006"/>
    <n v="1"/>
    <x v="309"/>
    <n v="202503"/>
    <n v="202302"/>
    <n v="202302"/>
    <n v="25"/>
    <s v="Mar-2025"/>
    <x v="6"/>
    <x v="0"/>
    <n v="14"/>
    <d v="2025-03-29T00:00:00"/>
    <d v="2025-03-29T00:00:00"/>
    <x v="1"/>
    <x v="4"/>
    <s v="Mumbai"/>
    <s v="Enterprise"/>
    <x v="4"/>
    <x v="0"/>
    <x v="0"/>
    <s v="CMP-3259"/>
    <n v="935.83"/>
    <n v="2303.46"/>
    <n v="815.10700000000008"/>
    <n v="1620.05"/>
    <s v="High"/>
    <n v="0.105"/>
    <n v="0"/>
    <n v="9"/>
    <n v="20731.14"/>
    <n v="8422.4700000000012"/>
    <n v="12308.669999999998"/>
    <n v="0.59372856485461001"/>
  </r>
  <r>
    <s v="ORD-2023-132101"/>
    <m/>
    <x v="198"/>
    <d v="2453-11-24T00:00:00"/>
    <d v="2453-11-16T00:00:00"/>
    <d v="2453-11-16T00:00:00"/>
    <d v="1900-01-07T00:00:00"/>
    <s v="Sept-2023"/>
    <x v="4"/>
    <x v="0"/>
    <d v="1900-01-13T00:00:00"/>
    <d v="2023-10-09T00:00:00"/>
    <d v="2023-10-09T00:00:00"/>
    <x v="2"/>
    <x v="10"/>
    <s v="New York"/>
    <s v="Small Business"/>
    <x v="2"/>
    <x v="1"/>
    <x v="4"/>
    <s v="LAP-6750"/>
    <n v="1279.56"/>
    <n v="3083.8"/>
    <n v="815.10700000000008"/>
    <n v="1620.05"/>
    <m/>
    <n v="0.106"/>
    <n v="0"/>
    <n v="5"/>
    <n v="15419"/>
    <n v="6397.7999999999993"/>
    <n v="9021.2000000000007"/>
    <n v="0.5850703677281277"/>
  </r>
  <r>
    <s v="ORD-2025-306903"/>
    <n v="1"/>
    <x v="35"/>
    <n v="202506"/>
    <n v="202301"/>
    <n v="202301"/>
    <n v="29"/>
    <s v="Jun-2025"/>
    <x v="11"/>
    <x v="0"/>
    <n v="29"/>
    <d v="2025-07-23T00:00:00"/>
    <d v="2025-07-23T00:00:00"/>
    <x v="2"/>
    <x v="3"/>
    <s v="Vancouver"/>
    <s v="Non-Profit"/>
    <x v="2"/>
    <x v="2"/>
    <x v="1"/>
    <s v="PRN-3775"/>
    <n v="255.4"/>
    <n v="322.70999999999998"/>
    <n v="815.10700000000008"/>
    <n v="1620.05"/>
    <s v="High"/>
    <n v="0.115"/>
    <n v="0"/>
    <n v="16"/>
    <n v="5163.3599999999997"/>
    <n v="4086.4"/>
    <n v="1076.9599999999996"/>
    <n v="0.20857736047844808"/>
  </r>
  <r>
    <s v="ORD-2023-813340"/>
    <m/>
    <x v="310"/>
    <d v="2453-11-27T00:00:00"/>
    <d v="2453-11-16T00:00:00"/>
    <d v="2453-11-16T00:00:00"/>
    <d v="1900-01-10T00:00:00"/>
    <s v="Dec-2023"/>
    <x v="7"/>
    <x v="0"/>
    <d v="1900-01-07T00:00:00"/>
    <d v="2024-01-03T00:00:00"/>
    <d v="2024-01-03T00:00:00"/>
    <x v="3"/>
    <x v="7"/>
    <s v="Lyon"/>
    <s v="Small Business"/>
    <x v="0"/>
    <x v="12"/>
    <x v="4"/>
    <s v="LAP-2942"/>
    <n v="492.75"/>
    <n v="731.29"/>
    <n v="815.10700000000008"/>
    <n v="1620.05"/>
    <m/>
    <n v="5.8000000000000003E-2"/>
    <n v="0"/>
    <n v="6"/>
    <n v="4387.74"/>
    <n v="2956.5"/>
    <n v="1431.2399999999998"/>
    <n v="0.32619070409823731"/>
  </r>
  <r>
    <s v="ORD-2023-855675"/>
    <m/>
    <x v="311"/>
    <d v="2453-11-17T00:00:00"/>
    <d v="2453-11-16T00:00:00"/>
    <d v="2453-11-16T00:00:00"/>
    <d v="1899-12-31T00:00:00"/>
    <s v="Feb-2023"/>
    <x v="5"/>
    <x v="0"/>
    <d v="1900-01-22T00:00:00"/>
    <d v="2023-02-28T00:00:00"/>
    <d v="2023-02-28T00:00:00"/>
    <x v="2"/>
    <x v="10"/>
    <s v="Austin"/>
    <s v="Non-Profit"/>
    <x v="3"/>
    <x v="4"/>
    <x v="3"/>
    <s v="PHN-2036"/>
    <n v="1214.49"/>
    <n v="1533.95"/>
    <n v="815.10700000000008"/>
    <n v="1620.05"/>
    <m/>
    <n v="0"/>
    <n v="0"/>
    <n v="11"/>
    <n v="16873.45"/>
    <n v="13359.39"/>
    <n v="3514.0600000000013"/>
    <n v="0.20825972163369086"/>
  </r>
  <r>
    <s v="ORD-2023-545150"/>
    <n v="1"/>
    <x v="89"/>
    <n v="202304"/>
    <n v="202301"/>
    <n v="202301"/>
    <n v="3"/>
    <s v="Apr-2023"/>
    <x v="3"/>
    <x v="1"/>
    <n v="2"/>
    <d v="2023-04-08T00:00:00"/>
    <d v="2023-04-08T00:00:00"/>
    <x v="0"/>
    <x v="1"/>
    <s v="Abuja"/>
    <s v="Small Business"/>
    <x v="2"/>
    <x v="11"/>
    <x v="5"/>
    <s v="MON-4373"/>
    <n v="720.35"/>
    <n v="1571.66"/>
    <n v="815.10700000000008"/>
    <n v="1620.05"/>
    <s v="Medium"/>
    <n v="0.107"/>
    <n v="0"/>
    <n v="23"/>
    <n v="36148.18"/>
    <n v="16568.05"/>
    <n v="19580.13"/>
    <n v="0.5416629550920683"/>
  </r>
  <r>
    <s v="ORD-2025-269934"/>
    <n v="1"/>
    <x v="253"/>
    <n v="202504"/>
    <n v="202301"/>
    <n v="202301"/>
    <n v="27"/>
    <s v="Apr-2025"/>
    <x v="9"/>
    <x v="1"/>
    <n v="6"/>
    <d v="2025-04-10T00:00:00"/>
    <d v="2025-04-10T00:00:00"/>
    <x v="3"/>
    <x v="8"/>
    <s v="Birmingham"/>
    <s v="Non-Profit"/>
    <x v="4"/>
    <x v="13"/>
    <x v="1"/>
    <s v="PRN-8657"/>
    <n v="290.14"/>
    <n v="250.73"/>
    <n v="815.10700000000008"/>
    <n v="1620.05"/>
    <s v="Medium"/>
    <n v="3.4000000000000002E-2"/>
    <n v="0"/>
    <n v="17"/>
    <n v="4262.41"/>
    <n v="4932.38"/>
    <n v="-669.97000000000025"/>
    <n v="-0.1571810313883461"/>
  </r>
  <r>
    <s v="ORD-2024-690270"/>
    <m/>
    <x v="312"/>
    <d v="2454-02-28T00:00:00"/>
    <d v="2453-11-16T00:00:00"/>
    <d v="2453-11-16T00:00:00"/>
    <d v="1900-01-15T00:00:00"/>
    <s v="May-2024"/>
    <x v="7"/>
    <x v="0"/>
    <d v="1900-01-09T00:00:00"/>
    <d v="2024-05-27T00:00:00"/>
    <d v="2024-05-27T00:00:00"/>
    <x v="2"/>
    <x v="10"/>
    <s v="Austin"/>
    <s v="Non-Profit"/>
    <x v="1"/>
    <x v="0"/>
    <x v="3"/>
    <s v="PHN-7974"/>
    <n v="1484.23"/>
    <n v="3472.81"/>
    <n v="815.10700000000008"/>
    <n v="1620.05"/>
    <m/>
    <n v="0.25600000000000001"/>
    <n v="1"/>
    <n v="12"/>
    <n v="41673.72"/>
    <n v="17810.760000000002"/>
    <n v="23862.959999999999"/>
    <n v="0.57261410788381739"/>
  </r>
  <r>
    <s v="ORD-2024-868223"/>
    <n v="1"/>
    <x v="313"/>
    <n v="202403"/>
    <n v="202301"/>
    <n v="202301"/>
    <n v="14"/>
    <s v="Mar-2024"/>
    <x v="6"/>
    <x v="0"/>
    <n v="16"/>
    <d v="2024-03-19T00:00:00"/>
    <d v="2024-03-19T00:00:00"/>
    <x v="1"/>
    <x v="9"/>
    <s v="Beijing"/>
    <s v="Consumer"/>
    <x v="3"/>
    <x v="3"/>
    <x v="3"/>
    <s v="PHN-4915"/>
    <n v="988.83"/>
    <n v="1206.04"/>
    <n v="815.10700000000008"/>
    <n v="1620.05"/>
    <s v="High"/>
    <n v="6.3E-2"/>
    <n v="0"/>
    <n v="34"/>
    <n v="41005.360000000001"/>
    <n v="33620.22"/>
    <n v="7385.1399999999994"/>
    <n v="0.18010182083512982"/>
  </r>
  <r>
    <s v="ORD-2025-188059"/>
    <n v="1"/>
    <x v="231"/>
    <n v="202506"/>
    <n v="202301"/>
    <n v="202301"/>
    <n v="29"/>
    <s v="Jun-2025"/>
    <x v="1"/>
    <x v="0"/>
    <n v="14"/>
    <d v="2025-07-11T00:00:00"/>
    <d v="2025-07-11T00:00:00"/>
    <x v="1"/>
    <x v="9"/>
    <s v="Shanghai"/>
    <s v="Small Business"/>
    <x v="2"/>
    <x v="4"/>
    <x v="2"/>
    <s v="NET-3535"/>
    <n v="1227.7"/>
    <n v="2197.23"/>
    <n v="815.10700000000008"/>
    <n v="1620.05"/>
    <s v="Medium"/>
    <n v="9.9000000000000005E-2"/>
    <n v="0"/>
    <n v="22"/>
    <n v="48339.06"/>
    <n v="27009.4"/>
    <n v="21329.659999999996"/>
    <n v="0.44125102970558377"/>
  </r>
  <r>
    <s v="ORD-2023-281890"/>
    <m/>
    <x v="314"/>
    <d v="2453-11-18T00:00:00"/>
    <d v="2453-11-16T00:00:00"/>
    <d v="2453-11-16T00:00:00"/>
    <d v="1900-01-01T00:00:00"/>
    <s v="Mar-2023"/>
    <x v="7"/>
    <x v="0"/>
    <d v="1900-01-21T00:00:00"/>
    <d v="2023-04-04T00:00:00"/>
    <d v="2023-04-04T00:00:00"/>
    <x v="0"/>
    <x v="11"/>
    <s v="Durban"/>
    <s v="Small Business"/>
    <x v="0"/>
    <x v="8"/>
    <x v="0"/>
    <s v="CMP-2574"/>
    <n v="1113.7"/>
    <n v="1620.6"/>
    <n v="815.10700000000008"/>
    <n v="1620.05"/>
    <m/>
    <n v="0.13900000000000001"/>
    <n v="0"/>
    <n v="11"/>
    <n v="17826.599999999999"/>
    <n v="12250.7"/>
    <n v="5575.8999999999978"/>
    <n v="0.31278538812785378"/>
  </r>
  <r>
    <s v="ORD-2025-636162"/>
    <m/>
    <x v="315"/>
    <d v="2454-06-04T00:00:00"/>
    <d v="2453-11-16T00:00:00"/>
    <d v="2453-11-16T00:00:00"/>
    <d v="1900-01-23T00:00:00"/>
    <s v="Jan-2025"/>
    <x v="3"/>
    <x v="0"/>
    <d v="1900-01-12T00:00:00"/>
    <d v="2025-01-20T00:00:00"/>
    <d v="2025-01-20T00:00:00"/>
    <x v="0"/>
    <x v="11"/>
    <s v="Cape Town"/>
    <s v="Corporate"/>
    <x v="4"/>
    <x v="11"/>
    <x v="2"/>
    <s v="NET-7901"/>
    <n v="432.13"/>
    <n v="1034.6600000000001"/>
    <n v="815.10700000000008"/>
    <n v="1620.05"/>
    <m/>
    <n v="9.1999999999999998E-2"/>
    <n v="0"/>
    <n v="7"/>
    <n v="7242.6200000000008"/>
    <n v="3024.91"/>
    <n v="4217.7100000000009"/>
    <n v="0.58234589140393955"/>
  </r>
  <r>
    <s v="ORD-2025-915869"/>
    <n v="1"/>
    <x v="316"/>
    <n v="202502"/>
    <n v="202301"/>
    <n v="202301"/>
    <n v="25"/>
    <s v="Feb-2025"/>
    <x v="4"/>
    <x v="0"/>
    <n v="9"/>
    <d v="2025-02-15T00:00:00"/>
    <d v="2025-02-15T00:00:00"/>
    <x v="2"/>
    <x v="5"/>
    <s v="São Paulo"/>
    <s v="Non-Profit"/>
    <x v="3"/>
    <x v="9"/>
    <x v="2"/>
    <s v="NET-5482"/>
    <n v="837.39"/>
    <n v="1905.42"/>
    <n v="815.10700000000008"/>
    <n v="1620.05"/>
    <s v="Medium"/>
    <n v="3.2000000000000001E-2"/>
    <n v="0"/>
    <n v="18"/>
    <n v="34297.56"/>
    <n v="15073.02"/>
    <n v="19224.539999999997"/>
    <n v="0.56052208961803696"/>
  </r>
  <r>
    <s v="ORD-2025-192876"/>
    <n v="1"/>
    <x v="317"/>
    <n v="202501"/>
    <n v="202301"/>
    <n v="202301"/>
    <n v="24"/>
    <s v="Jan-2025"/>
    <x v="4"/>
    <x v="0"/>
    <n v="17"/>
    <d v="2025-02-17T00:00:00"/>
    <d v="2025-02-17T00:00:00"/>
    <x v="3"/>
    <x v="8"/>
    <s v="London"/>
    <s v="Enterprise"/>
    <x v="0"/>
    <x v="10"/>
    <x v="0"/>
    <s v="CMP-5820"/>
    <n v="378.26"/>
    <n v="541.55999999999995"/>
    <n v="815.10700000000008"/>
    <n v="1620.05"/>
    <s v="High"/>
    <n v="0.16300000000000001"/>
    <n v="0"/>
    <n v="25"/>
    <n v="13538.999999999998"/>
    <n v="9456.5"/>
    <n v="4082.4999999999982"/>
    <n v="0.3015363025334219"/>
  </r>
  <r>
    <s v="ORD-2025-822030"/>
    <n v="1"/>
    <x v="83"/>
    <n v="202508"/>
    <n v="202301"/>
    <n v="202301"/>
    <n v="31"/>
    <s v="Aug-2025"/>
    <x v="4"/>
    <x v="0"/>
    <n v="30"/>
    <d v="2025-09-06T00:00:00"/>
    <d v="2025-09-06T00:00:00"/>
    <x v="2"/>
    <x v="3"/>
    <s v="Montreal"/>
    <s v="Education"/>
    <x v="4"/>
    <x v="12"/>
    <x v="2"/>
    <s v="NET-1336"/>
    <n v="833.73"/>
    <n v="1116.5999999999999"/>
    <n v="815.10700000000008"/>
    <n v="1620.05"/>
    <s v="Low"/>
    <n v="0.17599999999999999"/>
    <n v="0"/>
    <n v="14"/>
    <n v="15632.399999999998"/>
    <n v="11672.220000000001"/>
    <n v="3960.1799999999967"/>
    <n v="0.25333154218162263"/>
  </r>
  <r>
    <s v="ORD-2025-789245"/>
    <n v="1"/>
    <x v="318"/>
    <n v="202507"/>
    <n v="202301"/>
    <n v="202301"/>
    <n v="30"/>
    <s v="Jul-2025"/>
    <x v="8"/>
    <x v="0"/>
    <n v="25"/>
    <d v="2025-08-17T00:00:00"/>
    <d v="2025-08-17T00:00:00"/>
    <x v="3"/>
    <x v="8"/>
    <s v="Birmingham"/>
    <s v="Education"/>
    <x v="1"/>
    <x v="2"/>
    <x v="1"/>
    <s v="PRN-5876"/>
    <n v="1142.06"/>
    <n v="1455"/>
    <n v="815.10700000000008"/>
    <n v="1620.05"/>
    <s v="Medium"/>
    <n v="7.8E-2"/>
    <n v="0"/>
    <n v="28"/>
    <n v="40740"/>
    <n v="31977.68"/>
    <n v="8762.32"/>
    <n v="0.21507903780068727"/>
  </r>
  <r>
    <s v="ORD-2023-594955"/>
    <m/>
    <x v="263"/>
    <d v="2453-11-21T00:00:00"/>
    <d v="2453-11-16T00:00:00"/>
    <d v="2453-11-16T00:00:00"/>
    <d v="1900-01-04T00:00:00"/>
    <s v="Jun-2023"/>
    <x v="8"/>
    <x v="0"/>
    <d v="1900-01-17T00:00:00"/>
    <d v="2023-07-08T00:00:00"/>
    <d v="2023-07-08T00:00:00"/>
    <x v="2"/>
    <x v="10"/>
    <s v="New York"/>
    <s v="Consumer"/>
    <x v="2"/>
    <x v="7"/>
    <x v="2"/>
    <s v="NET-3828"/>
    <n v="1145.53"/>
    <n v="1278.3"/>
    <n v="815.10700000000008"/>
    <n v="1620.05"/>
    <m/>
    <n v="0.09"/>
    <n v="0"/>
    <n v="41"/>
    <n v="52410.299999999996"/>
    <n v="46966.729999999996"/>
    <n v="5443.57"/>
    <n v="0.10386450754908863"/>
  </r>
  <r>
    <s v="ORD-2024-398783"/>
    <m/>
    <x v="319"/>
    <d v="2454-03-02T00:00:00"/>
    <d v="2453-11-16T00:00:00"/>
    <d v="2453-11-16T00:00:00"/>
    <d v="1900-01-17T00:00:00"/>
    <s v="Jul-2024"/>
    <x v="9"/>
    <x v="0"/>
    <d v="1900-01-19T00:00:00"/>
    <d v="2024-08-07T00:00:00"/>
    <d v="2024-08-07T00:00:00"/>
    <x v="3"/>
    <x v="7"/>
    <s v="Marseille"/>
    <s v="Corporate"/>
    <x v="0"/>
    <x v="9"/>
    <x v="5"/>
    <s v="MON-7622"/>
    <n v="941.35"/>
    <n v="899.83"/>
    <n v="815.10700000000008"/>
    <n v="1620.05"/>
    <m/>
    <n v="5.8000000000000003E-2"/>
    <n v="0"/>
    <n v="18"/>
    <n v="16196.94"/>
    <n v="16944.3"/>
    <n v="-747.35999999999876"/>
    <n v="-4.6142049053710069E-2"/>
  </r>
  <r>
    <s v="ORD-2023-676553"/>
    <n v="1"/>
    <x v="72"/>
    <n v="202305"/>
    <n v="202302"/>
    <n v="202302"/>
    <n v="3"/>
    <s v="May-2023"/>
    <x v="10"/>
    <x v="0"/>
    <n v="30"/>
    <d v="2023-06-19T00:00:00"/>
    <d v="2023-06-19T00:00:00"/>
    <x v="1"/>
    <x v="4"/>
    <s v="Delhi"/>
    <s v="Non-Profit"/>
    <x v="2"/>
    <x v="10"/>
    <x v="4"/>
    <s v="LAP-2806"/>
    <n v="1161.2"/>
    <n v="878.73"/>
    <n v="815.10700000000008"/>
    <n v="1620.05"/>
    <s v="Medium"/>
    <n v="0.19"/>
    <n v="0"/>
    <n v="31"/>
    <n v="27240.63"/>
    <n v="35997.200000000004"/>
    <n v="-8756.5700000000033"/>
    <n v="-0.32145255084041752"/>
  </r>
  <r>
    <s v="ORD-2025-866565"/>
    <n v="1"/>
    <x v="320"/>
    <n v="202505"/>
    <n v="202302"/>
    <n v="202302"/>
    <n v="27"/>
    <s v="May-2025"/>
    <x v="9"/>
    <x v="0"/>
    <n v="14"/>
    <d v="2025-05-26T00:00:00"/>
    <d v="2025-05-26T00:00:00"/>
    <x v="1"/>
    <x v="4"/>
    <s v="Hyderabad"/>
    <s v="Corporate"/>
    <x v="2"/>
    <x v="3"/>
    <x v="1"/>
    <s v="PRN-8850"/>
    <n v="320.12"/>
    <n v="594.41999999999996"/>
    <n v="815.10700000000008"/>
    <n v="1620.05"/>
    <s v="Medium"/>
    <n v="0.104"/>
    <n v="0"/>
    <n v="18"/>
    <n v="10699.56"/>
    <n v="5762.16"/>
    <n v="4937.3999999999996"/>
    <n v="0.46145822818882271"/>
  </r>
  <r>
    <s v="ORD-2024-527858"/>
    <n v="1"/>
    <x v="321"/>
    <n v="202405"/>
    <n v="202301"/>
    <n v="202301"/>
    <n v="16"/>
    <s v="May-2024"/>
    <x v="7"/>
    <x v="1"/>
    <n v="5"/>
    <d v="2024-05-12T00:00:00"/>
    <d v="2024-05-12T00:00:00"/>
    <x v="0"/>
    <x v="1"/>
    <s v="Abuja"/>
    <s v="Non-Profit"/>
    <x v="3"/>
    <x v="4"/>
    <x v="4"/>
    <s v="LAP-9100"/>
    <n v="1163.99"/>
    <n v="1617.85"/>
    <n v="815.10700000000008"/>
    <n v="1620.05"/>
    <s v="Low"/>
    <n v="0.127"/>
    <n v="0"/>
    <n v="14"/>
    <n v="22649.899999999998"/>
    <n v="16295.86"/>
    <n v="6354.0399999999972"/>
    <n v="0.28053280588435259"/>
  </r>
  <r>
    <s v="ORD-2023-619385"/>
    <n v="1"/>
    <x v="322"/>
    <n v="202309"/>
    <n v="202301"/>
    <n v="202301"/>
    <n v="8"/>
    <s v="Sept-2023"/>
    <x v="6"/>
    <x v="1"/>
    <n v="3"/>
    <d v="2023-10-03T00:00:00"/>
    <d v="2023-10-03T00:00:00"/>
    <x v="1"/>
    <x v="9"/>
    <s v="Beijing"/>
    <s v="Non-Profit"/>
    <x v="0"/>
    <x v="1"/>
    <x v="4"/>
    <s v="LAP-5763"/>
    <n v="1019.36"/>
    <n v="972.91"/>
    <n v="815.10700000000008"/>
    <n v="1620.05"/>
    <s v="Medium"/>
    <n v="0.14699999999999999"/>
    <n v="0"/>
    <n v="17"/>
    <n v="16539.47"/>
    <n v="17329.12"/>
    <n v="-789.64999999999782"/>
    <n v="-4.7743367834640275E-2"/>
  </r>
  <r>
    <s v="ORD-2023-835226"/>
    <m/>
    <x v="323"/>
    <d v="2453-11-25T00:00:00"/>
    <d v="2453-11-16T00:00:00"/>
    <d v="2453-11-16T00:00:00"/>
    <d v="1900-01-08T00:00:00"/>
    <s v="Oct-2023"/>
    <x v="11"/>
    <x v="0"/>
    <d v="1900-01-09T00:00:00"/>
    <d v="2023-11-05T00:00:00"/>
    <d v="2023-11-05T00:00:00"/>
    <x v="0"/>
    <x v="11"/>
    <s v="Cape Town"/>
    <s v="Non-Profit"/>
    <x v="1"/>
    <x v="2"/>
    <x v="4"/>
    <s v="LAP-7320"/>
    <n v="20.38"/>
    <n v="42.56"/>
    <n v="815.10700000000008"/>
    <n v="1620.05"/>
    <m/>
    <n v="7.1999999999999995E-2"/>
    <n v="0"/>
    <n v="11"/>
    <n v="468.16"/>
    <n v="224.17999999999998"/>
    <n v="243.98000000000005"/>
    <n v="0.52114661654135341"/>
  </r>
  <r>
    <s v="ORD-2025-485946"/>
    <m/>
    <x v="324"/>
    <d v="2454-06-09T00:00:00"/>
    <d v="2453-11-16T00:00:00"/>
    <d v="2453-11-16T00:00:00"/>
    <d v="1900-01-28T00:00:00"/>
    <s v="Jun-2025"/>
    <x v="5"/>
    <x v="0"/>
    <d v="1900-01-14T00:00:00"/>
    <d v="2025-06-30T00:00:00"/>
    <d v="2025-06-30T00:00:00"/>
    <x v="0"/>
    <x v="11"/>
    <s v="Johannesburg"/>
    <s v="Small Business"/>
    <x v="4"/>
    <x v="0"/>
    <x v="5"/>
    <s v="MON-5891"/>
    <n v="1487.59"/>
    <n v="1480.83"/>
    <n v="815.10700000000008"/>
    <n v="1620.05"/>
    <m/>
    <n v="8.9999999999999993E-3"/>
    <n v="0"/>
    <n v="11"/>
    <n v="16289.13"/>
    <n v="16363.49"/>
    <n v="-74.360000000000582"/>
    <n v="-4.5650074620314646E-3"/>
  </r>
  <r>
    <s v="ORD-2024-307849"/>
    <m/>
    <x v="325"/>
    <d v="2454-03-03T00:00:00"/>
    <d v="2453-11-16T00:00:00"/>
    <d v="2453-11-16T00:00:00"/>
    <d v="1900-01-18T00:00:00"/>
    <s v="Aug-2024"/>
    <x v="7"/>
    <x v="0"/>
    <d v="1900-01-27T00:00:00"/>
    <d v="2024-09-07T00:00:00"/>
    <d v="2024-09-07T00:00:00"/>
    <x v="3"/>
    <x v="7"/>
    <s v="Marseille"/>
    <s v="Non-Profit"/>
    <x v="4"/>
    <x v="9"/>
    <x v="1"/>
    <s v="PRN-1183"/>
    <n v="229.96"/>
    <n v="564.26"/>
    <n v="815.10700000000008"/>
    <n v="1620.05"/>
    <m/>
    <n v="0.105"/>
    <n v="0"/>
    <n v="5"/>
    <n v="2821.3"/>
    <n v="1149.8"/>
    <n v="1671.5000000000002"/>
    <n v="0.59245737780455821"/>
  </r>
  <r>
    <s v="ORD-2023-368449"/>
    <n v="1"/>
    <x v="326"/>
    <n v="202310"/>
    <n v="202301"/>
    <n v="202301"/>
    <n v="9"/>
    <s v="Oct-2023"/>
    <x v="10"/>
    <x v="0"/>
    <n v="17"/>
    <d v="2023-10-26T00:00:00"/>
    <d v="2023-10-26T00:00:00"/>
    <x v="1"/>
    <x v="9"/>
    <s v="Shanghai"/>
    <s v="Consumer"/>
    <x v="2"/>
    <x v="0"/>
    <x v="0"/>
    <s v="CMP-2096"/>
    <n v="1132.03"/>
    <n v="2137.21"/>
    <n v="815.10700000000008"/>
    <n v="1620.05"/>
    <s v="Low"/>
    <n v="0.35699999999999998"/>
    <n v="1"/>
    <n v="35"/>
    <n v="74802.350000000006"/>
    <n v="39621.049999999996"/>
    <n v="35181.30000000001"/>
    <n v="0.47032345908918649"/>
  </r>
  <r>
    <s v="ORD-2024-251426"/>
    <m/>
    <x v="306"/>
    <d v="2454-02-26T00:00:00"/>
    <d v="2453-11-16T00:00:00"/>
    <d v="2453-11-16T00:00:00"/>
    <d v="1900-01-13T00:00:00"/>
    <s v="Mar-2024"/>
    <x v="5"/>
    <x v="0"/>
    <d v="1900-01-16T00:00:00"/>
    <d v="2024-03-26T00:00:00"/>
    <d v="2024-03-26T00:00:00"/>
    <x v="2"/>
    <x v="10"/>
    <s v="San Francisco"/>
    <s v="Education"/>
    <x v="4"/>
    <x v="2"/>
    <x v="3"/>
    <s v="PHN-3398"/>
    <n v="1137.4100000000001"/>
    <n v="1680.93"/>
    <n v="815.10700000000008"/>
    <n v="1620.05"/>
    <m/>
    <n v="0.254"/>
    <n v="1"/>
    <n v="9"/>
    <n v="15128.37"/>
    <n v="10236.69"/>
    <n v="4891.68"/>
    <n v="0.32334481507260859"/>
  </r>
  <r>
    <s v="ORD-2023-927385"/>
    <n v="1"/>
    <x v="327"/>
    <n v="202305"/>
    <n v="202301"/>
    <n v="202301"/>
    <n v="4"/>
    <s v="May-2023"/>
    <x v="1"/>
    <x v="0"/>
    <n v="22"/>
    <d v="2023-06-20T00:00:00"/>
    <d v="2023-06-20T00:00:00"/>
    <x v="3"/>
    <x v="8"/>
    <s v="London"/>
    <s v="Small Business"/>
    <x v="4"/>
    <x v="11"/>
    <x v="0"/>
    <s v="CMP-8545"/>
    <n v="1295.3900000000001"/>
    <n v="2905.06"/>
    <n v="815.10700000000008"/>
    <n v="1620.05"/>
    <s v="High"/>
    <n v="0.14799999999999999"/>
    <n v="0"/>
    <n v="8"/>
    <n v="23240.48"/>
    <n v="10363.120000000001"/>
    <n v="12877.359999999999"/>
    <n v="0.55409182598638229"/>
  </r>
  <r>
    <s v="ORD-2025-486350"/>
    <m/>
    <x v="328"/>
    <d v="2454-06-08T00:00:00"/>
    <d v="2453-11-18T00:00:00"/>
    <d v="2453-11-18T00:00:00"/>
    <d v="1900-01-25T00:00:00"/>
    <s v="May-2025"/>
    <x v="9"/>
    <x v="0"/>
    <d v="1900-01-11T00:00:00"/>
    <d v="2025-06-08T00:00:00"/>
    <d v="2025-06-08T00:00:00"/>
    <x v="1"/>
    <x v="2"/>
    <s v="Osaka"/>
    <s v="Corporate"/>
    <x v="0"/>
    <x v="10"/>
    <x v="6"/>
    <s v="ACC-1249"/>
    <n v="653.6"/>
    <n v="842.09"/>
    <n v="815.10700000000008"/>
    <n v="1620.05"/>
    <m/>
    <n v="9.8000000000000004E-2"/>
    <n v="0"/>
    <n v="19"/>
    <n v="15999.710000000001"/>
    <n v="12418.4"/>
    <n v="3581.3100000000013"/>
    <n v="0.22383593202626806"/>
  </r>
  <r>
    <s v="ORD-2025-677880"/>
    <m/>
    <x v="164"/>
    <d v="2454-06-11T00:00:00"/>
    <d v="2453-11-16T00:00:00"/>
    <d v="2453-11-16T00:00:00"/>
    <d v="1900-01-30T00:00:00"/>
    <s v="Aug-2025"/>
    <x v="7"/>
    <x v="0"/>
    <d v="1900-01-23T00:00:00"/>
    <d v="2025-09-14T00:00:00"/>
    <d v="2025-09-14T00:00:00"/>
    <x v="3"/>
    <x v="6"/>
    <s v="Berlin"/>
    <s v="Non-Profit"/>
    <x v="1"/>
    <x v="8"/>
    <x v="5"/>
    <s v="MON-9662"/>
    <n v="1397.67"/>
    <n v="3131.37"/>
    <n v="815.10700000000008"/>
    <n v="1620.05"/>
    <m/>
    <n v="0.10299999999999999"/>
    <n v="0"/>
    <n v="20"/>
    <n v="62627.399999999994"/>
    <n v="27953.4"/>
    <n v="34673.999999999993"/>
    <n v="0.55365542877398699"/>
  </r>
  <r>
    <s v="ORD-2024-102866"/>
    <m/>
    <x v="329"/>
    <d v="2454-03-07T00:00:00"/>
    <d v="2453-11-18T00:00:00"/>
    <d v="2453-11-18T00:00:00"/>
    <d v="1900-01-20T00:00:00"/>
    <s v="Dec-2024"/>
    <x v="8"/>
    <x v="0"/>
    <d v="1900-01-07T00:00:00"/>
    <d v="2024-12-20T00:00:00"/>
    <d v="2024-12-20T00:00:00"/>
    <x v="1"/>
    <x v="2"/>
    <s v="Tokyo"/>
    <s v="Corporate"/>
    <x v="0"/>
    <x v="5"/>
    <x v="4"/>
    <s v="LAP-8347"/>
    <n v="1202.47"/>
    <n v="1444.72"/>
    <n v="815.10700000000008"/>
    <n v="1620.05"/>
    <m/>
    <n v="0.24099999999999999"/>
    <n v="1"/>
    <n v="17"/>
    <n v="24560.240000000002"/>
    <n v="20441.990000000002"/>
    <n v="4118.25"/>
    <n v="0.16767955036270002"/>
  </r>
  <r>
    <s v="ORD-2025-588029"/>
    <m/>
    <x v="283"/>
    <d v="2454-06-12T00:00:00"/>
    <d v="2453-11-16T00:00:00"/>
    <d v="2453-11-16T00:00:00"/>
    <d v="1900-01-31T00:00:00"/>
    <s v="Sept-2025"/>
    <x v="2"/>
    <x v="0"/>
    <d v="1900-01-08T00:00:00"/>
    <d v="2025-09-23T00:00:00"/>
    <d v="2025-09-23T00:00:00"/>
    <x v="0"/>
    <x v="11"/>
    <s v="Durban"/>
    <s v="Non-Profit"/>
    <x v="1"/>
    <x v="14"/>
    <x v="0"/>
    <s v="CMP-6898"/>
    <n v="1310.3"/>
    <n v="2875.8"/>
    <n v="815.10700000000008"/>
    <n v="1620.05"/>
    <m/>
    <n v="8.3000000000000004E-2"/>
    <n v="0"/>
    <n v="5"/>
    <n v="14379"/>
    <n v="6551.5"/>
    <n v="7827.5"/>
    <n v="0.54437026218791296"/>
  </r>
  <r>
    <s v="ORD-2024-972999"/>
    <m/>
    <x v="330"/>
    <d v="2454-03-04T00:00:00"/>
    <d v="2453-11-16T00:00:00"/>
    <d v="2453-11-16T00:00:00"/>
    <d v="1900-01-19T00:00:00"/>
    <s v="Sept-2024"/>
    <x v="8"/>
    <x v="0"/>
    <d v="1900-01-27T00:00:00"/>
    <d v="2024-10-04T00:00:00"/>
    <d v="2024-10-04T00:00:00"/>
    <x v="0"/>
    <x v="11"/>
    <s v="Cape Town"/>
    <s v="Corporate"/>
    <x v="2"/>
    <x v="14"/>
    <x v="5"/>
    <s v="MON-3504"/>
    <n v="1174.17"/>
    <n v="1641.61"/>
    <n v="815.10700000000008"/>
    <n v="1620.05"/>
    <m/>
    <n v="0.122"/>
    <n v="0"/>
    <n v="9"/>
    <n v="14774.49"/>
    <n v="10567.53"/>
    <n v="4206.9599999999991"/>
    <n v="0.28474485413709705"/>
  </r>
  <r>
    <s v="ORD-2025-608069"/>
    <m/>
    <x v="331"/>
    <d v="2454-06-07T00:00:00"/>
    <d v="2453-11-16T00:00:00"/>
    <d v="2453-11-16T00:00:00"/>
    <d v="1900-01-26T00:00:00"/>
    <s v="Apr-2025"/>
    <x v="10"/>
    <x v="0"/>
    <d v="1900-01-17T00:00:00"/>
    <d v="2025-04-30T00:00:00"/>
    <d v="2025-04-30T00:00:00"/>
    <x v="0"/>
    <x v="0"/>
    <s v="Kisumu"/>
    <s v="Corporate"/>
    <x v="2"/>
    <x v="9"/>
    <x v="2"/>
    <s v="NET-3432"/>
    <n v="1119.04"/>
    <n v="1299.02"/>
    <n v="815.10700000000008"/>
    <n v="1620.05"/>
    <m/>
    <n v="2.5000000000000001E-2"/>
    <n v="0"/>
    <n v="14"/>
    <n v="18186.28"/>
    <n v="15666.56"/>
    <n v="2519.7199999999993"/>
    <n v="0.13855059968283781"/>
  </r>
  <r>
    <s v="ORD-2024-626750"/>
    <m/>
    <x v="174"/>
    <d v="2454-03-03T00:00:00"/>
    <d v="2453-11-16T00:00:00"/>
    <d v="2453-11-16T00:00:00"/>
    <d v="1900-01-18T00:00:00"/>
    <s v="Aug-2024"/>
    <x v="7"/>
    <x v="1"/>
    <d v="1900-01-02T00:00:00"/>
    <d v="2024-08-15T00:00:00"/>
    <d v="2024-08-15T00:00:00"/>
    <x v="2"/>
    <x v="10"/>
    <s v="Chicago"/>
    <s v="Corporate"/>
    <x v="2"/>
    <x v="14"/>
    <x v="1"/>
    <s v="PRN-5591"/>
    <n v="850.7"/>
    <n v="1118.56"/>
    <n v="815.10700000000008"/>
    <n v="1620.05"/>
    <m/>
    <n v="0.18"/>
    <n v="0"/>
    <n v="19"/>
    <n v="21252.639999999999"/>
    <n v="16163.300000000001"/>
    <n v="5089.3399999999983"/>
    <n v="0.23946860248891425"/>
  </r>
  <r>
    <s v="ORD-2024-170021"/>
    <n v="1"/>
    <x v="332"/>
    <n v="202411"/>
    <n v="202301"/>
    <n v="202301"/>
    <n v="22"/>
    <s v="Nov-2024"/>
    <x v="10"/>
    <x v="1"/>
    <n v="3"/>
    <d v="2024-11-08T00:00:00"/>
    <d v="2024-11-08T00:00:00"/>
    <x v="2"/>
    <x v="3"/>
    <s v="Toronto"/>
    <s v="Education"/>
    <x v="2"/>
    <x v="7"/>
    <x v="0"/>
    <s v="CMP-2015"/>
    <n v="1020.4"/>
    <n v="1184.71"/>
    <n v="815.10700000000008"/>
    <n v="1620.05"/>
    <s v="Medium"/>
    <n v="0.106"/>
    <n v="0"/>
    <n v="16"/>
    <n v="18955.36"/>
    <n v="16326.4"/>
    <n v="2628.9600000000009"/>
    <n v="0.13869216939166551"/>
  </r>
  <r>
    <s v="ORD-2024-678110"/>
    <m/>
    <x v="333"/>
    <d v="2454-03-02T00:00:00"/>
    <d v="2453-11-16T00:00:00"/>
    <d v="2453-11-16T00:00:00"/>
    <d v="1900-01-17T00:00:00"/>
    <s v="Jul-2024"/>
    <x v="2"/>
    <x v="0"/>
    <d v="1900-01-14T00:00:00"/>
    <d v="2024-08-08T00:00:00"/>
    <d v="2024-08-08T00:00:00"/>
    <x v="3"/>
    <x v="7"/>
    <s v="Marseille"/>
    <s v="Enterprise"/>
    <x v="2"/>
    <x v="10"/>
    <x v="4"/>
    <s v="LAP-9901"/>
    <n v="501.5"/>
    <n v="1201.47"/>
    <n v="815.10700000000008"/>
    <n v="1620.05"/>
    <m/>
    <n v="0.126"/>
    <n v="0"/>
    <n v="5"/>
    <n v="6007.35"/>
    <n v="2507.5"/>
    <n v="3499.8500000000004"/>
    <n v="0.58259465488110396"/>
  </r>
  <r>
    <s v="ORD-2025-909340"/>
    <n v="1"/>
    <x v="334"/>
    <n v="202501"/>
    <n v="202301"/>
    <n v="202301"/>
    <n v="24"/>
    <s v="Jan-2025"/>
    <x v="10"/>
    <x v="0"/>
    <n v="14"/>
    <d v="2025-02-03T00:00:00"/>
    <d v="2025-02-03T00:00:00"/>
    <x v="2"/>
    <x v="5"/>
    <s v="Brasília"/>
    <s v="Enterprise"/>
    <x v="2"/>
    <x v="9"/>
    <x v="0"/>
    <s v="CMP-8658"/>
    <n v="974.11"/>
    <n v="880.99"/>
    <n v="815.10700000000008"/>
    <n v="1620.05"/>
    <s v="Medium"/>
    <n v="0.111"/>
    <n v="0"/>
    <n v="10"/>
    <n v="8809.9"/>
    <n v="9741.1"/>
    <n v="-931.20000000000073"/>
    <n v="-0.10569927013927521"/>
  </r>
  <r>
    <s v="ORD-2023-854471"/>
    <n v="1"/>
    <x v="335"/>
    <n v="202303"/>
    <n v="202301"/>
    <n v="202301"/>
    <n v="2"/>
    <s v="Mar-2023"/>
    <x v="4"/>
    <x v="0"/>
    <n v="29"/>
    <d v="2023-04-04T00:00:00"/>
    <d v="2023-04-04T00:00:00"/>
    <x v="1"/>
    <x v="9"/>
    <s v="Beijing"/>
    <s v="Small Business"/>
    <x v="4"/>
    <x v="0"/>
    <x v="5"/>
    <s v="MON-2073"/>
    <n v="1126.29"/>
    <n v="2050.87"/>
    <n v="815.10700000000008"/>
    <n v="1620.05"/>
    <s v="Medium"/>
    <n v="6.4000000000000001E-2"/>
    <n v="0"/>
    <n v="7"/>
    <n v="14356.09"/>
    <n v="7884.03"/>
    <n v="6472.06"/>
    <n v="0.45082330913222196"/>
  </r>
  <r>
    <s v="ORD-2024-390951"/>
    <n v="1"/>
    <x v="336"/>
    <n v="202412"/>
    <n v="202302"/>
    <n v="202302"/>
    <n v="22"/>
    <s v="Dec-2024"/>
    <x v="3"/>
    <x v="0"/>
    <n v="25"/>
    <d v="2025-01-14T00:00:00"/>
    <d v="2025-01-14T00:00:00"/>
    <x v="1"/>
    <x v="4"/>
    <s v="Delhi"/>
    <s v="Small Business"/>
    <x v="0"/>
    <x v="12"/>
    <x v="1"/>
    <s v="PRN-9378"/>
    <n v="1361.34"/>
    <n v="1737.9"/>
    <n v="815.10700000000008"/>
    <n v="1620.05"/>
    <s v="High"/>
    <n v="7.6999999999999999E-2"/>
    <n v="0"/>
    <n v="14"/>
    <n v="24330.600000000002"/>
    <n v="19058.759999999998"/>
    <n v="5271.8400000000038"/>
    <n v="0.21667529777317465"/>
  </r>
  <r>
    <s v="ORD-2025-881624"/>
    <n v="1"/>
    <x v="337"/>
    <n v="202502"/>
    <n v="202301"/>
    <n v="202301"/>
    <n v="25"/>
    <s v="Feb-2025"/>
    <x v="2"/>
    <x v="0"/>
    <n v="28"/>
    <d v="2025-03-21T00:00:00"/>
    <d v="2025-03-21T00:00:00"/>
    <x v="0"/>
    <x v="1"/>
    <s v="Abuja"/>
    <s v="Enterprise"/>
    <x v="2"/>
    <x v="2"/>
    <x v="3"/>
    <s v="PHN-5887"/>
    <n v="1437.39"/>
    <n v="1388.31"/>
    <n v="815.10700000000008"/>
    <n v="1620.05"/>
    <s v="High"/>
    <n v="0.13800000000000001"/>
    <n v="0"/>
    <n v="18"/>
    <n v="24989.579999999998"/>
    <n v="25873.02"/>
    <n v="-883.44000000000233"/>
    <n v="-3.5352334853166897E-2"/>
  </r>
  <r>
    <s v="ORD-2025-512310"/>
    <n v="1"/>
    <x v="338"/>
    <n v="202503"/>
    <n v="202302"/>
    <n v="202302"/>
    <n v="25"/>
    <s v="Mar-2025"/>
    <x v="4"/>
    <x v="1"/>
    <n v="7"/>
    <d v="2025-03-15T00:00:00"/>
    <d v="2025-03-15T00:00:00"/>
    <x v="1"/>
    <x v="4"/>
    <s v="Null"/>
    <s v="Corporate"/>
    <x v="3"/>
    <x v="11"/>
    <x v="4"/>
    <s v="LAP-8119"/>
    <n v="475.66"/>
    <n v="529.14"/>
    <n v="815.10700000000008"/>
    <n v="1620.05"/>
    <s v="Medium"/>
    <n v="0.19600000000000001"/>
    <n v="0"/>
    <n v="11"/>
    <n v="5820.54"/>
    <n v="5232.26"/>
    <n v="588.27999999999975"/>
    <n v="0.10106966020334879"/>
  </r>
  <r>
    <s v="ORD-2023-674887"/>
    <n v="1"/>
    <x v="339"/>
    <n v="202312"/>
    <n v="202301"/>
    <n v="202301"/>
    <n v="11"/>
    <s v="Dec-2023"/>
    <x v="4"/>
    <x v="1"/>
    <n v="3"/>
    <d v="2023-12-19T00:00:00"/>
    <d v="2023-12-19T00:00:00"/>
    <x v="1"/>
    <x v="9"/>
    <s v="Beijing"/>
    <s v="Education"/>
    <x v="0"/>
    <x v="8"/>
    <x v="6"/>
    <s v="ACC-9644"/>
    <n v="1415.05"/>
    <n v="1972.38"/>
    <n v="815.10700000000008"/>
    <n v="1620.05"/>
    <s v="Low"/>
    <n v="0"/>
    <n v="0"/>
    <n v="12"/>
    <n v="23668.560000000001"/>
    <n v="16980.599999999999"/>
    <n v="6687.9600000000028"/>
    <n v="0.28256725377462771"/>
  </r>
  <r>
    <s v="ORD-2024-542244"/>
    <m/>
    <x v="340"/>
    <d v="2454-03-03T00:00:00"/>
    <d v="2453-11-18T00:00:00"/>
    <d v="2453-11-18T00:00:00"/>
    <d v="1900-01-16T00:00:00"/>
    <s v="Aug-2024"/>
    <x v="5"/>
    <x v="1"/>
    <d v="1900-01-05T00:00:00"/>
    <d v="2024-09-05T00:00:00"/>
    <d v="2024-09-05T00:00:00"/>
    <x v="1"/>
    <x v="2"/>
    <s v="Nagoya"/>
    <s v="Education"/>
    <x v="1"/>
    <x v="13"/>
    <x v="4"/>
    <s v="LAP-7009"/>
    <n v="466.16"/>
    <n v="876.81"/>
    <n v="815.10700000000008"/>
    <n v="1620.05"/>
    <m/>
    <n v="0.24099999999999999"/>
    <n v="1"/>
    <n v="8"/>
    <n v="7014.48"/>
    <n v="3729.28"/>
    <n v="3285.1999999999994"/>
    <n v="0.46834547963640921"/>
  </r>
  <r>
    <s v="ORD-2024-375848"/>
    <m/>
    <x v="22"/>
    <d v="2454-02-28T00:00:00"/>
    <d v="2453-11-16T00:00:00"/>
    <d v="2453-11-16T00:00:00"/>
    <d v="1900-01-15T00:00:00"/>
    <s v="May-2024"/>
    <x v="10"/>
    <x v="1"/>
    <d v="1900-01-02T00:00:00"/>
    <d v="2024-05-21T00:00:00"/>
    <d v="2024-05-21T00:00:00"/>
    <x v="3"/>
    <x v="7"/>
    <s v="Marseille"/>
    <s v="Non-Profit"/>
    <x v="2"/>
    <x v="14"/>
    <x v="1"/>
    <s v="PRN-1725"/>
    <n v="663.66"/>
    <n v="824.26"/>
    <n v="815.10700000000008"/>
    <n v="1620.05"/>
    <m/>
    <n v="0.23899999999999999"/>
    <n v="1"/>
    <n v="11"/>
    <n v="9066.86"/>
    <n v="7300.2599999999993"/>
    <n v="1766.6000000000013"/>
    <n v="0.19484143352825578"/>
  </r>
  <r>
    <s v="ORD-2023-933238"/>
    <m/>
    <x v="341"/>
    <d v="2453-11-18T00:00:00"/>
    <d v="2453-11-16T00:00:00"/>
    <d v="2453-11-16T00:00:00"/>
    <d v="1900-01-01T00:00:00"/>
    <s v="Mar-2023"/>
    <x v="6"/>
    <x v="0"/>
    <d v="1900-01-19T00:00:00"/>
    <d v="2023-04-06T00:00:00"/>
    <d v="2023-04-06T00:00:00"/>
    <x v="3"/>
    <x v="6"/>
    <s v="Munich"/>
    <s v="Consumer"/>
    <x v="0"/>
    <x v="7"/>
    <x v="3"/>
    <s v="PHN-8483"/>
    <n v="692.18"/>
    <n v="1159.3499999999999"/>
    <n v="815.10700000000008"/>
    <n v="1620.05"/>
    <m/>
    <n v="0.112"/>
    <n v="0"/>
    <n v="2"/>
    <n v="2318.6999999999998"/>
    <n v="1384.36"/>
    <n v="934.33999999999992"/>
    <n v="0.40295855436235822"/>
  </r>
  <r>
    <s v="ORD-2023-732585"/>
    <n v="1"/>
    <x v="342"/>
    <n v="202308"/>
    <n v="202301"/>
    <n v="202301"/>
    <n v="7"/>
    <s v="Aug-2023"/>
    <x v="3"/>
    <x v="0"/>
    <n v="22"/>
    <d v="2023-09-16T00:00:00"/>
    <d v="2023-09-16T00:00:00"/>
    <x v="0"/>
    <x v="1"/>
    <s v="Abuja"/>
    <s v="Corporate"/>
    <x v="2"/>
    <x v="4"/>
    <x v="3"/>
    <s v="PHN-3971"/>
    <n v="1196.83"/>
    <n v="2513.5100000000002"/>
    <n v="815.10700000000008"/>
    <n v="1620.05"/>
    <s v="Medium"/>
    <n v="8.3000000000000004E-2"/>
    <n v="0"/>
    <n v="7"/>
    <n v="17594.57"/>
    <n v="8377.81"/>
    <n v="9216.76"/>
    <n v="0.52384116235861411"/>
  </r>
  <r>
    <s v="ORD-2024-465898"/>
    <n v="1"/>
    <x v="343"/>
    <n v="202406"/>
    <n v="202302"/>
    <n v="202302"/>
    <n v="16"/>
    <s v="Jun-2024"/>
    <x v="11"/>
    <x v="0"/>
    <n v="18"/>
    <d v="2024-06-24T00:00:00"/>
    <d v="2024-06-24T00:00:00"/>
    <x v="1"/>
    <x v="4"/>
    <s v="Bengaluru"/>
    <s v="Small Business"/>
    <x v="4"/>
    <x v="10"/>
    <x v="2"/>
    <s v="NET-6578"/>
    <n v="1253.25"/>
    <n v="3087.13"/>
    <n v="815.10700000000008"/>
    <n v="1620.05"/>
    <s v="High"/>
    <n v="7.1999999999999995E-2"/>
    <n v="0"/>
    <n v="11"/>
    <n v="33958.43"/>
    <n v="13785.75"/>
    <n v="20172.68"/>
    <n v="0.59404041941868335"/>
  </r>
  <r>
    <s v="ORD-2023-987081"/>
    <n v="1"/>
    <x v="344"/>
    <n v="202308"/>
    <n v="202301"/>
    <n v="202301"/>
    <n v="7"/>
    <s v="Aug-2023"/>
    <x v="6"/>
    <x v="0"/>
    <n v="15"/>
    <d v="2023-09-13T00:00:00"/>
    <d v="2023-09-13T00:00:00"/>
    <x v="2"/>
    <x v="3"/>
    <s v="Vancouver"/>
    <s v="Small Business"/>
    <x v="2"/>
    <x v="7"/>
    <x v="1"/>
    <s v="PRN-9975"/>
    <n v="1287.6400000000001"/>
    <n v="2717.15"/>
    <n v="815.10700000000008"/>
    <n v="1620.05"/>
    <s v="High"/>
    <n v="3.2000000000000001E-2"/>
    <n v="0"/>
    <n v="7"/>
    <n v="19020.05"/>
    <n v="9013.4800000000014"/>
    <n v="10006.569999999998"/>
    <n v="0.5261063982481643"/>
  </r>
  <r>
    <s v="ORD-2024-655710"/>
    <n v="1"/>
    <x v="25"/>
    <n v="202411"/>
    <n v="202302"/>
    <n v="202302"/>
    <n v="21"/>
    <s v="Nov-2024"/>
    <x v="11"/>
    <x v="0"/>
    <n v="10"/>
    <d v="2024-12-10T00:00:00"/>
    <d v="2024-12-10T00:00:00"/>
    <x v="1"/>
    <x v="4"/>
    <s v="Hyderabad"/>
    <s v="Small Business"/>
    <x v="0"/>
    <x v="9"/>
    <x v="6"/>
    <s v="ACC-1075"/>
    <n v="851.49"/>
    <n v="901.79"/>
    <n v="815.10700000000008"/>
    <n v="1620.05"/>
    <s v="High"/>
    <n v="0.245"/>
    <n v="1"/>
    <n v="16"/>
    <n v="14428.64"/>
    <n v="13623.84"/>
    <n v="804.79999999999927"/>
    <n v="5.5777952738442382E-2"/>
  </r>
  <r>
    <s v="ORD-2025-411385"/>
    <n v="1"/>
    <x v="345"/>
    <n v="202506"/>
    <n v="202302"/>
    <n v="202302"/>
    <n v="28"/>
    <s v="Jun-2025"/>
    <x v="2"/>
    <x v="0"/>
    <n v="9"/>
    <d v="2025-06-14T00:00:00"/>
    <d v="2025-06-14T00:00:00"/>
    <x v="1"/>
    <x v="4"/>
    <s v="Delhi"/>
    <s v="Non-Profit"/>
    <x v="0"/>
    <x v="8"/>
    <x v="6"/>
    <s v="ACC-2902"/>
    <n v="618.69000000000005"/>
    <n v="796.15"/>
    <n v="815.10700000000008"/>
    <n v="1620.05"/>
    <s v="Medium"/>
    <n v="0.09"/>
    <n v="0"/>
    <n v="11"/>
    <n v="8757.65"/>
    <n v="6805.59"/>
    <n v="1952.0599999999995"/>
    <n v="0.22289769515794758"/>
  </r>
  <r>
    <s v="ORD-2025-222035"/>
    <n v="1"/>
    <x v="251"/>
    <n v="202503"/>
    <n v="202301"/>
    <n v="202301"/>
    <n v="26"/>
    <s v="Mar-2025"/>
    <x v="7"/>
    <x v="0"/>
    <n v="25"/>
    <d v="2025-04-08T00:00:00"/>
    <d v="2025-04-08T00:00:00"/>
    <x v="1"/>
    <x v="9"/>
    <s v="Beijing"/>
    <s v="Corporate"/>
    <x v="3"/>
    <x v="14"/>
    <x v="1"/>
    <s v="PRN-5815"/>
    <n v="80.59"/>
    <n v="157.82"/>
    <n v="815.10700000000008"/>
    <n v="1620.05"/>
    <s v="Low"/>
    <n v="0.217"/>
    <n v="1"/>
    <n v="6"/>
    <n v="946.92"/>
    <n v="483.54"/>
    <n v="463.37999999999994"/>
    <n v="0.48935496134837153"/>
  </r>
  <r>
    <s v="ORD-2024-749242"/>
    <m/>
    <x v="346"/>
    <d v="2454-02-24T00:00:00"/>
    <d v="2453-11-16T00:00:00"/>
    <d v="2453-11-16T00:00:00"/>
    <d v="1900-01-11T00:00:00"/>
    <s v="Jan-2024"/>
    <x v="4"/>
    <x v="0"/>
    <d v="1900-01-25T00:00:00"/>
    <d v="2024-02-11T00:00:00"/>
    <d v="2024-02-11T00:00:00"/>
    <x v="3"/>
    <x v="6"/>
    <s v="Frankfurt"/>
    <s v="Non-Profit"/>
    <x v="3"/>
    <x v="6"/>
    <x v="5"/>
    <s v="MON-4195"/>
    <n v="504.93"/>
    <n v="819.06"/>
    <n v="815.10700000000008"/>
    <n v="1620.05"/>
    <m/>
    <n v="0.22600000000000001"/>
    <n v="1"/>
    <n v="15"/>
    <n v="12285.9"/>
    <n v="7573.95"/>
    <n v="4711.95"/>
    <n v="0.38352501648230897"/>
  </r>
  <r>
    <s v="ORD-2023-623293"/>
    <m/>
    <x v="347"/>
    <d v="2453-11-25T00:00:00"/>
    <d v="2453-11-18T00:00:00"/>
    <d v="2453-11-18T00:00:00"/>
    <d v="1900-01-06T00:00:00"/>
    <s v="Oct-2023"/>
    <x v="1"/>
    <x v="0"/>
    <d v="1900-01-16T00:00:00"/>
    <d v="2023-10-29T00:00:00"/>
    <d v="2023-10-29T00:00:00"/>
    <x v="1"/>
    <x v="2"/>
    <s v="Nagoya"/>
    <s v="Non-Profit"/>
    <x v="4"/>
    <x v="10"/>
    <x v="3"/>
    <s v="PHN-8478"/>
    <n v="1102.19"/>
    <n v="1711.16"/>
    <n v="815.10700000000008"/>
    <n v="1620.05"/>
    <m/>
    <n v="0.151"/>
    <n v="0"/>
    <n v="10"/>
    <n v="17111.600000000002"/>
    <n v="11021.900000000001"/>
    <n v="6089.7000000000007"/>
    <n v="0.3558813904018327"/>
  </r>
  <r>
    <s v="ORD-2025-276968"/>
    <m/>
    <x v="348"/>
    <d v="2454-06-05T00:00:00"/>
    <d v="2453-11-16T00:00:00"/>
    <d v="2453-11-16T00:00:00"/>
    <d v="1900-01-24T00:00:00"/>
    <s v="Feb-2025"/>
    <x v="5"/>
    <x v="0"/>
    <d v="1900-01-19T00:00:00"/>
    <d v="2025-03-17T00:00:00"/>
    <d v="2025-03-17T00:00:00"/>
    <x v="2"/>
    <x v="10"/>
    <s v="San Francisco"/>
    <s v="Non-Profit"/>
    <x v="2"/>
    <x v="10"/>
    <x v="3"/>
    <s v="PHN-1044"/>
    <n v="1205.26"/>
    <n v="1696.35"/>
    <n v="815.10700000000008"/>
    <n v="1620.05"/>
    <m/>
    <n v="1.9E-2"/>
    <n v="0"/>
    <n v="6"/>
    <n v="10178.099999999999"/>
    <n v="7231.5599999999995"/>
    <n v="2946.5399999999991"/>
    <n v="0.2894980399092168"/>
  </r>
  <r>
    <s v="ORD-2025-650841"/>
    <n v="1"/>
    <x v="349"/>
    <n v="202507"/>
    <n v="202301"/>
    <n v="202301"/>
    <n v="30"/>
    <s v="Jul-2025"/>
    <x v="4"/>
    <x v="1"/>
    <n v="3"/>
    <d v="2025-07-06T00:00:00"/>
    <d v="2025-07-06T00:00:00"/>
    <x v="0"/>
    <x v="1"/>
    <s v="Lagos"/>
    <s v="Consumer"/>
    <x v="1"/>
    <x v="15"/>
    <x v="4"/>
    <s v="LAP-8910"/>
    <n v="1313.3"/>
    <n v="2884.34"/>
    <n v="815.10700000000008"/>
    <n v="1620.05"/>
    <s v="High"/>
    <n v="0.157"/>
    <n v="0"/>
    <n v="42"/>
    <n v="121142.28"/>
    <n v="55158.6"/>
    <n v="65983.679999999993"/>
    <n v="0.54467919870750325"/>
  </r>
  <r>
    <s v="ORD-2025-831576"/>
    <n v="1"/>
    <x v="165"/>
    <n v="202509"/>
    <n v="202302"/>
    <n v="202302"/>
    <n v="31"/>
    <s v="Sept-2025"/>
    <x v="8"/>
    <x v="0"/>
    <n v="10"/>
    <d v="2025-09-25T00:00:00"/>
    <d v="2025-09-25T00:00:00"/>
    <x v="1"/>
    <x v="4"/>
    <s v="Delhi"/>
    <s v="Consumer"/>
    <x v="0"/>
    <x v="8"/>
    <x v="3"/>
    <s v="PHN-2859"/>
    <n v="1488.91"/>
    <n v="1483.74"/>
    <n v="815.10700000000008"/>
    <n v="1620.05"/>
    <s v="High"/>
    <n v="0.16800000000000001"/>
    <n v="0"/>
    <n v="24"/>
    <n v="35609.760000000002"/>
    <n v="35733.840000000004"/>
    <n v="-124.08000000000175"/>
    <n v="-3.4844379743082161E-3"/>
  </r>
  <r>
    <s v="ORD-2024-468655"/>
    <n v="1"/>
    <x v="350"/>
    <n v="202402"/>
    <n v="202301"/>
    <n v="202301"/>
    <n v="13"/>
    <s v="Feb-2024"/>
    <x v="8"/>
    <x v="0"/>
    <n v="16"/>
    <d v="2024-03-06T00:00:00"/>
    <d v="2024-03-06T00:00:00"/>
    <x v="1"/>
    <x v="9"/>
    <s v="Beijing"/>
    <s v="Education"/>
    <x v="2"/>
    <x v="7"/>
    <x v="1"/>
    <s v="PRN-6308"/>
    <n v="1477.84"/>
    <n v="3197.47"/>
    <n v="815.10700000000008"/>
    <n v="1620.05"/>
    <s v="Medium"/>
    <n v="0.24299999999999999"/>
    <n v="1"/>
    <n v="24"/>
    <n v="76739.28"/>
    <n v="35468.159999999996"/>
    <n v="41271.120000000003"/>
    <n v="0.53780958069974083"/>
  </r>
  <r>
    <s v="ORD-2024-515105"/>
    <n v="1"/>
    <x v="351"/>
    <n v="202402"/>
    <n v="202302"/>
    <n v="202302"/>
    <n v="12"/>
    <s v="Feb-2024"/>
    <x v="1"/>
    <x v="0"/>
    <n v="28"/>
    <d v="2024-03-26T00:00:00"/>
    <d v="2024-03-26T00:00:00"/>
    <x v="1"/>
    <x v="4"/>
    <s v="Mumbai"/>
    <s v="Education"/>
    <x v="2"/>
    <x v="3"/>
    <x v="4"/>
    <s v="LAP-8469"/>
    <n v="1035.19"/>
    <n v="2322.6999999999998"/>
    <n v="815.10700000000008"/>
    <n v="1620.05"/>
    <s v="High"/>
    <n v="0.17299999999999999"/>
    <n v="0"/>
    <n v="8"/>
    <n v="18581.599999999999"/>
    <n v="8281.52"/>
    <n v="10300.079999999998"/>
    <n v="0.55431609764498202"/>
  </r>
  <r>
    <s v="ORD-2025-803803"/>
    <n v="1"/>
    <x v="256"/>
    <n v="202508"/>
    <n v="202301"/>
    <n v="202301"/>
    <n v="31"/>
    <s v="Aug-2025"/>
    <x v="1"/>
    <x v="0"/>
    <n v="8"/>
    <d v="2025-09-05T00:00:00"/>
    <d v="2025-09-05T00:00:00"/>
    <x v="0"/>
    <x v="1"/>
    <s v="Port Harcourt"/>
    <s v="Small Business"/>
    <x v="2"/>
    <x v="6"/>
    <x v="4"/>
    <s v="LAP-7553"/>
    <n v="1271.0999999999999"/>
    <n v="1932.42"/>
    <n v="815.10700000000008"/>
    <n v="1620.05"/>
    <s v="High"/>
    <n v="0.25"/>
    <n v="1"/>
    <n v="21"/>
    <n v="40580.82"/>
    <n v="26693.1"/>
    <n v="13887.720000000001"/>
    <n v="0.34222374018070612"/>
  </r>
  <r>
    <s v="ORD-2024-993481"/>
    <n v="1"/>
    <x v="352"/>
    <n v="202408"/>
    <n v="202302"/>
    <n v="202302"/>
    <n v="18"/>
    <s v="Aug-2024"/>
    <x v="8"/>
    <x v="0"/>
    <n v="25"/>
    <d v="2024-09-12T00:00:00"/>
    <d v="2024-09-12T00:00:00"/>
    <x v="1"/>
    <x v="4"/>
    <s v="Mumbai"/>
    <s v="Consumer"/>
    <x v="2"/>
    <x v="0"/>
    <x v="3"/>
    <s v="PHN-3077"/>
    <n v="1154.03"/>
    <n v="1590.36"/>
    <n v="815.10700000000008"/>
    <n v="1620.05"/>
    <s v="High"/>
    <n v="0.314"/>
    <n v="1"/>
    <n v="18"/>
    <n v="28626.48"/>
    <n v="20772.54"/>
    <n v="7853.9399999999987"/>
    <n v="0.27435926456902837"/>
  </r>
  <r>
    <s v="ORD-2024-811752"/>
    <m/>
    <x v="353"/>
    <d v="2454-02-25T00:00:00"/>
    <d v="2453-11-16T00:00:00"/>
    <d v="2453-11-16T00:00:00"/>
    <d v="1900-01-12T00:00:00"/>
    <s v="Feb-2024"/>
    <x v="10"/>
    <x v="0"/>
    <d v="1900-01-12T00:00:00"/>
    <d v="2024-03-09T00:00:00"/>
    <d v="2024-03-09T00:00:00"/>
    <x v="3"/>
    <x v="7"/>
    <s v="Marseille"/>
    <s v="Small Business"/>
    <x v="3"/>
    <x v="6"/>
    <x v="5"/>
    <s v="MON-3350"/>
    <n v="322.44"/>
    <n v="395.61"/>
    <n v="815.10700000000008"/>
    <n v="1620.05"/>
    <m/>
    <n v="0"/>
    <n v="0"/>
    <n v="34"/>
    <n v="13450.74"/>
    <n v="10962.96"/>
    <n v="2487.7800000000007"/>
    <n v="0.18495487980586947"/>
  </r>
  <r>
    <s v="ORD-2025-673091"/>
    <n v="1"/>
    <x v="354"/>
    <n v="202505"/>
    <n v="202302"/>
    <n v="202302"/>
    <n v="27"/>
    <s v="May-2025"/>
    <x v="1"/>
    <x v="1"/>
    <n v="6"/>
    <d v="2025-05-13T00:00:00"/>
    <d v="2025-05-13T00:00:00"/>
    <x v="1"/>
    <x v="4"/>
    <s v="Bengaluru"/>
    <s v="Enterprise"/>
    <x v="4"/>
    <x v="1"/>
    <x v="3"/>
    <s v="PHN-5683"/>
    <n v="935.98"/>
    <n v="2077.69"/>
    <n v="815.10700000000008"/>
    <n v="1620.05"/>
    <s v="Low"/>
    <n v="0.17499999999999999"/>
    <n v="0"/>
    <n v="24"/>
    <n v="49864.56"/>
    <n v="22463.52"/>
    <n v="27401.039999999997"/>
    <n v="0.54950931082115229"/>
  </r>
  <r>
    <s v="ORD-2024-381197"/>
    <m/>
    <x v="355"/>
    <d v="2454-03-06T00:00:00"/>
    <d v="2453-11-16T00:00:00"/>
    <d v="2453-11-16T00:00:00"/>
    <d v="1900-01-21T00:00:00"/>
    <s v="Nov-2024"/>
    <x v="7"/>
    <x v="0"/>
    <d v="1900-01-10T00:00:00"/>
    <d v="2024-11-12T00:00:00"/>
    <d v="2024-11-12T00:00:00"/>
    <x v="3"/>
    <x v="6"/>
    <s v="Frankfurt"/>
    <s v="Consumer"/>
    <x v="1"/>
    <x v="5"/>
    <x v="1"/>
    <s v="PRN-2409"/>
    <n v="599.84"/>
    <n v="1330.85"/>
    <n v="815.10700000000008"/>
    <n v="1620.05"/>
    <m/>
    <n v="0.115"/>
    <n v="0"/>
    <n v="11"/>
    <n v="14639.349999999999"/>
    <n v="6598.2400000000007"/>
    <n v="8041.1099999999979"/>
    <n v="0.54928053499643081"/>
  </r>
  <r>
    <s v="ORD-2024-651852"/>
    <n v="1"/>
    <x v="356"/>
    <n v="202412"/>
    <n v="202301"/>
    <n v="202301"/>
    <n v="23"/>
    <s v="Dec-2024"/>
    <x v="2"/>
    <x v="0"/>
    <n v="11"/>
    <d v="2025-01-08T00:00:00"/>
    <d v="2025-01-08T00:00:00"/>
    <x v="1"/>
    <x v="9"/>
    <s v="Shenzhen"/>
    <s v="Enterprise"/>
    <x v="1"/>
    <x v="11"/>
    <x v="4"/>
    <s v="LAP-8825"/>
    <n v="1201.31"/>
    <n v="2764.65"/>
    <n v="815.10700000000008"/>
    <n v="1620.05"/>
    <s v="Medium"/>
    <n v="0"/>
    <n v="0"/>
    <n v="21"/>
    <n v="58057.65"/>
    <n v="25227.51"/>
    <n v="32830.14"/>
    <n v="0.56547483406579491"/>
  </r>
  <r>
    <s v="ORD-2023-659070"/>
    <n v="1"/>
    <x v="258"/>
    <n v="202310"/>
    <n v="202301"/>
    <n v="202301"/>
    <n v="9"/>
    <s v="Oct-2023"/>
    <x v="2"/>
    <x v="1"/>
    <n v="0"/>
    <d v="2023-10-21T00:00:00"/>
    <d v="2023-10-21T00:00:00"/>
    <x v="3"/>
    <x v="8"/>
    <s v="Manchester"/>
    <s v="Enterprise"/>
    <x v="3"/>
    <x v="1"/>
    <x v="5"/>
    <s v="MON-8697"/>
    <n v="384.19"/>
    <n v="278.35000000000002"/>
    <n v="815.10700000000008"/>
    <n v="1620.05"/>
    <s v="High"/>
    <n v="5.6000000000000001E-2"/>
    <n v="0"/>
    <n v="10"/>
    <n v="2783.5"/>
    <n v="3841.9"/>
    <n v="-1058.4000000000001"/>
    <n v="-0.38024070414945216"/>
  </r>
  <r>
    <s v="ORD-2024-837651"/>
    <n v="1"/>
    <x v="16"/>
    <n v="202412"/>
    <n v="202301"/>
    <n v="202301"/>
    <n v="23"/>
    <s v="Dec-2024"/>
    <x v="5"/>
    <x v="0"/>
    <n v="9"/>
    <d v="2024-12-19T00:00:00"/>
    <d v="2024-12-19T00:00:00"/>
    <x v="0"/>
    <x v="1"/>
    <s v="Lagos"/>
    <s v="Corporate"/>
    <x v="0"/>
    <x v="7"/>
    <x v="5"/>
    <s v="MON-4789"/>
    <n v="488.68"/>
    <n v="984.36"/>
    <n v="815.10700000000008"/>
    <n v="1620.05"/>
    <s v="Low"/>
    <n v="5.8999999999999997E-2"/>
    <n v="0"/>
    <n v="14"/>
    <n v="13781.04"/>
    <n v="6841.52"/>
    <n v="6939.52"/>
    <n v="0.50355560973627533"/>
  </r>
  <r>
    <s v="ORD-2024-581530"/>
    <n v="1"/>
    <x v="254"/>
    <n v="202409"/>
    <n v="202301"/>
    <n v="202301"/>
    <n v="20"/>
    <s v="Sept-2024"/>
    <x v="2"/>
    <x v="0"/>
    <n v="11"/>
    <d v="2024-09-18T00:00:00"/>
    <d v="2024-09-18T00:00:00"/>
    <x v="1"/>
    <x v="9"/>
    <s v="Beijing"/>
    <s v="Consumer"/>
    <x v="3"/>
    <x v="7"/>
    <x v="2"/>
    <s v="NET-7998"/>
    <n v="181.74"/>
    <n v="190.84"/>
    <n v="815.10700000000008"/>
    <n v="1620.05"/>
    <s v="Medium"/>
    <n v="0.214"/>
    <n v="1"/>
    <n v="13"/>
    <n v="2480.92"/>
    <n v="2362.62"/>
    <n v="118.30000000000018"/>
    <n v="4.7683923705722144E-2"/>
  </r>
  <r>
    <s v="ORD-2023-378104"/>
    <m/>
    <x v="357"/>
    <d v="2453-11-25T00:00:00"/>
    <d v="2453-11-16T00:00:00"/>
    <d v="2453-11-16T00:00:00"/>
    <d v="1900-01-08T00:00:00"/>
    <s v="Oct-2023"/>
    <x v="10"/>
    <x v="1"/>
    <d v="1900-01-01T00:00:00"/>
    <d v="2023-10-20T00:00:00"/>
    <d v="2023-10-20T00:00:00"/>
    <x v="0"/>
    <x v="0"/>
    <s v="Kisumu"/>
    <s v="Consumer"/>
    <x v="0"/>
    <x v="1"/>
    <x v="3"/>
    <s v="PHN-8891"/>
    <n v="774.12"/>
    <n v="908.3"/>
    <n v="815.10700000000008"/>
    <n v="1620.05"/>
    <m/>
    <n v="0"/>
    <n v="0"/>
    <n v="30"/>
    <n v="27249"/>
    <n v="23223.599999999999"/>
    <n v="4025.4000000000015"/>
    <n v="0.14772652207420461"/>
  </r>
  <r>
    <s v="ORD-2024-972318"/>
    <n v="1"/>
    <x v="358"/>
    <n v="202412"/>
    <n v="202302"/>
    <n v="202302"/>
    <n v="22"/>
    <s v="Dec-2024"/>
    <x v="5"/>
    <x v="0"/>
    <n v="20"/>
    <d v="2025-01-13T00:00:00"/>
    <d v="2025-01-13T00:00:00"/>
    <x v="1"/>
    <x v="4"/>
    <s v="Bengaluru"/>
    <s v="Corporate"/>
    <x v="2"/>
    <x v="14"/>
    <x v="2"/>
    <s v="NET-9832"/>
    <n v="126.15"/>
    <n v="284.23"/>
    <n v="815.10700000000008"/>
    <n v="1620.05"/>
    <s v="Medium"/>
    <n v="0.113"/>
    <n v="0"/>
    <n v="22"/>
    <n v="6253.06"/>
    <n v="2775.3"/>
    <n v="3477.76"/>
    <n v="0.55616929951095939"/>
  </r>
  <r>
    <s v="ORD-2023-752962"/>
    <m/>
    <x v="67"/>
    <d v="2453-11-19T00:00:00"/>
    <d v="2453-11-18T00:00:00"/>
    <d v="2453-11-18T00:00:00"/>
    <d v="1899-12-31T00:00:00"/>
    <s v="Apr-2023"/>
    <x v="2"/>
    <x v="1"/>
    <d v="1899-12-30T00:00:00"/>
    <d v="2023-04-21T00:00:00"/>
    <d v="2023-04-19T00:00:00"/>
    <x v="1"/>
    <x v="2"/>
    <s v="Nagoya"/>
    <s v="Small Business"/>
    <x v="4"/>
    <x v="12"/>
    <x v="0"/>
    <s v="CMP-8604"/>
    <n v="607.04"/>
    <n v="1229.3399999999999"/>
    <n v="815.10700000000008"/>
    <n v="1620.05"/>
    <m/>
    <n v="0.14699999999999999"/>
    <n v="0"/>
    <n v="7"/>
    <n v="8605.3799999999992"/>
    <n v="4249.28"/>
    <n v="4356.0999999999995"/>
    <n v="0.50620658239380478"/>
  </r>
  <r>
    <s v="ORD-2023-808024"/>
    <m/>
    <x v="359"/>
    <d v="2453-11-27T00:00:00"/>
    <d v="2453-11-16T00:00:00"/>
    <d v="2453-11-16T00:00:00"/>
    <d v="1900-01-10T00:00:00"/>
    <s v="Dec-2023"/>
    <x v="9"/>
    <x v="0"/>
    <d v="1900-01-08T00:00:00"/>
    <d v="2024-01-08T00:00:00"/>
    <d v="2024-01-08T00:00:00"/>
    <x v="3"/>
    <x v="7"/>
    <s v="Marseille"/>
    <s v="Consumer"/>
    <x v="2"/>
    <x v="4"/>
    <x v="6"/>
    <s v="ACC-6594"/>
    <n v="861.1"/>
    <n v="1224.72"/>
    <n v="815.10700000000008"/>
    <n v="1620.05"/>
    <m/>
    <n v="0.17399999999999999"/>
    <n v="0"/>
    <n v="24"/>
    <n v="29393.279999999999"/>
    <n v="20666.400000000001"/>
    <n v="8726.8799999999974"/>
    <n v="0.29690051603631845"/>
  </r>
  <r>
    <s v="ORD-2023-156396"/>
    <m/>
    <x v="360"/>
    <d v="2453-11-17T00:00:00"/>
    <d v="2453-11-16T00:00:00"/>
    <d v="2453-11-16T00:00:00"/>
    <d v="1899-12-31T00:00:00"/>
    <s v="Feb-2023"/>
    <x v="5"/>
    <x v="0"/>
    <d v="1900-01-18T00:00:00"/>
    <d v="2023-03-12T00:00:00"/>
    <d v="2023-03-12T00:00:00"/>
    <x v="0"/>
    <x v="0"/>
    <s v="Nakuru"/>
    <s v="Corporate"/>
    <x v="1"/>
    <x v="9"/>
    <x v="2"/>
    <s v="NET-2499"/>
    <n v="352.65"/>
    <n v="485.86"/>
    <n v="815.10700000000008"/>
    <n v="1620.05"/>
    <m/>
    <n v="4.1000000000000002E-2"/>
    <n v="0"/>
    <n v="6"/>
    <n v="2915.16"/>
    <n v="2115.8999999999996"/>
    <n v="799.26000000000022"/>
    <n v="0.2741736302638621"/>
  </r>
  <r>
    <s v="ORD-2023-184577"/>
    <n v="1"/>
    <x v="361"/>
    <n v="202305"/>
    <n v="202301"/>
    <n v="202301"/>
    <n v="4"/>
    <s v="May-2023"/>
    <x v="3"/>
    <x v="0"/>
    <n v="17"/>
    <d v="2023-06-03T00:00:00"/>
    <d v="2023-06-03T00:00:00"/>
    <x v="1"/>
    <x v="9"/>
    <s v="Beijing"/>
    <s v="Non-Profit"/>
    <x v="3"/>
    <x v="12"/>
    <x v="1"/>
    <s v="PRN-1923"/>
    <n v="979.59"/>
    <n v="2210.94"/>
    <n v="815.10700000000008"/>
    <n v="1620.05"/>
    <s v="Low"/>
    <n v="0.15"/>
    <n v="0"/>
    <n v="11"/>
    <n v="24320.34"/>
    <n v="10775.49"/>
    <n v="13544.85"/>
    <n v="0.55693505929604603"/>
  </r>
  <r>
    <s v="ORD-2024-446030"/>
    <n v="1"/>
    <x v="362"/>
    <n v="202403"/>
    <n v="202302"/>
    <n v="202302"/>
    <n v="13"/>
    <s v="Mar-2024"/>
    <x v="9"/>
    <x v="1"/>
    <n v="3"/>
    <d v="2024-03-26T00:00:00"/>
    <d v="2024-03-26T00:00:00"/>
    <x v="1"/>
    <x v="4"/>
    <s v="Null"/>
    <s v="Education"/>
    <x v="4"/>
    <x v="3"/>
    <x v="3"/>
    <s v="PHN-4346"/>
    <n v="382.21"/>
    <n v="571.89"/>
    <n v="815.10700000000008"/>
    <n v="1620.05"/>
    <s v="High"/>
    <n v="0.14799999999999999"/>
    <n v="0"/>
    <n v="26"/>
    <n v="14869.14"/>
    <n v="9937.4599999999991"/>
    <n v="4931.68"/>
    <n v="0.33167217471891453"/>
  </r>
  <r>
    <s v="ORD-2023-842820"/>
    <n v="1"/>
    <x v="363"/>
    <n v="202309"/>
    <n v="202302"/>
    <n v="202302"/>
    <n v="7"/>
    <s v="Sept-2023"/>
    <x v="1"/>
    <x v="0"/>
    <n v="8"/>
    <d v="2023-09-28T00:00:00"/>
    <d v="2023-09-28T00:00:00"/>
    <x v="1"/>
    <x v="4"/>
    <s v="Bengaluru"/>
    <s v="Corporate"/>
    <x v="1"/>
    <x v="5"/>
    <x v="6"/>
    <s v="ACC-1375"/>
    <n v="1362.06"/>
    <n v="3398.37"/>
    <n v="815.10700000000008"/>
    <n v="1620.05"/>
    <s v="Low"/>
    <n v="0.157"/>
    <n v="0"/>
    <n v="11"/>
    <n v="37382.07"/>
    <n v="14982.66"/>
    <n v="22399.41"/>
    <n v="0.59920197035637679"/>
  </r>
  <r>
    <s v="ORD-2024-745424"/>
    <m/>
    <x v="364"/>
    <d v="2454-03-03T00:00:00"/>
    <d v="2453-11-16T00:00:00"/>
    <d v="2453-11-16T00:00:00"/>
    <d v="1900-01-18T00:00:00"/>
    <s v="Aug-2024"/>
    <x v="11"/>
    <x v="0"/>
    <d v="1900-01-12T00:00:00"/>
    <d v="2024-09-04T00:00:00"/>
    <d v="2024-09-04T00:00:00"/>
    <x v="3"/>
    <x v="6"/>
    <s v="Frankfurt"/>
    <s v="Non-Profit"/>
    <x v="0"/>
    <x v="4"/>
    <x v="1"/>
    <s v="PRN-4892"/>
    <n v="90.04"/>
    <n v="194.62"/>
    <n v="815.10700000000008"/>
    <n v="1620.05"/>
    <m/>
    <n v="4.2999999999999997E-2"/>
    <n v="0"/>
    <n v="32"/>
    <n v="6227.84"/>
    <n v="2881.28"/>
    <n v="3346.56"/>
    <n v="0.53735484533963618"/>
  </r>
  <r>
    <s v="ORD-2024-510520"/>
    <n v="1"/>
    <x v="365"/>
    <n v="202409"/>
    <n v="202301"/>
    <n v="202301"/>
    <n v="20"/>
    <s v="Sept-2024"/>
    <x v="10"/>
    <x v="0"/>
    <n v="8"/>
    <d v="2024-10-03T00:00:00"/>
    <d v="2024-10-03T00:00:00"/>
    <x v="2"/>
    <x v="3"/>
    <s v="Toronto"/>
    <s v="Consumer"/>
    <x v="1"/>
    <x v="6"/>
    <x v="1"/>
    <s v="PRN-9557"/>
    <n v="558.19000000000005"/>
    <n v="1031.6400000000001"/>
    <n v="815.10700000000008"/>
    <n v="1620.05"/>
    <s v="Low"/>
    <n v="0"/>
    <n v="0"/>
    <n v="21"/>
    <n v="21664.440000000002"/>
    <n v="11721.990000000002"/>
    <n v="9942.4500000000007"/>
    <n v="0.45892947152107322"/>
  </r>
  <r>
    <s v="ORD-2023-769774"/>
    <n v="1"/>
    <x v="366"/>
    <n v="202306"/>
    <n v="202301"/>
    <n v="202301"/>
    <n v="5"/>
    <s v="Jun-2023"/>
    <x v="10"/>
    <x v="0"/>
    <n v="11"/>
    <d v="2023-06-24T00:00:00"/>
    <d v="2023-06-24T00:00:00"/>
    <x v="2"/>
    <x v="3"/>
    <s v="Toronto"/>
    <s v="Corporate"/>
    <x v="1"/>
    <x v="0"/>
    <x v="1"/>
    <s v="PRN-8008"/>
    <n v="247.07"/>
    <n v="495.19"/>
    <n v="815.10700000000008"/>
    <n v="1620.05"/>
    <s v="Medium"/>
    <n v="2.8000000000000001E-2"/>
    <n v="0"/>
    <n v="4"/>
    <n v="1980.76"/>
    <n v="988.28"/>
    <n v="992.48"/>
    <n v="0.50106019911549105"/>
  </r>
  <r>
    <s v="ORD-2023-580751"/>
    <m/>
    <x v="239"/>
    <d v="2453-11-27T00:00:00"/>
    <d v="2453-11-18T00:00:00"/>
    <d v="2453-11-18T00:00:00"/>
    <d v="1900-01-08T00:00:00"/>
    <s v="Dec-2023"/>
    <x v="9"/>
    <x v="0"/>
    <d v="1900-01-19T00:00:00"/>
    <d v="2024-01-13T00:00:00"/>
    <d v="2024-01-13T00:00:00"/>
    <x v="1"/>
    <x v="2"/>
    <s v="Nagoya"/>
    <s v="Education"/>
    <x v="4"/>
    <x v="5"/>
    <x v="4"/>
    <s v="LAP-1946"/>
    <n v="625.37"/>
    <n v="1319.04"/>
    <n v="815.10700000000008"/>
    <n v="1620.05"/>
    <m/>
    <n v="7.3999999999999996E-2"/>
    <n v="0"/>
    <n v="8"/>
    <n v="10552.32"/>
    <n v="5002.96"/>
    <n v="5549.36"/>
    <n v="0.52589004124211547"/>
  </r>
  <r>
    <s v="ORD-2025-473192"/>
    <m/>
    <x v="257"/>
    <d v="2454-06-06T00:00:00"/>
    <d v="2453-11-16T00:00:00"/>
    <d v="2453-11-16T00:00:00"/>
    <d v="1900-01-25T00:00:00"/>
    <s v="Mar-2025"/>
    <x v="5"/>
    <x v="0"/>
    <d v="1900-01-29T00:00:00"/>
    <d v="2025-04-29T00:00:00"/>
    <d v="2025-04-29T00:00:00"/>
    <x v="0"/>
    <x v="11"/>
    <s v="Durban"/>
    <s v="Consumer"/>
    <x v="2"/>
    <x v="1"/>
    <x v="5"/>
    <s v="MON-7106"/>
    <n v="194.6"/>
    <n v="314.87"/>
    <n v="815.10700000000008"/>
    <n v="1620.05"/>
    <m/>
    <n v="0.29299999999999998"/>
    <n v="1"/>
    <n v="25"/>
    <n v="7871.75"/>
    <n v="4865"/>
    <n v="3006.75"/>
    <n v="0.38196716105059231"/>
  </r>
  <r>
    <s v="ORD-2024-886939"/>
    <n v="1"/>
    <x v="367"/>
    <n v="202406"/>
    <n v="202301"/>
    <n v="202301"/>
    <n v="17"/>
    <s v="Jun-2024"/>
    <x v="4"/>
    <x v="0"/>
    <n v="21"/>
    <d v="2024-06-24T00:00:00"/>
    <d v="2024-06-24T00:00:00"/>
    <x v="2"/>
    <x v="3"/>
    <s v="Toronto"/>
    <s v="Small Business"/>
    <x v="4"/>
    <x v="3"/>
    <x v="5"/>
    <s v="MON-5386"/>
    <n v="1205.5"/>
    <n v="2210.17"/>
    <n v="815.10700000000008"/>
    <n v="1620.05"/>
    <s v="Low"/>
    <n v="0.104"/>
    <n v="0"/>
    <n v="23"/>
    <n v="50833.91"/>
    <n v="27726.5"/>
    <n v="23107.410000000003"/>
    <n v="0.45456684327449931"/>
  </r>
  <r>
    <s v="ORD-2024-566589"/>
    <n v="1"/>
    <x v="368"/>
    <n v="202406"/>
    <n v="202301"/>
    <n v="202301"/>
    <n v="17"/>
    <s v="Jun-2024"/>
    <x v="6"/>
    <x v="0"/>
    <n v="28"/>
    <d v="2024-07-09T00:00:00"/>
    <d v="2024-07-09T00:00:00"/>
    <x v="0"/>
    <x v="1"/>
    <s v="Port Harcourt"/>
    <s v="Corporate"/>
    <x v="2"/>
    <x v="2"/>
    <x v="3"/>
    <s v="PHN-2436"/>
    <n v="895.54"/>
    <n v="1045"/>
    <n v="815.10700000000008"/>
    <n v="1620.05"/>
    <s v="High"/>
    <n v="0.216"/>
    <n v="1"/>
    <n v="15"/>
    <n v="15675"/>
    <n v="13433.099999999999"/>
    <n v="2241.9000000000015"/>
    <n v="0.14302392344497616"/>
  </r>
  <r>
    <s v="ORD-2023-109927"/>
    <n v="1"/>
    <x v="369"/>
    <n v="202307"/>
    <n v="202302"/>
    <n v="202302"/>
    <n v="5"/>
    <s v="Jul-2023"/>
    <x v="6"/>
    <x v="1"/>
    <n v="0"/>
    <d v="2023-07-22T00:00:00"/>
    <d v="2023-07-21T00:00:00"/>
    <x v="1"/>
    <x v="4"/>
    <s v="Delhi"/>
    <s v="Small Business"/>
    <x v="3"/>
    <x v="6"/>
    <x v="1"/>
    <s v="PRN-2301"/>
    <n v="946.99"/>
    <n v="2132.19"/>
    <n v="815.10700000000008"/>
    <n v="1620.05"/>
    <s v="Medium"/>
    <n v="0.16500000000000001"/>
    <n v="0"/>
    <n v="7"/>
    <n v="14925.33"/>
    <n v="6628.93"/>
    <n v="8296.4"/>
    <n v="0.55586040643657453"/>
  </r>
  <r>
    <s v="ORD-2023-780206"/>
    <n v="1"/>
    <x v="370"/>
    <n v="202301"/>
    <n v="202301"/>
    <n v="202301"/>
    <n v="0"/>
    <s v="Jan-2023"/>
    <x v="11"/>
    <x v="0"/>
    <n v="15"/>
    <d v="2023-02-03T00:00:00"/>
    <d v="2023-02-03T00:00:00"/>
    <x v="3"/>
    <x v="8"/>
    <s v="London"/>
    <s v="Enterprise"/>
    <x v="3"/>
    <x v="3"/>
    <x v="6"/>
    <s v="ACC-3645"/>
    <n v="873.06"/>
    <n v="2101.5500000000002"/>
    <n v="815.10700000000008"/>
    <n v="1620.05"/>
    <s v="High"/>
    <n v="6.6000000000000003E-2"/>
    <n v="0"/>
    <n v="10"/>
    <n v="21015.5"/>
    <n v="8730.5999999999985"/>
    <n v="12284.900000000001"/>
    <n v="0.58456377435702223"/>
  </r>
  <r>
    <s v="ORD-2024-851993"/>
    <n v="1"/>
    <x v="371"/>
    <n v="202405"/>
    <n v="202302"/>
    <n v="202302"/>
    <n v="15"/>
    <s v="May-2024"/>
    <x v="3"/>
    <x v="0"/>
    <n v="15"/>
    <d v="2024-05-16T00:00:00"/>
    <d v="2024-05-16T00:00:00"/>
    <x v="1"/>
    <x v="4"/>
    <s v="Null"/>
    <s v="Small Business"/>
    <x v="0"/>
    <x v="4"/>
    <x v="0"/>
    <s v="CMP-6811"/>
    <n v="901.19"/>
    <n v="2125.44"/>
    <n v="815.10700000000008"/>
    <n v="1620.05"/>
    <s v="High"/>
    <n v="7.0999999999999994E-2"/>
    <n v="0"/>
    <n v="12"/>
    <n v="25505.279999999999"/>
    <n v="10814.28"/>
    <n v="14690.999999999998"/>
    <n v="0.57599838151159288"/>
  </r>
  <r>
    <s v="ORD-2025-417942"/>
    <m/>
    <x v="56"/>
    <d v="2454-06-09T00:00:00"/>
    <d v="2453-11-18T00:00:00"/>
    <d v="2453-11-18T00:00:00"/>
    <d v="1900-01-26T00:00:00"/>
    <s v="Jun-2025"/>
    <x v="6"/>
    <x v="0"/>
    <d v="1900-01-14T00:00:00"/>
    <d v="2025-06-24T00:00:00"/>
    <d v="2025-06-24T00:00:00"/>
    <x v="1"/>
    <x v="2"/>
    <s v="Nagoya"/>
    <s v="Corporate"/>
    <x v="4"/>
    <x v="5"/>
    <x v="3"/>
    <s v="PHN-5675"/>
    <n v="400.39"/>
    <n v="712.75"/>
    <n v="815.10700000000008"/>
    <n v="1620.05"/>
    <m/>
    <n v="0.115"/>
    <n v="0"/>
    <n v="19"/>
    <n v="13542.25"/>
    <n v="7607.41"/>
    <n v="5934.84"/>
    <n v="0.43824622939319541"/>
  </r>
  <r>
    <s v="ORD-2023-172095"/>
    <m/>
    <x v="372"/>
    <d v="2453-11-20T00:00:00"/>
    <d v="2453-11-16T00:00:00"/>
    <d v="2453-11-16T00:00:00"/>
    <d v="1900-01-03T00:00:00"/>
    <s v="May-2023"/>
    <x v="7"/>
    <x v="0"/>
    <d v="1900-01-27T00:00:00"/>
    <d v="2023-06-21T00:00:00"/>
    <d v="2023-06-21T00:00:00"/>
    <x v="2"/>
    <x v="10"/>
    <s v="Austin"/>
    <s v="Small Business"/>
    <x v="2"/>
    <x v="3"/>
    <x v="5"/>
    <s v="MON-6882"/>
    <n v="813.97"/>
    <n v="1568.83"/>
    <n v="815.10700000000008"/>
    <n v="1620.05"/>
    <m/>
    <n v="1.7000000000000001E-2"/>
    <n v="0"/>
    <n v="15"/>
    <n v="23532.449999999997"/>
    <n v="12209.550000000001"/>
    <n v="11322.899999999996"/>
    <n v="0.48116112007037082"/>
  </r>
  <r>
    <s v="ORD-2024-257550"/>
    <n v="1"/>
    <x v="6"/>
    <n v="202412"/>
    <n v="202301"/>
    <n v="202301"/>
    <n v="23"/>
    <s v="Dec-2024"/>
    <x v="9"/>
    <x v="1"/>
    <n v="2"/>
    <d v="2024-12-29T00:00:00"/>
    <d v="2024-12-29T00:00:00"/>
    <x v="2"/>
    <x v="3"/>
    <s v="Vancouver"/>
    <s v="Enterprise"/>
    <x v="2"/>
    <x v="0"/>
    <x v="6"/>
    <s v="ACC-8620"/>
    <n v="1146.72"/>
    <n v="2074.34"/>
    <n v="815.10700000000008"/>
    <n v="1620.05"/>
    <s v="Medium"/>
    <n v="0.111"/>
    <n v="0"/>
    <n v="8"/>
    <n v="16594.72"/>
    <n v="9173.76"/>
    <n v="7420.9600000000009"/>
    <n v="0.44718802125013257"/>
  </r>
  <r>
    <s v="ORD-2023-581799"/>
    <n v="1"/>
    <x v="373"/>
    <n v="202312"/>
    <n v="202301"/>
    <n v="202301"/>
    <n v="11"/>
    <s v="Dec-2023"/>
    <x v="2"/>
    <x v="1"/>
    <n v="7"/>
    <d v="2023-12-12T00:00:00"/>
    <d v="2023-12-12T00:00:00"/>
    <x v="2"/>
    <x v="5"/>
    <s v="Brasília"/>
    <s v="Corporate"/>
    <x v="4"/>
    <x v="9"/>
    <x v="3"/>
    <s v="PHN-6506"/>
    <n v="307.43"/>
    <n v="495.19"/>
    <n v="815.10700000000008"/>
    <n v="1620.05"/>
    <s v="High"/>
    <n v="0"/>
    <n v="0"/>
    <n v="42"/>
    <n v="20797.98"/>
    <n v="12912.06"/>
    <n v="7885.92"/>
    <n v="0.37916759223732305"/>
  </r>
  <r>
    <s v="ORD-2023-880296"/>
    <n v="1"/>
    <x v="129"/>
    <n v="202305"/>
    <n v="202301"/>
    <n v="202301"/>
    <n v="4"/>
    <s v="May-2023"/>
    <x v="5"/>
    <x v="0"/>
    <n v="17"/>
    <d v="2023-05-19T00:00:00"/>
    <d v="2023-05-19T00:00:00"/>
    <x v="1"/>
    <x v="9"/>
    <s v="Shanghai"/>
    <s v="Non-Profit"/>
    <x v="4"/>
    <x v="1"/>
    <x v="5"/>
    <s v="MON-5086"/>
    <n v="714.28"/>
    <n v="757.59"/>
    <n v="815.10700000000008"/>
    <n v="1620.05"/>
    <s v="Low"/>
    <n v="0.13600000000000001"/>
    <n v="0"/>
    <n v="12"/>
    <n v="9091.08"/>
    <n v="8571.36"/>
    <n v="519.71999999999935"/>
    <n v="5.7168125239245429E-2"/>
  </r>
  <r>
    <s v="ORD-2023-191563"/>
    <m/>
    <x v="134"/>
    <d v="2453-11-26T00:00:00"/>
    <d v="2453-11-16T00:00:00"/>
    <d v="2453-11-16T00:00:00"/>
    <d v="1900-01-09T00:00:00"/>
    <s v="Nov-2023"/>
    <x v="9"/>
    <x v="0"/>
    <d v="1900-01-09T00:00:00"/>
    <d v="2023-12-10T00:00:00"/>
    <d v="2023-12-10T00:00:00"/>
    <x v="3"/>
    <x v="6"/>
    <s v="Munich"/>
    <s v="Small Business"/>
    <x v="4"/>
    <x v="9"/>
    <x v="4"/>
    <s v="LAP-4899"/>
    <n v="174.74"/>
    <n v="415.96"/>
    <n v="815.10700000000008"/>
    <n v="1620.05"/>
    <m/>
    <n v="0.125"/>
    <n v="0"/>
    <n v="21"/>
    <n v="8735.16"/>
    <n v="3669.54"/>
    <n v="5065.62"/>
    <n v="0.57991152995480333"/>
  </r>
  <r>
    <s v="ORD-2024-202166"/>
    <m/>
    <x v="374"/>
    <d v="2454-02-28T00:00:00"/>
    <d v="2453-11-16T00:00:00"/>
    <d v="2453-11-16T00:00:00"/>
    <d v="1900-01-15T00:00:00"/>
    <s v="May-2024"/>
    <x v="5"/>
    <x v="0"/>
    <d v="1900-01-12T00:00:00"/>
    <d v="2024-05-18T00:00:00"/>
    <d v="2024-05-18T00:00:00"/>
    <x v="3"/>
    <x v="7"/>
    <s v="Marseille"/>
    <s v="Corporate"/>
    <x v="2"/>
    <x v="8"/>
    <x v="0"/>
    <s v="CMP-3313"/>
    <n v="1264.04"/>
    <n v="1870.89"/>
    <n v="815.10700000000008"/>
    <n v="1620.05"/>
    <m/>
    <n v="0"/>
    <n v="0"/>
    <n v="13"/>
    <n v="24321.57"/>
    <n v="16432.52"/>
    <n v="7889.0499999999993"/>
    <n v="0.32436433996653996"/>
  </r>
  <r>
    <s v="ORD-2023-539967"/>
    <m/>
    <x v="375"/>
    <d v="2453-11-22T00:00:00"/>
    <d v="2453-11-18T00:00:00"/>
    <d v="2453-11-18T00:00:00"/>
    <d v="1900-01-03T00:00:00"/>
    <s v="Jul-2023"/>
    <x v="6"/>
    <x v="0"/>
    <d v="1900-01-09T00:00:00"/>
    <d v="2023-07-19T00:00:00"/>
    <d v="2023-07-19T00:00:00"/>
    <x v="1"/>
    <x v="2"/>
    <s v="Tokyo"/>
    <s v="Enterprise"/>
    <x v="3"/>
    <x v="13"/>
    <x v="0"/>
    <s v="CMP-6649"/>
    <n v="141.26"/>
    <n v="206.88"/>
    <n v="815.10700000000008"/>
    <n v="1620.05"/>
    <m/>
    <n v="0.107"/>
    <n v="0"/>
    <n v="9"/>
    <n v="1861.92"/>
    <n v="1271.3399999999999"/>
    <n v="590.58000000000015"/>
    <n v="0.31718870843000779"/>
  </r>
  <r>
    <s v="ORD-2023-704111"/>
    <m/>
    <x v="361"/>
    <d v="2453-11-20T00:00:00"/>
    <d v="2453-11-16T00:00:00"/>
    <d v="2453-11-16T00:00:00"/>
    <d v="1900-01-03T00:00:00"/>
    <s v="May-2023"/>
    <x v="11"/>
    <x v="0"/>
    <d v="1900-01-28T00:00:00"/>
    <d v="2023-06-15T00:00:00"/>
    <d v="2023-06-15T00:00:00"/>
    <x v="0"/>
    <x v="11"/>
    <s v="Durban"/>
    <s v="Enterprise"/>
    <x v="0"/>
    <x v="11"/>
    <x v="6"/>
    <s v="ACC-5206"/>
    <n v="40.89"/>
    <n v="62.82"/>
    <n v="815.10700000000008"/>
    <n v="1620.05"/>
    <m/>
    <n v="0.129"/>
    <n v="0"/>
    <n v="17"/>
    <n v="1067.94"/>
    <n v="695.13"/>
    <n v="372.81000000000006"/>
    <n v="0.3490926456542503"/>
  </r>
  <r>
    <s v="ORD-2024-356812"/>
    <m/>
    <x v="34"/>
    <d v="2454-02-26T00:00:00"/>
    <d v="2453-11-16T00:00:00"/>
    <d v="2453-11-16T00:00:00"/>
    <d v="1900-01-13T00:00:00"/>
    <s v="Mar-2024"/>
    <x v="9"/>
    <x v="0"/>
    <d v="1900-01-26T00:00:00"/>
    <d v="2024-04-03T00:00:00"/>
    <d v="2024-04-03T00:00:00"/>
    <x v="3"/>
    <x v="6"/>
    <s v="Frankfurt"/>
    <s v="Corporate"/>
    <x v="4"/>
    <x v="12"/>
    <x v="1"/>
    <s v="PRN-6911"/>
    <n v="738.16"/>
    <n v="956.49"/>
    <n v="815.10700000000008"/>
    <n v="1620.05"/>
    <m/>
    <n v="0.152"/>
    <n v="0"/>
    <n v="5"/>
    <n v="4782.45"/>
    <n v="3690.7999999999997"/>
    <n v="1091.6500000000001"/>
    <n v="0.22826166504615839"/>
  </r>
  <r>
    <s v="ORD-2025-306251"/>
    <m/>
    <x v="376"/>
    <d v="2454-06-07T00:00:00"/>
    <d v="2453-11-16T00:00:00"/>
    <d v="2453-11-16T00:00:00"/>
    <d v="1900-01-26T00:00:00"/>
    <s v="Apr-2025"/>
    <x v="1"/>
    <x v="0"/>
    <d v="1900-01-08T00:00:00"/>
    <d v="2025-04-19T00:00:00"/>
    <d v="2025-04-19T00:00:00"/>
    <x v="0"/>
    <x v="11"/>
    <s v="Durban"/>
    <s v="Enterprise"/>
    <x v="1"/>
    <x v="3"/>
    <x v="2"/>
    <s v="NET-5270"/>
    <n v="113.74"/>
    <n v="165.7"/>
    <n v="815.10700000000008"/>
    <n v="1620.05"/>
    <m/>
    <n v="0.124"/>
    <n v="0"/>
    <n v="13"/>
    <n v="2154.1"/>
    <n v="1478.62"/>
    <n v="675.48"/>
    <n v="0.31357875678937841"/>
  </r>
  <r>
    <s v="ORD-2025-496178"/>
    <m/>
    <x v="377"/>
    <d v="2454-06-10T00:00:00"/>
    <d v="2453-11-18T00:00:00"/>
    <d v="2453-11-18T00:00:00"/>
    <d v="1900-01-27T00:00:00"/>
    <s v="Jul-2025"/>
    <x v="7"/>
    <x v="0"/>
    <d v="1900-01-18T00:00:00"/>
    <d v="2025-08-15T00:00:00"/>
    <d v="2025-08-15T00:00:00"/>
    <x v="1"/>
    <x v="2"/>
    <s v="Tokyo"/>
    <s v="Small Business"/>
    <x v="2"/>
    <x v="1"/>
    <x v="0"/>
    <s v="CMP-5658"/>
    <n v="275.43"/>
    <n v="608.36"/>
    <n v="815.10700000000008"/>
    <n v="1620.05"/>
    <m/>
    <n v="0.25700000000000001"/>
    <n v="1"/>
    <n v="4"/>
    <n v="2433.44"/>
    <n v="1101.72"/>
    <n v="1331.72"/>
    <n v="0.54725820238016964"/>
  </r>
  <r>
    <s v="ORD-2024-508213"/>
    <m/>
    <x v="378"/>
    <d v="2454-03-06T00:00:00"/>
    <d v="2453-11-16T00:00:00"/>
    <d v="2453-11-16T00:00:00"/>
    <d v="1900-01-21T00:00:00"/>
    <s v="Nov-2024"/>
    <x v="8"/>
    <x v="0"/>
    <d v="1900-01-22T00:00:00"/>
    <d v="2024-12-15T00:00:00"/>
    <d v="2024-12-15T00:00:00"/>
    <x v="0"/>
    <x v="0"/>
    <s v="Mombasa"/>
    <s v="Non-Profit"/>
    <x v="3"/>
    <x v="0"/>
    <x v="0"/>
    <s v="CMP-3938"/>
    <n v="1335.76"/>
    <n v="2665.91"/>
    <n v="815.10700000000008"/>
    <n v="1620.05"/>
    <m/>
    <n v="0.21099999999999999"/>
    <n v="1"/>
    <n v="40"/>
    <n v="106636.4"/>
    <n v="53430.400000000001"/>
    <n v="53205.999999999993"/>
    <n v="0.49894782644575392"/>
  </r>
  <r>
    <s v="ORD-2024-787018"/>
    <n v="1"/>
    <x v="303"/>
    <n v="202406"/>
    <n v="202301"/>
    <n v="202301"/>
    <n v="17"/>
    <s v="Jun-2024"/>
    <x v="2"/>
    <x v="1"/>
    <n v="5"/>
    <d v="2024-06-28T00:00:00"/>
    <d v="2024-06-28T00:00:00"/>
    <x v="0"/>
    <x v="1"/>
    <s v="Port Harcourt"/>
    <s v="Non-Profit"/>
    <x v="4"/>
    <x v="12"/>
    <x v="6"/>
    <s v="ACC-7671"/>
    <n v="242.31"/>
    <n v="587.95000000000005"/>
    <n v="815.10700000000008"/>
    <n v="1620.05"/>
    <s v="High"/>
    <n v="0.22900000000000001"/>
    <n v="1"/>
    <n v="6"/>
    <n v="3527.7000000000003"/>
    <n v="1453.8600000000001"/>
    <n v="2073.84"/>
    <n v="0.58787311846245427"/>
  </r>
  <r>
    <s v="ORD-2023-728177"/>
    <n v="1"/>
    <x v="379"/>
    <n v="202312"/>
    <n v="202302"/>
    <n v="202302"/>
    <n v="10"/>
    <s v="Dec-2023"/>
    <x v="6"/>
    <x v="0"/>
    <n v="27"/>
    <d v="2024-01-14T00:00:00"/>
    <d v="2024-01-14T00:00:00"/>
    <x v="1"/>
    <x v="4"/>
    <s v="Mumbai"/>
    <s v="Consumer"/>
    <x v="3"/>
    <x v="14"/>
    <x v="2"/>
    <s v="NET-6014"/>
    <n v="1408.3"/>
    <n v="2193.13"/>
    <n v="815.10700000000008"/>
    <n v="1620.05"/>
    <s v="Low"/>
    <n v="7.0999999999999994E-2"/>
    <n v="0"/>
    <n v="7"/>
    <n v="15351.91"/>
    <n v="9858.1"/>
    <n v="5493.8099999999995"/>
    <n v="0.35785840328662682"/>
  </r>
  <r>
    <s v="ORD-2025-795385"/>
    <m/>
    <x v="261"/>
    <d v="2454-06-09T00:00:00"/>
    <d v="2453-11-16T00:00:00"/>
    <d v="2453-11-16T00:00:00"/>
    <d v="1900-01-28T00:00:00"/>
    <s v="Jun-2025"/>
    <x v="5"/>
    <x v="1"/>
    <d v="1900-01-03T00:00:00"/>
    <d v="2025-06-05T00:00:00"/>
    <d v="2025-06-05T00:00:00"/>
    <x v="3"/>
    <x v="6"/>
    <s v="Munich"/>
    <s v="Enterprise"/>
    <x v="4"/>
    <x v="12"/>
    <x v="0"/>
    <s v="CMP-4159"/>
    <n v="1171.42"/>
    <n v="2187.8000000000002"/>
    <n v="815.10700000000008"/>
    <n v="1620.05"/>
    <m/>
    <n v="0.23"/>
    <n v="1"/>
    <n v="15"/>
    <n v="32817"/>
    <n v="17571.300000000003"/>
    <n v="15245.699999999997"/>
    <n v="0.46456714507724645"/>
  </r>
  <r>
    <s v="ORD-2025-947929"/>
    <m/>
    <x v="380"/>
    <d v="2454-06-06T00:00:00"/>
    <d v="2453-11-16T00:00:00"/>
    <d v="2453-11-16T00:00:00"/>
    <d v="1900-01-25T00:00:00"/>
    <s v="Mar-2025"/>
    <x v="7"/>
    <x v="0"/>
    <d v="1900-01-09T00:00:00"/>
    <d v="2025-04-02T00:00:00"/>
    <d v="2025-04-02T00:00:00"/>
    <x v="3"/>
    <x v="6"/>
    <s v="Berlin"/>
    <s v="Enterprise"/>
    <x v="1"/>
    <x v="6"/>
    <x v="1"/>
    <s v="PRN-3159"/>
    <n v="663.61"/>
    <n v="1002.11"/>
    <n v="815.10700000000008"/>
    <n v="1620.05"/>
    <m/>
    <n v="4.5999999999999999E-2"/>
    <n v="0"/>
    <n v="17"/>
    <n v="17035.87"/>
    <n v="11281.37"/>
    <n v="5754.4999999999982"/>
    <n v="0.33778726886269961"/>
  </r>
  <r>
    <s v="ORD-2023-931633"/>
    <m/>
    <x v="381"/>
    <d v="2453-11-20T00:00:00"/>
    <d v="2453-11-16T00:00:00"/>
    <d v="2453-11-16T00:00:00"/>
    <d v="1900-01-03T00:00:00"/>
    <s v="May-2023"/>
    <x v="4"/>
    <x v="0"/>
    <d v="1900-01-07T00:00:00"/>
    <d v="2023-05-22T00:00:00"/>
    <d v="2023-05-22T00:00:00"/>
    <x v="0"/>
    <x v="0"/>
    <s v="Mombasa"/>
    <s v="Small Business"/>
    <x v="3"/>
    <x v="9"/>
    <x v="1"/>
    <s v="PRN-9488"/>
    <n v="432.01"/>
    <n v="913.78"/>
    <n v="815.10700000000008"/>
    <n v="1620.05"/>
    <m/>
    <n v="4.9000000000000002E-2"/>
    <n v="0"/>
    <n v="12"/>
    <n v="10965.36"/>
    <n v="5184.12"/>
    <n v="5781.2400000000007"/>
    <n v="0.5272275602442601"/>
  </r>
  <r>
    <s v="ORD-2023-243704"/>
    <m/>
    <x v="344"/>
    <d v="2453-11-23T00:00:00"/>
    <d v="2453-11-16T00:00:00"/>
    <d v="2453-11-16T00:00:00"/>
    <d v="1900-01-06T00:00:00"/>
    <s v="Aug-2023"/>
    <x v="9"/>
    <x v="0"/>
    <d v="1900-01-20T00:00:00"/>
    <d v="2023-09-19T00:00:00"/>
    <d v="2023-09-19T00:00:00"/>
    <x v="3"/>
    <x v="7"/>
    <s v="Lyon"/>
    <s v="Small Business"/>
    <x v="4"/>
    <x v="5"/>
    <x v="1"/>
    <s v="PRN-7079"/>
    <n v="784.46"/>
    <n v="1843.51"/>
    <n v="815.10700000000008"/>
    <n v="1620.05"/>
    <m/>
    <n v="0.13800000000000001"/>
    <n v="0"/>
    <n v="23"/>
    <n v="42400.73"/>
    <n v="18042.580000000002"/>
    <n v="24358.15"/>
    <n v="0.57447477908988831"/>
  </r>
  <r>
    <s v="ORD-2025-779659"/>
    <n v="1"/>
    <x v="349"/>
    <n v="202507"/>
    <n v="202301"/>
    <n v="202301"/>
    <n v="30"/>
    <s v="Jul-2025"/>
    <x v="11"/>
    <x v="0"/>
    <n v="20"/>
    <d v="2025-07-23T00:00:00"/>
    <d v="2025-07-23T00:00:00"/>
    <x v="1"/>
    <x v="9"/>
    <s v="Beijing"/>
    <s v="Small Business"/>
    <x v="1"/>
    <x v="12"/>
    <x v="0"/>
    <s v="CMP-1220"/>
    <n v="647.36"/>
    <n v="1383.6"/>
    <n v="815.10700000000008"/>
    <n v="1620.05"/>
    <s v="High"/>
    <n v="7.3999999999999996E-2"/>
    <n v="0"/>
    <n v="12"/>
    <n v="16603.199999999997"/>
    <n v="7768.32"/>
    <n v="8834.8799999999974"/>
    <n v="0.53211910956923958"/>
  </r>
  <r>
    <s v="ORD-2024-647571"/>
    <m/>
    <x v="382"/>
    <d v="2454-02-25T00:00:00"/>
    <d v="2453-11-16T00:00:00"/>
    <d v="2453-11-16T00:00:00"/>
    <d v="1900-01-12T00:00:00"/>
    <s v="Feb-2024"/>
    <x v="8"/>
    <x v="0"/>
    <d v="1900-01-21T00:00:00"/>
    <d v="2024-02-28T00:00:00"/>
    <d v="2024-02-28T00:00:00"/>
    <x v="0"/>
    <x v="0"/>
    <s v="Kisumu"/>
    <s v="Non-Profit"/>
    <x v="1"/>
    <x v="11"/>
    <x v="5"/>
    <s v="MON-2462"/>
    <n v="834.93"/>
    <n v="1588.53"/>
    <n v="815.10700000000008"/>
    <n v="1620.05"/>
    <m/>
    <n v="0.126"/>
    <n v="0"/>
    <n v="6"/>
    <n v="9531.18"/>
    <n v="5009.58"/>
    <n v="4521.6000000000004"/>
    <n v="0.4744008611735378"/>
  </r>
  <r>
    <s v="ORD-2025-683043"/>
    <m/>
    <x v="383"/>
    <d v="2454-06-11T00:00:00"/>
    <d v="2453-11-16T00:00:00"/>
    <d v="2453-11-16T00:00:00"/>
    <d v="1900-01-30T00:00:00"/>
    <s v="Aug-2025"/>
    <x v="1"/>
    <x v="0"/>
    <d v="1900-01-20T00:00:00"/>
    <d v="2025-09-03T00:00:00"/>
    <d v="2025-09-03T00:00:00"/>
    <x v="3"/>
    <x v="7"/>
    <s v="Paris"/>
    <s v="Education"/>
    <x v="0"/>
    <x v="2"/>
    <x v="3"/>
    <s v="PHN-9465"/>
    <n v="603.47"/>
    <n v="1344.05"/>
    <n v="815.10700000000008"/>
    <n v="1620.05"/>
    <m/>
    <n v="0.20499999999999999"/>
    <n v="1"/>
    <n v="18"/>
    <n v="24192.899999999998"/>
    <n v="10862.460000000001"/>
    <n v="13330.439999999997"/>
    <n v="0.55100628696849063"/>
  </r>
  <r>
    <s v="ORD-2023-588455"/>
    <n v="1"/>
    <x v="206"/>
    <n v="202305"/>
    <n v="202301"/>
    <n v="202301"/>
    <n v="4"/>
    <s v="May-2023"/>
    <x v="8"/>
    <x v="1"/>
    <n v="2"/>
    <d v="2023-05-25T00:00:00"/>
    <d v="2023-05-25T00:00:00"/>
    <x v="2"/>
    <x v="5"/>
    <s v="Rio de Janeiro"/>
    <s v="Enterprise"/>
    <x v="0"/>
    <x v="12"/>
    <x v="1"/>
    <s v="PRN-1271"/>
    <n v="690.49"/>
    <n v="1290.29"/>
    <n v="815.10700000000008"/>
    <n v="1620.05"/>
    <s v="Medium"/>
    <n v="4.2000000000000003E-2"/>
    <n v="0"/>
    <n v="22"/>
    <n v="28386.379999999997"/>
    <n v="15190.78"/>
    <n v="13195.599999999997"/>
    <n v="0.46485673763262514"/>
  </r>
  <r>
    <s v="ORD-2024-641220"/>
    <n v="1"/>
    <x v="384"/>
    <n v="202405"/>
    <n v="202301"/>
    <n v="202301"/>
    <n v="16"/>
    <s v="May-2024"/>
    <x v="9"/>
    <x v="1"/>
    <n v="6"/>
    <d v="2024-05-16T00:00:00"/>
    <d v="2024-05-16T00:00:00"/>
    <x v="3"/>
    <x v="8"/>
    <s v="Birmingham"/>
    <s v="Non-Profit"/>
    <x v="4"/>
    <x v="3"/>
    <x v="4"/>
    <s v="LAP-1066"/>
    <n v="210.76"/>
    <n v="221.58"/>
    <n v="815.10700000000008"/>
    <n v="1620.05"/>
    <s v="Medium"/>
    <n v="8.8999999999999996E-2"/>
    <n v="0"/>
    <n v="5"/>
    <n v="1107.9000000000001"/>
    <n v="1053.8"/>
    <n v="54.100000000000136"/>
    <n v="4.8831121942413694E-2"/>
  </r>
  <r>
    <s v="ORD-2023-799597"/>
    <m/>
    <x v="210"/>
    <d v="2453-11-18T00:00:00"/>
    <d v="2453-11-16T00:00:00"/>
    <d v="2453-11-16T00:00:00"/>
    <d v="1900-01-01T00:00:00"/>
    <s v="Mar-2023"/>
    <x v="6"/>
    <x v="1"/>
    <d v="1900-01-03T00:00:00"/>
    <d v="2023-03-18T00:00:00"/>
    <d v="2023-03-18T00:00:00"/>
    <x v="3"/>
    <x v="6"/>
    <s v="Frankfurt"/>
    <s v="Enterprise"/>
    <x v="4"/>
    <x v="8"/>
    <x v="0"/>
    <s v="CMP-8675"/>
    <n v="472.33"/>
    <n v="360.34"/>
    <n v="815.10700000000008"/>
    <n v="1620.05"/>
    <m/>
    <n v="0.16500000000000001"/>
    <n v="0"/>
    <n v="14"/>
    <n v="5044.7599999999993"/>
    <n v="6612.62"/>
    <n v="-1567.8600000000006"/>
    <n v="-0.31078980962424391"/>
  </r>
  <r>
    <s v="ORD-2023-569862"/>
    <n v="1"/>
    <x v="385"/>
    <n v="202307"/>
    <n v="202301"/>
    <n v="202301"/>
    <n v="6"/>
    <s v="Jul-2023"/>
    <x v="3"/>
    <x v="0"/>
    <n v="28"/>
    <d v="2023-08-13T00:00:00"/>
    <d v="2023-08-13T00:00:00"/>
    <x v="3"/>
    <x v="8"/>
    <s v="Manchester"/>
    <s v="Non-Profit"/>
    <x v="1"/>
    <x v="1"/>
    <x v="4"/>
    <s v="LAP-1178"/>
    <n v="1039.03"/>
    <n v="2545.81"/>
    <n v="815.10700000000008"/>
    <n v="1620.05"/>
    <s v="Low"/>
    <n v="0.216"/>
    <n v="1"/>
    <n v="21"/>
    <n v="53462.01"/>
    <n v="21819.63"/>
    <n v="31642.38"/>
    <n v="0.59186663576621978"/>
  </r>
  <r>
    <s v="ORD-2023-609394"/>
    <m/>
    <x v="386"/>
    <d v="2453-11-19T00:00:00"/>
    <d v="2453-11-16T00:00:00"/>
    <d v="2453-11-16T00:00:00"/>
    <d v="1900-01-02T00:00:00"/>
    <s v="Apr-2023"/>
    <x v="11"/>
    <x v="1"/>
    <d v="1900-01-02T00:00:00"/>
    <d v="2023-04-19T00:00:00"/>
    <d v="2023-04-19T00:00:00"/>
    <x v="3"/>
    <x v="6"/>
    <s v="Munich"/>
    <s v="Corporate"/>
    <x v="4"/>
    <x v="5"/>
    <x v="6"/>
    <s v="ACC-1731"/>
    <n v="553.61"/>
    <n v="699.47"/>
    <n v="815.10700000000008"/>
    <n v="1620.05"/>
    <m/>
    <n v="0.02"/>
    <n v="0"/>
    <n v="33"/>
    <n v="23082.510000000002"/>
    <n v="18269.13"/>
    <n v="4813.380000000001"/>
    <n v="0.20852931505282574"/>
  </r>
  <r>
    <s v="ORD-2024-105586"/>
    <m/>
    <x v="278"/>
    <d v="2454-02-24T00:00:00"/>
    <d v="2453-11-18T00:00:00"/>
    <d v="2453-11-18T00:00:00"/>
    <d v="1900-01-09T00:00:00"/>
    <s v="Jan-2024"/>
    <x v="9"/>
    <x v="0"/>
    <d v="1900-01-12T00:00:00"/>
    <d v="2024-01-15T00:00:00"/>
    <d v="2024-01-15T00:00:00"/>
    <x v="1"/>
    <x v="2"/>
    <s v="Nagoya"/>
    <s v="Small Business"/>
    <x v="2"/>
    <x v="3"/>
    <x v="2"/>
    <s v="NET-1893"/>
    <n v="1219.06"/>
    <n v="2738.69"/>
    <n v="815.10700000000008"/>
    <n v="1620.05"/>
    <m/>
    <n v="7.5999999999999998E-2"/>
    <n v="0"/>
    <n v="16"/>
    <n v="43819.040000000001"/>
    <n v="19504.96"/>
    <n v="24314.080000000002"/>
    <n v="0.55487477589650525"/>
  </r>
  <r>
    <s v="ORD-2024-207792"/>
    <m/>
    <x v="208"/>
    <d v="2454-03-04T00:00:00"/>
    <d v="2453-11-18T00:00:00"/>
    <d v="2453-11-18T00:00:00"/>
    <d v="1900-01-17T00:00:00"/>
    <s v="Sept-2024"/>
    <x v="1"/>
    <x v="1"/>
    <d v="1900-01-03T00:00:00"/>
    <d v="2024-09-07T00:00:00"/>
    <d v="2024-09-07T00:00:00"/>
    <x v="1"/>
    <x v="2"/>
    <s v="Tokyo"/>
    <s v="Small Business"/>
    <x v="3"/>
    <x v="13"/>
    <x v="1"/>
    <s v="PRN-3917"/>
    <n v="43.23"/>
    <n v="94.78"/>
    <n v="815.10700000000008"/>
    <n v="1620.05"/>
    <m/>
    <n v="9.0999999999999998E-2"/>
    <n v="0"/>
    <n v="55"/>
    <n v="5212.8999999999996"/>
    <n v="2377.6499999999996"/>
    <n v="2835.25"/>
    <n v="0.54389111626925513"/>
  </r>
  <r>
    <s v="ORD-2025-417336"/>
    <m/>
    <x v="387"/>
    <d v="2454-06-11T00:00:00"/>
    <d v="2453-11-16T00:00:00"/>
    <d v="2453-11-16T00:00:00"/>
    <d v="1900-01-30T00:00:00"/>
    <s v="Aug-2025"/>
    <x v="10"/>
    <x v="1"/>
    <d v="1900-01-03T00:00:00"/>
    <d v="2025-09-03T00:00:00"/>
    <d v="2025-09-03T00:00:00"/>
    <x v="3"/>
    <x v="7"/>
    <s v="Marseille"/>
    <s v="Small Business"/>
    <x v="2"/>
    <x v="1"/>
    <x v="4"/>
    <s v="LAP-3220"/>
    <n v="1286.56"/>
    <n v="2777.35"/>
    <n v="815.10700000000008"/>
    <n v="1620.05"/>
    <m/>
    <n v="0.13200000000000001"/>
    <n v="0"/>
    <n v="15"/>
    <n v="41660.25"/>
    <n v="19298.399999999998"/>
    <n v="22361.850000000002"/>
    <n v="0.53676706212756775"/>
  </r>
  <r>
    <s v="ORD-2025-252117"/>
    <m/>
    <x v="86"/>
    <d v="2454-06-07T00:00:00"/>
    <d v="2453-11-16T00:00:00"/>
    <d v="2453-11-16T00:00:00"/>
    <d v="1900-01-26T00:00:00"/>
    <s v="Apr-2025"/>
    <x v="8"/>
    <x v="0"/>
    <d v="1900-01-20T00:00:00"/>
    <d v="2025-05-19T00:00:00"/>
    <d v="2025-05-19T00:00:00"/>
    <x v="3"/>
    <x v="6"/>
    <s v="Berlin"/>
    <s v="Corporate"/>
    <x v="3"/>
    <x v="5"/>
    <x v="3"/>
    <s v="PHN-2462"/>
    <n v="350.76"/>
    <n v="492.18"/>
    <n v="815.10700000000008"/>
    <n v="1620.05"/>
    <m/>
    <n v="5.2999999999999999E-2"/>
    <n v="0"/>
    <n v="11"/>
    <n v="5413.9800000000005"/>
    <n v="3858.3599999999997"/>
    <n v="1555.6200000000008"/>
    <n v="0.28733390223089128"/>
  </r>
  <r>
    <s v="ORD-2023-867175"/>
    <n v="1"/>
    <x v="388"/>
    <n v="202308"/>
    <n v="202301"/>
    <n v="202301"/>
    <n v="7"/>
    <s v="Aug-2023"/>
    <x v="7"/>
    <x v="1"/>
    <n v="5"/>
    <d v="2023-08-15T00:00:00"/>
    <d v="2023-08-15T00:00:00"/>
    <x v="2"/>
    <x v="5"/>
    <s v="São Paulo"/>
    <s v="Education"/>
    <x v="4"/>
    <x v="3"/>
    <x v="2"/>
    <s v="NET-2894"/>
    <n v="1307.52"/>
    <n v="1921.65"/>
    <n v="815.10700000000008"/>
    <n v="1620.05"/>
    <s v="Low"/>
    <n v="0.123"/>
    <n v="0"/>
    <n v="13"/>
    <n v="24981.45"/>
    <n v="16997.759999999998"/>
    <n v="7983.6900000000023"/>
    <n v="0.31958473187104841"/>
  </r>
  <r>
    <s v="ORD-2024-382152"/>
    <m/>
    <x v="389"/>
    <d v="2454-03-07T00:00:00"/>
    <d v="2453-11-16T00:00:00"/>
    <d v="2453-11-16T00:00:00"/>
    <d v="1900-01-22T00:00:00"/>
    <s v="Dec-2024"/>
    <x v="11"/>
    <x v="1"/>
    <d v="1899-12-30T00:00:00"/>
    <d v="2024-12-08T00:00:00"/>
    <d v="2024-12-08T00:00:00"/>
    <x v="3"/>
    <x v="7"/>
    <s v="Lyon"/>
    <s v="Enterprise"/>
    <x v="0"/>
    <x v="10"/>
    <x v="0"/>
    <s v="CMP-2335"/>
    <n v="257.44"/>
    <n v="290.33"/>
    <n v="815.10700000000008"/>
    <n v="1620.05"/>
    <m/>
    <n v="9.1999999999999998E-2"/>
    <n v="0"/>
    <n v="23"/>
    <n v="6677.5899999999992"/>
    <n v="5921.12"/>
    <n v="756.46999999999935"/>
    <n v="0.11328488271966375"/>
  </r>
  <r>
    <s v="ORD-2023-597666"/>
    <m/>
    <x v="390"/>
    <d v="2453-11-25T00:00:00"/>
    <d v="2453-11-16T00:00:00"/>
    <d v="2453-11-16T00:00:00"/>
    <d v="1900-01-08T00:00:00"/>
    <s v="Oct-2023"/>
    <x v="2"/>
    <x v="0"/>
    <d v="1900-01-29T00:00:00"/>
    <d v="2023-11-24T00:00:00"/>
    <d v="2023-11-24T00:00:00"/>
    <x v="3"/>
    <x v="7"/>
    <s v="Paris"/>
    <s v="Enterprise"/>
    <x v="3"/>
    <x v="0"/>
    <x v="3"/>
    <s v="PHN-5938"/>
    <n v="287.85000000000002"/>
    <n v="602.91999999999996"/>
    <n v="815.10700000000008"/>
    <n v="1620.05"/>
    <m/>
    <n v="0.222"/>
    <n v="1"/>
    <n v="11"/>
    <n v="6632.12"/>
    <n v="3166.3500000000004"/>
    <n v="3465.7699999999995"/>
    <n v="0.52257347575134339"/>
  </r>
  <r>
    <s v="ORD-2024-371409"/>
    <n v="1"/>
    <x v="391"/>
    <n v="202411"/>
    <n v="202301"/>
    <n v="202301"/>
    <n v="22"/>
    <s v="Nov-2024"/>
    <x v="5"/>
    <x v="0"/>
    <n v="11"/>
    <d v="2024-11-28T00:00:00"/>
    <d v="2024-11-28T00:00:00"/>
    <x v="2"/>
    <x v="3"/>
    <s v="Null"/>
    <s v="Consumer"/>
    <x v="3"/>
    <x v="8"/>
    <x v="1"/>
    <s v="PRN-1371"/>
    <n v="1008.16"/>
    <n v="2077.5"/>
    <n v="815.10700000000008"/>
    <n v="1620.05"/>
    <s v="Low"/>
    <n v="7.3999999999999996E-2"/>
    <n v="0"/>
    <n v="15"/>
    <n v="31162.5"/>
    <n v="15122.4"/>
    <n v="16040.1"/>
    <n v="0.51472442839951871"/>
  </r>
  <r>
    <s v="ORD-2024-973420"/>
    <n v="1"/>
    <x v="392"/>
    <n v="202405"/>
    <n v="202301"/>
    <n v="202301"/>
    <n v="16"/>
    <s v="May-2024"/>
    <x v="2"/>
    <x v="0"/>
    <n v="12"/>
    <d v="2024-05-24T00:00:00"/>
    <d v="2024-05-24T00:00:00"/>
    <x v="3"/>
    <x v="8"/>
    <s v="Manchester"/>
    <s v="Education"/>
    <x v="2"/>
    <x v="11"/>
    <x v="1"/>
    <s v="PRN-5813"/>
    <n v="111.02"/>
    <n v="172.88"/>
    <n v="815.10700000000008"/>
    <n v="1620.05"/>
    <s v="High"/>
    <n v="0.19700000000000001"/>
    <n v="0"/>
    <n v="29"/>
    <n v="5013.5199999999995"/>
    <n v="3219.58"/>
    <n v="1793.9399999999996"/>
    <n v="0.35782045349375285"/>
  </r>
  <r>
    <s v="ORD-2025-254721"/>
    <m/>
    <x v="393"/>
    <d v="2454-06-08T00:00:00"/>
    <d v="2453-11-18T00:00:00"/>
    <d v="2453-11-18T00:00:00"/>
    <d v="1900-01-25T00:00:00"/>
    <s v="May-2025"/>
    <x v="6"/>
    <x v="0"/>
    <d v="1900-01-20T00:00:00"/>
    <d v="2025-06-05T00:00:00"/>
    <d v="2025-06-05T00:00:00"/>
    <x v="1"/>
    <x v="2"/>
    <s v="Osaka"/>
    <s v="Enterprise"/>
    <x v="4"/>
    <x v="10"/>
    <x v="3"/>
    <s v="PHN-6480"/>
    <n v="1466.5"/>
    <n v="2778.74"/>
    <n v="815.10700000000008"/>
    <n v="1620.05"/>
    <m/>
    <n v="0.13500000000000001"/>
    <n v="0"/>
    <n v="4"/>
    <n v="11114.96"/>
    <n v="5866"/>
    <n v="5248.9599999999991"/>
    <n v="0.47224281508885319"/>
  </r>
  <r>
    <s v="ORD-2024-247032"/>
    <n v="1"/>
    <x v="394"/>
    <n v="202404"/>
    <n v="202301"/>
    <n v="202301"/>
    <n v="15"/>
    <s v="Apr-2024"/>
    <x v="7"/>
    <x v="0"/>
    <n v="28"/>
    <d v="2024-05-19T00:00:00"/>
    <d v="2024-05-19T00:00:00"/>
    <x v="0"/>
    <x v="1"/>
    <s v="Lagos"/>
    <s v="Corporate"/>
    <x v="3"/>
    <x v="8"/>
    <x v="6"/>
    <s v="ACC-2990"/>
    <n v="187.22"/>
    <n v="309.47000000000003"/>
    <n v="815.10700000000008"/>
    <n v="1620.05"/>
    <s v="High"/>
    <n v="0"/>
    <n v="0"/>
    <n v="5"/>
    <n v="1547.3500000000001"/>
    <n v="936.1"/>
    <n v="611.25000000000011"/>
    <n v="0.39503021294471197"/>
  </r>
  <r>
    <s v="ORD-2024-792353"/>
    <m/>
    <x v="395"/>
    <d v="2454-03-03T00:00:00"/>
    <d v="2453-11-16T00:00:00"/>
    <d v="2453-11-16T00:00:00"/>
    <d v="1900-01-18T00:00:00"/>
    <s v="Aug-2024"/>
    <x v="6"/>
    <x v="0"/>
    <d v="1900-01-18T00:00:00"/>
    <d v="2024-09-07T00:00:00"/>
    <d v="2024-09-07T00:00:00"/>
    <x v="3"/>
    <x v="7"/>
    <s v="Lyon"/>
    <s v="Corporate"/>
    <x v="4"/>
    <x v="1"/>
    <x v="0"/>
    <s v="CMP-5435"/>
    <n v="297.58999999999997"/>
    <n v="666.41"/>
    <n v="815.10700000000008"/>
    <n v="1620.05"/>
    <m/>
    <n v="0"/>
    <n v="0"/>
    <n v="10"/>
    <n v="6664.0999999999995"/>
    <n v="2975.8999999999996"/>
    <n v="3688.2"/>
    <n v="0.55344307558409989"/>
  </r>
  <r>
    <s v="ORD-2025-703623"/>
    <m/>
    <x v="318"/>
    <d v="2454-06-10T00:00:00"/>
    <d v="2453-11-18T00:00:00"/>
    <d v="2453-11-18T00:00:00"/>
    <d v="1900-01-27T00:00:00"/>
    <s v="Jul-2025"/>
    <x v="10"/>
    <x v="0"/>
    <d v="1900-01-26T00:00:00"/>
    <d v="2025-08-19T00:00:00"/>
    <d v="2025-08-19T00:00:00"/>
    <x v="1"/>
    <x v="2"/>
    <s v="Nagoya"/>
    <s v="Consumer"/>
    <x v="2"/>
    <x v="5"/>
    <x v="6"/>
    <s v="ACC-1596"/>
    <n v="896.09"/>
    <n v="744.27"/>
    <n v="815.10700000000008"/>
    <n v="1620.05"/>
    <m/>
    <n v="8.3000000000000004E-2"/>
    <n v="0"/>
    <n v="11"/>
    <n v="8186.9699999999993"/>
    <n v="9856.99"/>
    <n v="-1670.0200000000004"/>
    <n v="-0.20398511292944771"/>
  </r>
  <r>
    <s v="ORD-2024-516704"/>
    <n v="1"/>
    <x v="396"/>
    <n v="202403"/>
    <n v="202301"/>
    <n v="202301"/>
    <n v="14"/>
    <s v="Mar-2024"/>
    <x v="8"/>
    <x v="1"/>
    <n v="0"/>
    <d v="2024-03-01T00:00:00"/>
    <d v="2024-02-29T00:00:00"/>
    <x v="2"/>
    <x v="5"/>
    <s v="São Paulo"/>
    <s v="Non-Profit"/>
    <x v="4"/>
    <x v="2"/>
    <x v="3"/>
    <s v="PHN-7852"/>
    <n v="5.34"/>
    <n v="12.69"/>
    <n v="815.10700000000008"/>
    <n v="1620.05"/>
    <s v="Low"/>
    <n v="0.13200000000000001"/>
    <n v="0"/>
    <n v="10"/>
    <n v="126.89999999999999"/>
    <n v="53.4"/>
    <n v="73.5"/>
    <n v="0.57919621749408989"/>
  </r>
  <r>
    <s v="ORD-2024-578646"/>
    <n v="1"/>
    <x v="397"/>
    <n v="202405"/>
    <n v="202302"/>
    <n v="202302"/>
    <n v="15"/>
    <s v="May-2024"/>
    <x v="1"/>
    <x v="0"/>
    <n v="21"/>
    <d v="2024-06-17T00:00:00"/>
    <d v="2024-06-17T00:00:00"/>
    <x v="1"/>
    <x v="4"/>
    <s v="Delhi"/>
    <s v="Small Business"/>
    <x v="1"/>
    <x v="10"/>
    <x v="6"/>
    <s v="ACC-7240"/>
    <n v="465.02"/>
    <n v="651.55999999999995"/>
    <n v="815.10700000000008"/>
    <n v="1620.05"/>
    <s v="Low"/>
    <n v="4.2000000000000003E-2"/>
    <n v="0"/>
    <n v="19"/>
    <n v="12379.64"/>
    <n v="8835.3799999999992"/>
    <n v="3544.26"/>
    <n v="0.28629750138130028"/>
  </r>
  <r>
    <s v="ORD-2024-433936"/>
    <m/>
    <x v="398"/>
    <d v="2454-03-03T00:00:00"/>
    <d v="2453-11-16T00:00:00"/>
    <d v="2453-11-16T00:00:00"/>
    <d v="1900-01-18T00:00:00"/>
    <s v="Aug-2024"/>
    <x v="6"/>
    <x v="0"/>
    <d v="1900-01-12T00:00:00"/>
    <d v="2024-08-17T00:00:00"/>
    <d v="2024-08-17T00:00:00"/>
    <x v="2"/>
    <x v="10"/>
    <s v="Austin"/>
    <s v="Consumer"/>
    <x v="0"/>
    <x v="14"/>
    <x v="5"/>
    <s v="MON-8867"/>
    <n v="352.79"/>
    <n v="754.22"/>
    <n v="815.10700000000008"/>
    <n v="1620.05"/>
    <m/>
    <n v="0.113"/>
    <n v="0"/>
    <n v="7"/>
    <n v="5279.54"/>
    <n v="2469.5300000000002"/>
    <n v="2810.0099999999998"/>
    <n v="0.53224523348625064"/>
  </r>
  <r>
    <s v="ORD-2023-434071"/>
    <n v="1"/>
    <x v="263"/>
    <n v="202306"/>
    <n v="202301"/>
    <n v="202301"/>
    <n v="5"/>
    <s v="Jun-2023"/>
    <x v="10"/>
    <x v="0"/>
    <n v="14"/>
    <d v="2023-07-04T00:00:00"/>
    <d v="2023-07-04T00:00:00"/>
    <x v="2"/>
    <x v="5"/>
    <s v="Brasília"/>
    <s v="Non-Profit"/>
    <x v="4"/>
    <x v="0"/>
    <x v="2"/>
    <s v="NET-1228"/>
    <n v="1292.8599999999999"/>
    <n v="2981.01"/>
    <n v="815.10700000000008"/>
    <n v="1620.05"/>
    <s v="Low"/>
    <n v="0.14199999999999999"/>
    <n v="0"/>
    <n v="12"/>
    <n v="35772.120000000003"/>
    <n v="15514.32"/>
    <n v="20257.800000000003"/>
    <n v="0.56630135423899952"/>
  </r>
  <r>
    <s v="ORD-2024-728474"/>
    <n v="1"/>
    <x v="190"/>
    <n v="202409"/>
    <n v="202301"/>
    <n v="202301"/>
    <n v="20"/>
    <s v="Sept-2024"/>
    <x v="9"/>
    <x v="1"/>
    <n v="4"/>
    <d v="2024-09-13T00:00:00"/>
    <d v="2024-09-13T00:00:00"/>
    <x v="3"/>
    <x v="8"/>
    <s v="London"/>
    <s v="Consumer"/>
    <x v="2"/>
    <x v="9"/>
    <x v="2"/>
    <s v="NET-1145"/>
    <n v="1133.08"/>
    <n v="976.17"/>
    <n v="815.10700000000008"/>
    <n v="1620.05"/>
    <s v="High"/>
    <n v="4.2000000000000003E-2"/>
    <n v="0"/>
    <n v="27"/>
    <n v="26356.59"/>
    <n v="30593.159999999996"/>
    <n v="-4236.5699999999961"/>
    <n v="-0.1607404447995737"/>
  </r>
  <r>
    <s v="ORD-2023-406606"/>
    <n v="1"/>
    <x v="390"/>
    <n v="202310"/>
    <n v="202301"/>
    <n v="202301"/>
    <n v="9"/>
    <s v="Oct-2023"/>
    <x v="10"/>
    <x v="1"/>
    <n v="3"/>
    <d v="2023-10-28T00:00:00"/>
    <d v="2023-10-28T00:00:00"/>
    <x v="2"/>
    <x v="5"/>
    <s v="Brasília"/>
    <s v="Corporate"/>
    <x v="3"/>
    <x v="4"/>
    <x v="6"/>
    <s v="ACC-2867"/>
    <n v="509.31"/>
    <n v="1145.9000000000001"/>
    <n v="815.10700000000008"/>
    <n v="1620.05"/>
    <s v="Medium"/>
    <n v="5.7000000000000002E-2"/>
    <n v="0"/>
    <n v="8"/>
    <n v="9167.2000000000007"/>
    <n v="4074.48"/>
    <n v="5092.7200000000012"/>
    <n v="0.555537132385025"/>
  </r>
  <r>
    <s v="ORD-2025-823055"/>
    <n v="1"/>
    <x v="17"/>
    <n v="202509"/>
    <n v="202301"/>
    <n v="202301"/>
    <n v="32"/>
    <s v="Sept-2025"/>
    <x v="5"/>
    <x v="0"/>
    <n v="27"/>
    <d v="2025-10-05T00:00:00"/>
    <d v="2025-10-05T00:00:00"/>
    <x v="2"/>
    <x v="5"/>
    <s v="Rio de Janeiro"/>
    <s v="Education"/>
    <x v="1"/>
    <x v="0"/>
    <x v="5"/>
    <s v="MON-9274"/>
    <n v="660.78"/>
    <n v="1630.39"/>
    <n v="815.10700000000008"/>
    <n v="1620.05"/>
    <s v="Medium"/>
    <n v="0.218"/>
    <n v="1"/>
    <n v="13"/>
    <n v="21195.07"/>
    <n v="8590.14"/>
    <n v="12604.93"/>
    <n v="0.59471046804752237"/>
  </r>
  <r>
    <s v="ORD-2023-573656"/>
    <n v="1"/>
    <x v="129"/>
    <n v="202305"/>
    <n v="202302"/>
    <n v="202302"/>
    <n v="3"/>
    <s v="May-2023"/>
    <x v="8"/>
    <x v="0"/>
    <n v="14"/>
    <d v="2023-05-16T00:00:00"/>
    <d v="2023-05-16T00:00:00"/>
    <x v="1"/>
    <x v="4"/>
    <s v="Bengaluru"/>
    <s v="Non-Profit"/>
    <x v="0"/>
    <x v="4"/>
    <x v="5"/>
    <s v="MON-4830"/>
    <n v="475.37"/>
    <n v="963.73"/>
    <n v="815.10700000000008"/>
    <n v="1620.05"/>
    <s v="High"/>
    <n v="4.1000000000000002E-2"/>
    <n v="0"/>
    <n v="22"/>
    <n v="21202.06"/>
    <n v="10458.14"/>
    <n v="10743.920000000002"/>
    <n v="0.50673943946956101"/>
  </r>
  <r>
    <s v="ORD-2024-567435"/>
    <n v="1"/>
    <x v="399"/>
    <n v="202404"/>
    <n v="202301"/>
    <n v="202301"/>
    <n v="15"/>
    <s v="Apr-2024"/>
    <x v="9"/>
    <x v="1"/>
    <n v="0"/>
    <d v="2024-04-26T00:00:00"/>
    <d v="2024-04-24T00:00:00"/>
    <x v="3"/>
    <x v="8"/>
    <s v="London"/>
    <s v="Non-Profit"/>
    <x v="3"/>
    <x v="13"/>
    <x v="3"/>
    <s v="PHN-9107"/>
    <n v="1232.77"/>
    <n v="891.73"/>
    <n v="815.10700000000008"/>
    <n v="1620.05"/>
    <s v="Medium"/>
    <n v="0.16700000000000001"/>
    <n v="0"/>
    <n v="10"/>
    <n v="8917.2999999999993"/>
    <n v="12327.7"/>
    <n v="-3410.4000000000015"/>
    <n v="-0.38244760185257887"/>
  </r>
  <r>
    <s v="ORD-2023-744942"/>
    <n v="1"/>
    <x v="29"/>
    <n v="202302"/>
    <n v="202301"/>
    <n v="202301"/>
    <n v="1"/>
    <s v="Feb-2023"/>
    <x v="6"/>
    <x v="0"/>
    <n v="23"/>
    <d v="2023-03-18T00:00:00"/>
    <d v="2023-03-18T00:00:00"/>
    <x v="1"/>
    <x v="9"/>
    <s v="Beijing"/>
    <s v="Education"/>
    <x v="3"/>
    <x v="11"/>
    <x v="1"/>
    <s v="PRN-1060"/>
    <n v="770.11"/>
    <n v="1667.82"/>
    <n v="815.10700000000008"/>
    <n v="1620.05"/>
    <s v="Medium"/>
    <n v="6.9000000000000006E-2"/>
    <n v="0"/>
    <n v="7"/>
    <n v="11674.74"/>
    <n v="5390.77"/>
    <n v="6283.9699999999993"/>
    <n v="0.5382535285582376"/>
  </r>
  <r>
    <s v="ORD-2025-331237"/>
    <n v="1"/>
    <x v="400"/>
    <n v="202503"/>
    <n v="202301"/>
    <n v="202301"/>
    <n v="26"/>
    <s v="Mar-2025"/>
    <x v="3"/>
    <x v="1"/>
    <n v="1"/>
    <d v="2025-03-25T00:00:00"/>
    <d v="2025-03-25T00:00:00"/>
    <x v="1"/>
    <x v="9"/>
    <s v="Beijing"/>
    <s v="Non-Profit"/>
    <x v="1"/>
    <x v="3"/>
    <x v="2"/>
    <s v="NET-8329"/>
    <n v="1133.03"/>
    <n v="1921.51"/>
    <n v="815.10700000000008"/>
    <n v="1620.05"/>
    <s v="High"/>
    <n v="0.10100000000000001"/>
    <n v="0"/>
    <n v="5"/>
    <n v="9607.5499999999993"/>
    <n v="5665.15"/>
    <n v="3942.3999999999996"/>
    <n v="0.41034394824903331"/>
  </r>
  <r>
    <s v="ORD-2025-680118"/>
    <n v="1"/>
    <x v="401"/>
    <n v="202503"/>
    <n v="202301"/>
    <n v="202301"/>
    <n v="26"/>
    <s v="Mar-2025"/>
    <x v="4"/>
    <x v="0"/>
    <n v="17"/>
    <d v="2025-03-27T00:00:00"/>
    <d v="2025-03-27T00:00:00"/>
    <x v="2"/>
    <x v="5"/>
    <s v="Rio de Janeiro"/>
    <s v="Enterprise"/>
    <x v="4"/>
    <x v="9"/>
    <x v="2"/>
    <s v="NET-6269"/>
    <n v="996.73"/>
    <n v="1217.43"/>
    <n v="815.10700000000008"/>
    <n v="1620.05"/>
    <s v="High"/>
    <n v="7.0000000000000007E-2"/>
    <n v="0"/>
    <n v="9"/>
    <n v="10956.87"/>
    <n v="8970.57"/>
    <n v="1986.3000000000011"/>
    <n v="0.1812835234880035"/>
  </r>
  <r>
    <s v="ORD-2024-310809"/>
    <n v="1"/>
    <x v="402"/>
    <n v="202404"/>
    <n v="202301"/>
    <n v="202301"/>
    <n v="15"/>
    <s v="Apr-2024"/>
    <x v="4"/>
    <x v="1"/>
    <n v="4"/>
    <d v="2024-04-09T00:00:00"/>
    <d v="2024-04-09T00:00:00"/>
    <x v="0"/>
    <x v="1"/>
    <s v="Lagos"/>
    <s v="Non-Profit"/>
    <x v="4"/>
    <x v="11"/>
    <x v="0"/>
    <s v="CMP-6529"/>
    <n v="395.07"/>
    <n v="970.27"/>
    <n v="815.10700000000008"/>
    <n v="1620.05"/>
    <s v="Medium"/>
    <n v="0.123"/>
    <n v="0"/>
    <n v="38"/>
    <n v="36870.26"/>
    <n v="15012.66"/>
    <n v="21857.600000000002"/>
    <n v="0.59282467766704117"/>
  </r>
  <r>
    <s v="ORD-2025-474368"/>
    <m/>
    <x v="60"/>
    <d v="2454-06-07T00:00:00"/>
    <d v="2453-11-16T00:00:00"/>
    <d v="2453-11-16T00:00:00"/>
    <d v="1900-01-26T00:00:00"/>
    <s v="Apr-2025"/>
    <x v="6"/>
    <x v="0"/>
    <d v="1900-01-19T00:00:00"/>
    <d v="2025-05-17T00:00:00"/>
    <d v="2025-05-17T00:00:00"/>
    <x v="2"/>
    <x v="10"/>
    <s v="Austin"/>
    <s v="Corporate"/>
    <x v="4"/>
    <x v="13"/>
    <x v="3"/>
    <s v="PHN-8776"/>
    <n v="932.26"/>
    <n v="1624.67"/>
    <n v="815.10700000000008"/>
    <n v="1620.05"/>
    <m/>
    <n v="0.23499999999999999"/>
    <n v="1"/>
    <n v="28"/>
    <n v="45490.76"/>
    <n v="26103.279999999999"/>
    <n v="19387.480000000003"/>
    <n v="0.42618500987892932"/>
  </r>
  <r>
    <s v="ORD-2024-732543"/>
    <n v="1"/>
    <x v="403"/>
    <n v="202410"/>
    <n v="202301"/>
    <n v="202301"/>
    <n v="21"/>
    <s v="Oct-2024"/>
    <x v="7"/>
    <x v="1"/>
    <n v="4"/>
    <d v="2024-10-28T00:00:00"/>
    <d v="2024-10-28T00:00:00"/>
    <x v="1"/>
    <x v="9"/>
    <s v="Shanghai"/>
    <s v="Small Business"/>
    <x v="3"/>
    <x v="2"/>
    <x v="2"/>
    <s v="NET-3728"/>
    <n v="1331.77"/>
    <n v="2606.11"/>
    <n v="815.10700000000008"/>
    <n v="1620.05"/>
    <s v="High"/>
    <n v="0.02"/>
    <n v="0"/>
    <n v="6"/>
    <n v="15636.66"/>
    <n v="7990.62"/>
    <n v="7646.04"/>
    <n v="0.48898166232430712"/>
  </r>
  <r>
    <s v="ORD-2023-867166"/>
    <m/>
    <x v="289"/>
    <d v="2453-11-19T00:00:00"/>
    <d v="2453-11-16T00:00:00"/>
    <d v="2453-11-16T00:00:00"/>
    <d v="1900-01-02T00:00:00"/>
    <s v="Apr-2023"/>
    <x v="2"/>
    <x v="1"/>
    <d v="1900-01-06T00:00:00"/>
    <d v="2023-04-20T00:00:00"/>
    <d v="2023-04-20T00:00:00"/>
    <x v="3"/>
    <x v="7"/>
    <s v="Lyon"/>
    <s v="Small Business"/>
    <x v="1"/>
    <x v="8"/>
    <x v="4"/>
    <s v="LAP-3565"/>
    <n v="227.02"/>
    <n v="434.72"/>
    <n v="815.10700000000008"/>
    <n v="1620.05"/>
    <m/>
    <n v="9.8000000000000004E-2"/>
    <n v="0"/>
    <n v="10"/>
    <n v="4347.2000000000007"/>
    <n v="2270.2000000000003"/>
    <n v="2077.0000000000005"/>
    <n v="0.47777880014722124"/>
  </r>
  <r>
    <s v="ORD-2024-776337"/>
    <n v="1"/>
    <x v="404"/>
    <n v="202411"/>
    <n v="202302"/>
    <n v="202302"/>
    <n v="21"/>
    <s v="Nov-2024"/>
    <x v="9"/>
    <x v="0"/>
    <n v="9"/>
    <d v="2024-11-21T00:00:00"/>
    <d v="2024-11-21T00:00:00"/>
    <x v="1"/>
    <x v="4"/>
    <s v="Mumbai"/>
    <s v="Corporate"/>
    <x v="4"/>
    <x v="10"/>
    <x v="4"/>
    <s v="LAP-5078"/>
    <n v="903.41"/>
    <n v="1860.41"/>
    <n v="815.10700000000008"/>
    <n v="1620.05"/>
    <s v="Low"/>
    <n v="0.108"/>
    <n v="0"/>
    <n v="5"/>
    <n v="9302.0500000000011"/>
    <n v="4517.05"/>
    <n v="4785.0000000000009"/>
    <n v="0.51440273918114832"/>
  </r>
  <r>
    <s v="ORD-2023-913592"/>
    <n v="1"/>
    <x v="405"/>
    <n v="202305"/>
    <n v="202302"/>
    <n v="202302"/>
    <n v="3"/>
    <s v="May-2023"/>
    <x v="2"/>
    <x v="1"/>
    <n v="4"/>
    <d v="2023-05-14T00:00:00"/>
    <d v="2023-05-14T00:00:00"/>
    <x v="1"/>
    <x v="4"/>
    <s v="Delhi"/>
    <s v="Non-Profit"/>
    <x v="3"/>
    <x v="0"/>
    <x v="5"/>
    <s v="MON-2465"/>
    <n v="622.6"/>
    <n v="833.69"/>
    <n v="815.10700000000008"/>
    <n v="1620.05"/>
    <s v="High"/>
    <n v="0.20899999999999999"/>
    <n v="1"/>
    <n v="14"/>
    <n v="11671.66"/>
    <n v="8716.4"/>
    <n v="2955.26"/>
    <n v="0.25319963055812117"/>
  </r>
  <r>
    <s v="ORD-2024-961501"/>
    <m/>
    <x v="262"/>
    <d v="2454-02-26T00:00:00"/>
    <d v="2453-11-16T00:00:00"/>
    <d v="2453-11-16T00:00:00"/>
    <d v="1900-01-13T00:00:00"/>
    <s v="Mar-2024"/>
    <x v="9"/>
    <x v="0"/>
    <d v="1900-01-20T00:00:00"/>
    <d v="2024-03-23T00:00:00"/>
    <d v="2024-03-23T00:00:00"/>
    <x v="2"/>
    <x v="10"/>
    <s v="Chicago"/>
    <s v="Small Business"/>
    <x v="1"/>
    <x v="9"/>
    <x v="0"/>
    <s v="CMP-3223"/>
    <n v="225.01"/>
    <n v="333.48"/>
    <n v="815.10700000000008"/>
    <n v="1620.05"/>
    <m/>
    <n v="0.11899999999999999"/>
    <n v="0"/>
    <n v="12"/>
    <n v="4001.76"/>
    <n v="2700.12"/>
    <n v="1301.6400000000003"/>
    <n v="0.32526688257166853"/>
  </r>
  <r>
    <s v="ORD-2024-964950"/>
    <n v="1"/>
    <x v="406"/>
    <n v="202410"/>
    <n v="202301"/>
    <n v="202301"/>
    <n v="21"/>
    <s v="Oct-2024"/>
    <x v="1"/>
    <x v="1"/>
    <n v="1"/>
    <d v="2024-10-11T00:00:00"/>
    <d v="2024-10-11T00:00:00"/>
    <x v="3"/>
    <x v="8"/>
    <s v="Manchester"/>
    <s v="Non-Profit"/>
    <x v="3"/>
    <x v="4"/>
    <x v="0"/>
    <s v="CMP-8127"/>
    <n v="1389.46"/>
    <n v="1784.7"/>
    <n v="815.10700000000008"/>
    <n v="1620.05"/>
    <s v="Low"/>
    <n v="0.14599999999999999"/>
    <n v="0"/>
    <n v="33"/>
    <n v="58895.1"/>
    <n v="45852.18"/>
    <n v="13042.919999999998"/>
    <n v="0.22146018938757212"/>
  </r>
  <r>
    <s v="ORD-2023-349264"/>
    <m/>
    <x v="407"/>
    <d v="2453-11-21T00:00:00"/>
    <d v="2453-11-16T00:00:00"/>
    <d v="2453-11-16T00:00:00"/>
    <d v="1900-01-04T00:00:00"/>
    <s v="Jun-2023"/>
    <x v="2"/>
    <x v="1"/>
    <d v="1900-01-06T00:00:00"/>
    <d v="2023-06-08T00:00:00"/>
    <d v="2023-06-08T00:00:00"/>
    <x v="3"/>
    <x v="6"/>
    <s v="Frankfurt"/>
    <s v="Consumer"/>
    <x v="1"/>
    <x v="8"/>
    <x v="3"/>
    <s v="PHN-1924"/>
    <n v="804.17"/>
    <n v="1072.29"/>
    <n v="815.10700000000008"/>
    <n v="1620.05"/>
    <m/>
    <n v="3.2000000000000001E-2"/>
    <n v="0"/>
    <n v="5"/>
    <n v="5361.45"/>
    <n v="4020.85"/>
    <n v="1340.6"/>
    <n v="0.2500442977179681"/>
  </r>
  <r>
    <s v="ORD-2025-137394"/>
    <n v="1"/>
    <x v="408"/>
    <n v="202501"/>
    <n v="202302"/>
    <n v="202302"/>
    <n v="23"/>
    <s v="Jan-2025"/>
    <x v="9"/>
    <x v="1"/>
    <n v="1"/>
    <d v="2025-01-05T00:00:00"/>
    <d v="2025-01-05T00:00:00"/>
    <x v="1"/>
    <x v="4"/>
    <s v="Delhi"/>
    <s v="Education"/>
    <x v="0"/>
    <x v="2"/>
    <x v="0"/>
    <s v="CMP-1156"/>
    <n v="1428.33"/>
    <n v="3028.05"/>
    <n v="815.10700000000008"/>
    <n v="1620.05"/>
    <s v="Medium"/>
    <n v="0"/>
    <n v="0"/>
    <n v="11"/>
    <n v="33308.550000000003"/>
    <n v="15711.63"/>
    <n v="17596.920000000006"/>
    <n v="0.52830039134096207"/>
  </r>
  <r>
    <s v="ORD-2025-635337"/>
    <n v="1"/>
    <x v="117"/>
    <n v="202508"/>
    <n v="202302"/>
    <n v="202302"/>
    <n v="30"/>
    <s v="Aug-2025"/>
    <x v="4"/>
    <x v="0"/>
    <n v="23"/>
    <d v="2025-08-28T00:00:00"/>
    <d v="2025-08-28T00:00:00"/>
    <x v="1"/>
    <x v="4"/>
    <s v="Mumbai"/>
    <s v="Non-Profit"/>
    <x v="3"/>
    <x v="13"/>
    <x v="4"/>
    <s v="LAP-3905"/>
    <n v="638.54"/>
    <n v="987.24"/>
    <n v="815.10700000000008"/>
    <n v="1620.05"/>
    <s v="High"/>
    <n v="0"/>
    <n v="0"/>
    <n v="11"/>
    <n v="10859.64"/>
    <n v="7023.94"/>
    <n v="3835.7"/>
    <n v="0.35320692030306716"/>
  </r>
  <r>
    <s v="ORD-2023-568013"/>
    <m/>
    <x v="322"/>
    <d v="2453-11-24T00:00:00"/>
    <d v="2453-11-18T00:00:00"/>
    <d v="2453-11-18T00:00:00"/>
    <d v="1900-01-05T00:00:00"/>
    <s v="Sept-2023"/>
    <x v="8"/>
    <x v="0"/>
    <d v="1900-01-29T00:00:00"/>
    <d v="2023-10-30T00:00:00"/>
    <d v="2023-10-30T00:00:00"/>
    <x v="1"/>
    <x v="2"/>
    <s v="Tokyo"/>
    <s v="Enterprise"/>
    <x v="1"/>
    <x v="14"/>
    <x v="1"/>
    <s v="PRN-1786"/>
    <n v="649.13"/>
    <n v="975.43"/>
    <n v="815.10700000000008"/>
    <n v="1620.05"/>
    <m/>
    <n v="0.157"/>
    <n v="0"/>
    <n v="27"/>
    <n v="26336.609999999997"/>
    <n v="17526.509999999998"/>
    <n v="8810.0999999999985"/>
    <n v="0.33451913515065151"/>
  </r>
  <r>
    <s v="ORD-2025-828263"/>
    <n v="1"/>
    <x v="252"/>
    <n v="202505"/>
    <n v="202301"/>
    <n v="202301"/>
    <n v="28"/>
    <s v="May-2025"/>
    <x v="11"/>
    <x v="0"/>
    <n v="13"/>
    <d v="2025-05-30T00:00:00"/>
    <d v="2025-05-30T00:00:00"/>
    <x v="0"/>
    <x v="1"/>
    <s v="Lagos"/>
    <s v="Consumer"/>
    <x v="3"/>
    <x v="9"/>
    <x v="6"/>
    <s v="ACC-3349"/>
    <n v="66.400000000000006"/>
    <n v="141.43"/>
    <n v="815.10700000000008"/>
    <n v="1620.05"/>
    <s v="Medium"/>
    <n v="0.107"/>
    <n v="0"/>
    <n v="8"/>
    <n v="1131.44"/>
    <n v="531.20000000000005"/>
    <n v="600.24"/>
    <n v="0.53050979283037547"/>
  </r>
  <r>
    <s v="ORD-2024-402240"/>
    <m/>
    <x v="371"/>
    <d v="2454-02-28T00:00:00"/>
    <d v="2453-11-16T00:00:00"/>
    <d v="2453-11-16T00:00:00"/>
    <d v="1900-01-15T00:00:00"/>
    <s v="May-2024"/>
    <x v="7"/>
    <x v="0"/>
    <d v="1900-01-24T00:00:00"/>
    <d v="2024-05-26T00:00:00"/>
    <d v="2024-05-26T00:00:00"/>
    <x v="3"/>
    <x v="6"/>
    <s v="Berlin"/>
    <s v="Non-Profit"/>
    <x v="0"/>
    <x v="5"/>
    <x v="2"/>
    <s v="NET-4228"/>
    <n v="930.71"/>
    <n v="1625.42"/>
    <n v="815.10700000000008"/>
    <n v="1620.05"/>
    <m/>
    <n v="0.13800000000000001"/>
    <n v="0"/>
    <n v="7"/>
    <n v="11377.94"/>
    <n v="6514.97"/>
    <n v="4862.97"/>
    <n v="0.42740337881901291"/>
  </r>
  <r>
    <s v="ORD-2023-125739"/>
    <n v="1"/>
    <x v="409"/>
    <n v="202305"/>
    <n v="202301"/>
    <n v="202301"/>
    <n v="4"/>
    <s v="May-2023"/>
    <x v="6"/>
    <x v="0"/>
    <n v="17"/>
    <d v="2023-05-18T00:00:00"/>
    <d v="2023-05-18T00:00:00"/>
    <x v="0"/>
    <x v="1"/>
    <s v="Port Harcourt"/>
    <s v="Corporate"/>
    <x v="4"/>
    <x v="9"/>
    <x v="0"/>
    <s v="CMP-5633"/>
    <n v="327.97"/>
    <n v="299.94"/>
    <n v="815.10700000000008"/>
    <n v="1620.05"/>
    <s v="High"/>
    <n v="4.9000000000000002E-2"/>
    <n v="0"/>
    <n v="3"/>
    <n v="899.81999999999994"/>
    <n v="983.91000000000008"/>
    <n v="-84.090000000000146"/>
    <n v="-9.3452023738081119E-2"/>
  </r>
  <r>
    <s v="ORD-2024-892879"/>
    <m/>
    <x v="410"/>
    <d v="2454-03-02T00:00:00"/>
    <d v="2453-11-16T00:00:00"/>
    <d v="2453-11-16T00:00:00"/>
    <d v="1900-01-17T00:00:00"/>
    <s v="Jul-2024"/>
    <x v="9"/>
    <x v="0"/>
    <d v="1900-01-29T00:00:00"/>
    <d v="2024-08-08T00:00:00"/>
    <d v="2024-08-08T00:00:00"/>
    <x v="3"/>
    <x v="7"/>
    <s v="Marseille"/>
    <s v="Corporate"/>
    <x v="4"/>
    <x v="1"/>
    <x v="0"/>
    <s v="CMP-5825"/>
    <n v="1062.3800000000001"/>
    <n v="1503.96"/>
    <n v="815.10700000000008"/>
    <n v="1620.05"/>
    <m/>
    <n v="0.18"/>
    <n v="0"/>
    <n v="6"/>
    <n v="9023.76"/>
    <n v="6374.2800000000007"/>
    <n v="2649.4799999999996"/>
    <n v="0.29361153222160158"/>
  </r>
  <r>
    <s v="ORD-2023-472050"/>
    <n v="1"/>
    <x v="405"/>
    <n v="202305"/>
    <n v="202302"/>
    <n v="202302"/>
    <n v="3"/>
    <s v="May-2023"/>
    <x v="10"/>
    <x v="0"/>
    <n v="17"/>
    <d v="2023-05-27T00:00:00"/>
    <d v="2023-05-27T00:00:00"/>
    <x v="1"/>
    <x v="4"/>
    <s v="Mumbai"/>
    <s v="Consumer"/>
    <x v="0"/>
    <x v="12"/>
    <x v="4"/>
    <s v="LAP-6499"/>
    <n v="1286.1600000000001"/>
    <n v="3101.11"/>
    <n v="815.10700000000008"/>
    <n v="1620.05"/>
    <s v="Medium"/>
    <n v="0.1"/>
    <n v="0"/>
    <n v="23"/>
    <n v="71325.53"/>
    <n v="29581.68"/>
    <n v="41743.85"/>
    <n v="0.58525818174782573"/>
  </r>
  <r>
    <s v="ORD-2024-468615"/>
    <n v="1"/>
    <x v="410"/>
    <n v="202407"/>
    <n v="202301"/>
    <n v="202301"/>
    <n v="18"/>
    <s v="Jul-2024"/>
    <x v="9"/>
    <x v="1"/>
    <n v="3"/>
    <d v="2024-07-12T00:00:00"/>
    <d v="2024-07-12T00:00:00"/>
    <x v="1"/>
    <x v="9"/>
    <s v="Shanghai"/>
    <s v="Small Business"/>
    <x v="0"/>
    <x v="14"/>
    <x v="6"/>
    <s v="ACC-3721"/>
    <n v="748.39"/>
    <n v="979.42"/>
    <n v="815.10700000000008"/>
    <n v="1620.05"/>
    <s v="High"/>
    <n v="0"/>
    <n v="0"/>
    <n v="23"/>
    <n v="22526.66"/>
    <n v="17212.97"/>
    <n v="5313.6899999999987"/>
    <n v="0.23588450307324738"/>
  </r>
  <r>
    <s v="ORD-2024-833375"/>
    <m/>
    <x v="411"/>
    <d v="2454-02-27T00:00:00"/>
    <d v="2453-11-16T00:00:00"/>
    <d v="2453-11-16T00:00:00"/>
    <d v="1900-01-14T00:00:00"/>
    <s v="Apr-2024"/>
    <x v="10"/>
    <x v="0"/>
    <d v="1900-01-15T00:00:00"/>
    <d v="2024-05-10T00:00:00"/>
    <d v="2024-05-10T00:00:00"/>
    <x v="0"/>
    <x v="0"/>
    <s v="Kisumu"/>
    <s v="Non-Profit"/>
    <x v="1"/>
    <x v="13"/>
    <x v="5"/>
    <s v="MON-6190"/>
    <n v="513.30999999999995"/>
    <n v="1186.26"/>
    <n v="815.10700000000008"/>
    <n v="1620.05"/>
    <m/>
    <n v="9.4E-2"/>
    <n v="0"/>
    <n v="15"/>
    <n v="17793.900000000001"/>
    <n v="7699.65"/>
    <n v="10094.250000000002"/>
    <n v="0.56728710400755322"/>
  </r>
  <r>
    <s v="ORD-2024-206311"/>
    <m/>
    <x v="94"/>
    <d v="2454-02-24T00:00:00"/>
    <d v="2453-11-16T00:00:00"/>
    <d v="2453-11-16T00:00:00"/>
    <d v="1900-01-11T00:00:00"/>
    <s v="Jan-2024"/>
    <x v="6"/>
    <x v="1"/>
    <d v="1900-01-01T00:00:00"/>
    <d v="2024-01-15T00:00:00"/>
    <d v="2024-01-15T00:00:00"/>
    <x v="2"/>
    <x v="10"/>
    <s v="San Francisco"/>
    <s v="Non-Profit"/>
    <x v="4"/>
    <x v="6"/>
    <x v="0"/>
    <s v="CMP-2410"/>
    <n v="1061.3699999999999"/>
    <n v="1938.33"/>
    <n v="815.10700000000008"/>
    <n v="1620.05"/>
    <m/>
    <n v="0.17"/>
    <n v="0"/>
    <n v="4"/>
    <n v="7753.32"/>
    <n v="4245.4799999999996"/>
    <n v="3507.84"/>
    <n v="0.45243070065468732"/>
  </r>
  <r>
    <s v="ORD-2024-364080"/>
    <m/>
    <x v="412"/>
    <d v="2454-02-27T00:00:00"/>
    <d v="2453-11-16T00:00:00"/>
    <d v="2453-11-16T00:00:00"/>
    <d v="1900-01-14T00:00:00"/>
    <s v="Apr-2024"/>
    <x v="1"/>
    <x v="0"/>
    <d v="1900-01-10T00:00:00"/>
    <d v="2024-04-27T00:00:00"/>
    <d v="2024-04-27T00:00:00"/>
    <x v="0"/>
    <x v="0"/>
    <s v="Nakuru"/>
    <s v="Enterprise"/>
    <x v="1"/>
    <x v="14"/>
    <x v="1"/>
    <s v="PRN-2641"/>
    <n v="401.3"/>
    <n v="826.47"/>
    <n v="815.10700000000008"/>
    <n v="1620.05"/>
    <m/>
    <n v="0.22500000000000001"/>
    <n v="1"/>
    <n v="13"/>
    <n v="10744.11"/>
    <n v="5216.9000000000005"/>
    <n v="5527.21"/>
    <n v="0.5144409355451498"/>
  </r>
  <r>
    <s v="ORD-2025-460466"/>
    <n v="1"/>
    <x v="413"/>
    <n v="202502"/>
    <n v="202301"/>
    <n v="202301"/>
    <n v="25"/>
    <s v="Feb-2025"/>
    <x v="6"/>
    <x v="0"/>
    <n v="9"/>
    <d v="2025-02-16T00:00:00"/>
    <d v="2025-02-16T00:00:00"/>
    <x v="0"/>
    <x v="1"/>
    <s v="Lagos"/>
    <s v="Small Business"/>
    <x v="3"/>
    <x v="0"/>
    <x v="1"/>
    <s v="PRN-1882"/>
    <n v="90.68"/>
    <n v="118.17"/>
    <n v="815.10700000000008"/>
    <n v="1620.05"/>
    <s v="Medium"/>
    <n v="0.13500000000000001"/>
    <n v="0"/>
    <n v="21"/>
    <n v="2481.5700000000002"/>
    <n v="1904.2800000000002"/>
    <n v="577.29"/>
    <n v="0.23263095540323261"/>
  </r>
  <r>
    <s v="ORD-2023-700699"/>
    <n v="1"/>
    <x v="414"/>
    <n v="202301"/>
    <n v="202301"/>
    <n v="202301"/>
    <n v="0"/>
    <s v="Jan-2023"/>
    <x v="4"/>
    <x v="0"/>
    <n v="14"/>
    <d v="2023-01-26T00:00:00"/>
    <d v="2023-01-26T00:00:00"/>
    <x v="1"/>
    <x v="9"/>
    <s v="Shenzhen"/>
    <s v="Non-Profit"/>
    <x v="0"/>
    <x v="12"/>
    <x v="1"/>
    <s v="PRN-1641"/>
    <n v="1083.0899999999999"/>
    <n v="1425.87"/>
    <n v="815.10700000000008"/>
    <n v="1620.05"/>
    <s v="Low"/>
    <n v="0"/>
    <n v="0"/>
    <n v="8"/>
    <n v="11406.96"/>
    <n v="8664.7199999999993"/>
    <n v="2742.24"/>
    <n v="0.24040059752992909"/>
  </r>
  <r>
    <s v="ORD-2024-713332"/>
    <m/>
    <x v="415"/>
    <d v="2454-03-01T00:00:00"/>
    <d v="2453-11-16T00:00:00"/>
    <d v="2453-11-16T00:00:00"/>
    <d v="1900-01-16T00:00:00"/>
    <s v="Jun-2024"/>
    <x v="3"/>
    <x v="0"/>
    <d v="1900-01-17T00:00:00"/>
    <d v="2024-06-23T00:00:00"/>
    <d v="2024-06-23T00:00:00"/>
    <x v="0"/>
    <x v="0"/>
    <s v="Nairobi"/>
    <s v="Consumer"/>
    <x v="3"/>
    <x v="14"/>
    <x v="4"/>
    <s v="LAP-1739"/>
    <n v="1208.74"/>
    <n v="1594.78"/>
    <n v="815.10700000000008"/>
    <n v="1620.05"/>
    <m/>
    <n v="5.8999999999999997E-2"/>
    <n v="0"/>
    <n v="39"/>
    <n v="62196.42"/>
    <n v="47140.86"/>
    <n v="15055.559999999998"/>
    <n v="0.24206473620185853"/>
  </r>
  <r>
    <s v="ORD-2023-640022"/>
    <m/>
    <x v="416"/>
    <d v="2453-11-23T00:00:00"/>
    <d v="2453-11-16T00:00:00"/>
    <d v="2453-11-16T00:00:00"/>
    <d v="1900-01-06T00:00:00"/>
    <s v="Aug-2023"/>
    <x v="6"/>
    <x v="0"/>
    <d v="1900-01-26T00:00:00"/>
    <d v="2023-09-20T00:00:00"/>
    <d v="2023-09-20T00:00:00"/>
    <x v="0"/>
    <x v="11"/>
    <s v="Durban"/>
    <s v="Small Business"/>
    <x v="2"/>
    <x v="12"/>
    <x v="1"/>
    <s v="PRN-4732"/>
    <n v="1399.64"/>
    <n v="3342.11"/>
    <n v="815.10700000000008"/>
    <n v="1620.05"/>
    <m/>
    <n v="0"/>
    <n v="0"/>
    <n v="10"/>
    <n v="33421.1"/>
    <n v="13996.400000000001"/>
    <n v="19424.699999999997"/>
    <n v="0.58121067229983447"/>
  </r>
  <r>
    <s v="ORD-2024-532184"/>
    <m/>
    <x v="246"/>
    <d v="2454-02-24T00:00:00"/>
    <d v="2453-11-18T00:00:00"/>
    <d v="2453-11-18T00:00:00"/>
    <d v="1900-01-09T00:00:00"/>
    <s v="Jan-2024"/>
    <x v="11"/>
    <x v="0"/>
    <d v="1900-01-13T00:00:00"/>
    <d v="2024-02-08T00:00:00"/>
    <d v="2024-02-08T00:00:00"/>
    <x v="1"/>
    <x v="2"/>
    <s v="Osaka"/>
    <s v="Consumer"/>
    <x v="2"/>
    <x v="2"/>
    <x v="2"/>
    <s v="NET-9569"/>
    <n v="937.16"/>
    <n v="1069.77"/>
    <n v="815.10700000000008"/>
    <n v="1620.05"/>
    <m/>
    <n v="3.7999999999999999E-2"/>
    <n v="0"/>
    <n v="9"/>
    <n v="9627.93"/>
    <n v="8434.44"/>
    <n v="1193.4899999999998"/>
    <n v="0.12396122531011336"/>
  </r>
  <r>
    <s v="ORD-2025-926547"/>
    <m/>
    <x v="417"/>
    <d v="2454-06-06T00:00:00"/>
    <d v="2453-11-16T00:00:00"/>
    <d v="2453-11-16T00:00:00"/>
    <d v="1900-01-25T00:00:00"/>
    <s v="Mar-2025"/>
    <x v="1"/>
    <x v="0"/>
    <d v="1900-01-14T00:00:00"/>
    <d v="2025-03-26T00:00:00"/>
    <d v="2025-03-26T00:00:00"/>
    <x v="3"/>
    <x v="6"/>
    <s v="Berlin"/>
    <s v="Small Business"/>
    <x v="1"/>
    <x v="2"/>
    <x v="3"/>
    <s v="PHN-3007"/>
    <n v="116.97"/>
    <n v="140.82"/>
    <n v="815.10700000000008"/>
    <n v="1620.05"/>
    <m/>
    <n v="0.122"/>
    <n v="0"/>
    <n v="5"/>
    <n v="704.09999999999991"/>
    <n v="584.85"/>
    <n v="119.24999999999989"/>
    <n v="0.16936514699616517"/>
  </r>
  <r>
    <s v="ORD-2025-778145"/>
    <m/>
    <x v="221"/>
    <d v="2454-06-07T00:00:00"/>
    <d v="2453-11-16T00:00:00"/>
    <d v="2453-11-16T00:00:00"/>
    <d v="1900-01-26T00:00:00"/>
    <s v="Apr-2025"/>
    <x v="4"/>
    <x v="0"/>
    <d v="1900-01-19T00:00:00"/>
    <d v="2025-05-12T00:00:00"/>
    <d v="2025-05-12T00:00:00"/>
    <x v="3"/>
    <x v="7"/>
    <s v="Lyon"/>
    <s v="Enterprise"/>
    <x v="2"/>
    <x v="11"/>
    <x v="5"/>
    <s v="MON-9216"/>
    <n v="59.51"/>
    <n v="67.040000000000006"/>
    <n v="815.10700000000008"/>
    <n v="1620.05"/>
    <m/>
    <n v="0.114"/>
    <n v="0"/>
    <n v="9"/>
    <n v="603.36"/>
    <n v="535.59"/>
    <n v="67.769999999999982"/>
    <n v="0.11232100238663481"/>
  </r>
  <r>
    <s v="ORD-2023-525643"/>
    <m/>
    <x v="418"/>
    <d v="2453-11-23T00:00:00"/>
    <d v="2453-11-16T00:00:00"/>
    <d v="2453-11-16T00:00:00"/>
    <d v="1900-01-06T00:00:00"/>
    <s v="Aug-2023"/>
    <x v="7"/>
    <x v="0"/>
    <d v="1900-01-16T00:00:00"/>
    <d v="2023-09-03T00:00:00"/>
    <d v="2023-09-03T00:00:00"/>
    <x v="0"/>
    <x v="11"/>
    <s v="Durban"/>
    <s v="Enterprise"/>
    <x v="0"/>
    <x v="8"/>
    <x v="3"/>
    <s v="PHN-8072"/>
    <n v="676.37"/>
    <n v="1276.67"/>
    <n v="815.10700000000008"/>
    <n v="1620.05"/>
    <m/>
    <n v="6.6000000000000003E-2"/>
    <n v="0"/>
    <n v="10"/>
    <n v="12766.7"/>
    <n v="6763.7"/>
    <n v="6003.0000000000009"/>
    <n v="0.47020764958838229"/>
  </r>
  <r>
    <s v="ORD-2025-312803"/>
    <m/>
    <x v="35"/>
    <d v="2454-06-09T00:00:00"/>
    <d v="2453-11-16T00:00:00"/>
    <d v="2453-11-16T00:00:00"/>
    <d v="1900-01-28T00:00:00"/>
    <s v="Jun-2025"/>
    <x v="11"/>
    <x v="0"/>
    <d v="1900-01-19T00:00:00"/>
    <d v="2025-07-14T00:00:00"/>
    <d v="2025-07-14T00:00:00"/>
    <x v="0"/>
    <x v="11"/>
    <s v="Johannesburg"/>
    <s v="Enterprise"/>
    <x v="2"/>
    <x v="1"/>
    <x v="4"/>
    <s v="LAP-1308"/>
    <n v="1151.06"/>
    <n v="2821.36"/>
    <n v="815.10700000000008"/>
    <n v="1620.05"/>
    <m/>
    <n v="0.248"/>
    <n v="1"/>
    <n v="20"/>
    <n v="56427.200000000004"/>
    <n v="23021.199999999997"/>
    <n v="33406.000000000007"/>
    <n v="0.59201945161198866"/>
  </r>
  <r>
    <s v="ORD-2025-149156"/>
    <n v="1"/>
    <x v="419"/>
    <n v="202501"/>
    <n v="202301"/>
    <n v="202301"/>
    <n v="24"/>
    <s v="Jan-2025"/>
    <x v="7"/>
    <x v="0"/>
    <n v="27"/>
    <d v="2025-02-06T00:00:00"/>
    <d v="2025-02-06T00:00:00"/>
    <x v="2"/>
    <x v="5"/>
    <s v="Brasília"/>
    <s v="Non-Profit"/>
    <x v="0"/>
    <x v="5"/>
    <x v="4"/>
    <s v="LAP-7353"/>
    <n v="725.62"/>
    <n v="1559.19"/>
    <n v="815.10700000000008"/>
    <n v="1620.05"/>
    <s v="High"/>
    <n v="0.19"/>
    <n v="0"/>
    <n v="12"/>
    <n v="18710.28"/>
    <n v="8707.44"/>
    <n v="10002.839999999998"/>
    <n v="0.53461733335898765"/>
  </r>
  <r>
    <s v="ORD-2023-215819"/>
    <m/>
    <x v="305"/>
    <d v="2453-11-22T00:00:00"/>
    <d v="2453-11-16T00:00:00"/>
    <d v="2453-11-16T00:00:00"/>
    <d v="1900-01-05T00:00:00"/>
    <s v="Jul-2023"/>
    <x v="4"/>
    <x v="0"/>
    <d v="1900-01-09T00:00:00"/>
    <d v="2023-07-11T00:00:00"/>
    <d v="2023-07-11T00:00:00"/>
    <x v="3"/>
    <x v="7"/>
    <s v="Paris"/>
    <s v="Corporate"/>
    <x v="4"/>
    <x v="9"/>
    <x v="2"/>
    <s v="NET-6533"/>
    <n v="479.5"/>
    <n v="656.66"/>
    <n v="815.10700000000008"/>
    <n v="1620.05"/>
    <m/>
    <n v="0.14899999999999999"/>
    <n v="0"/>
    <n v="14"/>
    <n v="9193.24"/>
    <n v="6713"/>
    <n v="2480.2399999999998"/>
    <n v="0.26978954101056862"/>
  </r>
  <r>
    <s v="ORD-2024-353078"/>
    <m/>
    <x v="420"/>
    <d v="2454-03-03T00:00:00"/>
    <d v="2453-11-16T00:00:00"/>
    <d v="2453-11-16T00:00:00"/>
    <d v="1900-01-18T00:00:00"/>
    <s v="Aug-2024"/>
    <x v="11"/>
    <x v="0"/>
    <d v="1900-01-09T00:00:00"/>
    <d v="2024-08-26T00:00:00"/>
    <d v="2024-08-26T00:00:00"/>
    <x v="2"/>
    <x v="10"/>
    <s v="Chicago"/>
    <s v="Corporate"/>
    <x v="3"/>
    <x v="4"/>
    <x v="4"/>
    <s v="LAP-5763"/>
    <n v="1291.7"/>
    <n v="2657.84"/>
    <n v="815.10700000000008"/>
    <n v="1620.05"/>
    <m/>
    <n v="8.6999999999999994E-2"/>
    <n v="0"/>
    <n v="21"/>
    <n v="55814.64"/>
    <n v="27125.7"/>
    <n v="28688.94"/>
    <n v="0.51400385275261118"/>
  </r>
  <r>
    <s v="ORD-2023-621393"/>
    <m/>
    <x v="421"/>
    <d v="2453-11-22T00:00:00"/>
    <d v="2453-11-16T00:00:00"/>
    <d v="2453-11-16T00:00:00"/>
    <d v="1900-01-05T00:00:00"/>
    <s v="Jul-2023"/>
    <x v="10"/>
    <x v="1"/>
    <d v="1900-01-05T00:00:00"/>
    <d v="2023-07-13T00:00:00"/>
    <d v="2023-07-13T00:00:00"/>
    <x v="0"/>
    <x v="11"/>
    <s v="Cape Town"/>
    <s v="Small Business"/>
    <x v="2"/>
    <x v="5"/>
    <x v="6"/>
    <s v="ACC-9445"/>
    <n v="612.59"/>
    <n v="1424.74"/>
    <n v="815.10700000000008"/>
    <n v="1620.05"/>
    <m/>
    <n v="4.3999999999999997E-2"/>
    <n v="0"/>
    <n v="15"/>
    <n v="21371.1"/>
    <n v="9188.85"/>
    <n v="12182.249999999998"/>
    <n v="0.57003383073402858"/>
  </r>
  <r>
    <s v="ORD-2023-974506"/>
    <m/>
    <x v="422"/>
    <d v="2453-11-27T00:00:00"/>
    <d v="2453-11-16T00:00:00"/>
    <d v="2453-11-16T00:00:00"/>
    <d v="1900-01-10T00:00:00"/>
    <s v="Dec-2023"/>
    <x v="11"/>
    <x v="1"/>
    <d v="1900-01-03T00:00:00"/>
    <d v="2024-01-01T00:00:00"/>
    <d v="2024-01-01T00:00:00"/>
    <x v="0"/>
    <x v="11"/>
    <s v="Cape Town"/>
    <s v="Education"/>
    <x v="3"/>
    <x v="8"/>
    <x v="1"/>
    <s v="PRN-1654"/>
    <n v="1141.8"/>
    <n v="2318.7399999999998"/>
    <n v="815.10700000000008"/>
    <n v="1620.05"/>
    <m/>
    <n v="0.107"/>
    <n v="0"/>
    <n v="32"/>
    <n v="74199.679999999993"/>
    <n v="36537.599999999999"/>
    <n v="37662.079999999994"/>
    <n v="0.50757739116934197"/>
  </r>
  <r>
    <s v="ORD-2023-811823"/>
    <m/>
    <x v="423"/>
    <d v="2453-11-16T00:00:00"/>
    <d v="2453-11-16T00:00:00"/>
    <d v="2453-11-16T00:00:00"/>
    <d v="1899-12-30T00:00:00"/>
    <s v="Jan-2023"/>
    <x v="5"/>
    <x v="0"/>
    <d v="1900-01-19T00:00:00"/>
    <d v="2023-02-15T00:00:00"/>
    <d v="2023-02-15T00:00:00"/>
    <x v="3"/>
    <x v="6"/>
    <s v="Berlin"/>
    <s v="Small Business"/>
    <x v="1"/>
    <x v="7"/>
    <x v="2"/>
    <s v="NET-8787"/>
    <n v="492.62"/>
    <n v="366.7"/>
    <n v="815.10700000000008"/>
    <n v="1620.05"/>
    <m/>
    <n v="8.8999999999999996E-2"/>
    <n v="0"/>
    <n v="10"/>
    <n v="3667"/>
    <n v="4926.2"/>
    <n v="-1259.1999999999998"/>
    <n v="-0.34338696482137981"/>
  </r>
  <r>
    <s v="ORD-2023-286720"/>
    <m/>
    <x v="424"/>
    <d v="2453-11-22T00:00:00"/>
    <d v="2453-11-16T00:00:00"/>
    <d v="2453-11-16T00:00:00"/>
    <d v="1900-01-05T00:00:00"/>
    <s v="Jul-2023"/>
    <x v="3"/>
    <x v="1"/>
    <d v="1899-12-31T00:00:00"/>
    <d v="2023-07-09T00:00:00"/>
    <d v="2023-07-09T00:00:00"/>
    <x v="0"/>
    <x v="0"/>
    <s v="Nairobi"/>
    <s v="Consumer"/>
    <x v="1"/>
    <x v="14"/>
    <x v="4"/>
    <s v="LAP-1989"/>
    <n v="1258.72"/>
    <n v="2797.41"/>
    <n v="815.10700000000008"/>
    <n v="1620.05"/>
    <m/>
    <n v="0"/>
    <n v="0"/>
    <n v="7"/>
    <n v="19581.87"/>
    <n v="8811.0400000000009"/>
    <n v="10770.829999999998"/>
    <n v="0.55004093071805704"/>
  </r>
  <r>
    <s v="ORD-2024-626925"/>
    <n v="1"/>
    <x v="116"/>
    <n v="202406"/>
    <n v="202301"/>
    <n v="202301"/>
    <n v="17"/>
    <s v="Jun-2024"/>
    <x v="11"/>
    <x v="1"/>
    <n v="2"/>
    <d v="2024-06-09T00:00:00"/>
    <d v="2024-06-09T00:00:00"/>
    <x v="1"/>
    <x v="9"/>
    <s v="Shanghai"/>
    <s v="Corporate"/>
    <x v="0"/>
    <x v="7"/>
    <x v="5"/>
    <s v="MON-8688"/>
    <n v="1370.28"/>
    <n v="2209.66"/>
    <n v="815.10700000000008"/>
    <n v="1620.05"/>
    <s v="High"/>
    <n v="0.13300000000000001"/>
    <n v="0"/>
    <n v="16"/>
    <n v="35354.559999999998"/>
    <n v="21924.48"/>
    <n v="13430.079999999998"/>
    <n v="0.37986839604283007"/>
  </r>
  <r>
    <s v="ORD-2023-960380"/>
    <n v="1"/>
    <x v="425"/>
    <n v="202302"/>
    <n v="202301"/>
    <n v="202301"/>
    <n v="1"/>
    <s v="Feb-2023"/>
    <x v="6"/>
    <x v="1"/>
    <n v="1"/>
    <d v="2023-02-12T00:00:00"/>
    <d v="2023-02-12T00:00:00"/>
    <x v="0"/>
    <x v="1"/>
    <s v="Port Harcourt"/>
    <s v="Non-Profit"/>
    <x v="4"/>
    <x v="14"/>
    <x v="6"/>
    <s v="ACC-8242"/>
    <n v="944.61"/>
    <n v="839.04"/>
    <n v="815.10700000000008"/>
    <n v="1620.05"/>
    <s v="High"/>
    <n v="5.8999999999999997E-2"/>
    <n v="0"/>
    <n v="6"/>
    <n v="5034.24"/>
    <n v="5667.66"/>
    <n v="-633.42000000000007"/>
    <n v="-0.12582236842105265"/>
  </r>
  <r>
    <s v="ORD-2023-453699"/>
    <m/>
    <x v="305"/>
    <d v="2453-11-22T00:00:00"/>
    <d v="2453-11-16T00:00:00"/>
    <d v="2453-11-16T00:00:00"/>
    <d v="1900-01-05T00:00:00"/>
    <s v="Jul-2023"/>
    <x v="3"/>
    <x v="1"/>
    <d v="1900-01-06T00:00:00"/>
    <d v="2023-07-08T00:00:00"/>
    <d v="2023-07-08T00:00:00"/>
    <x v="3"/>
    <x v="6"/>
    <s v="Frankfurt"/>
    <s v="Small Business"/>
    <x v="3"/>
    <x v="13"/>
    <x v="4"/>
    <s v="LAP-4666"/>
    <n v="460.21"/>
    <n v="1139.1500000000001"/>
    <n v="815.10700000000008"/>
    <n v="1620.05"/>
    <m/>
    <n v="0.115"/>
    <n v="0"/>
    <n v="14"/>
    <n v="15948.100000000002"/>
    <n v="6442.94"/>
    <n v="9505.1600000000035"/>
    <n v="0.59600579379361818"/>
  </r>
  <r>
    <s v="ORD-2025-960931"/>
    <m/>
    <x v="426"/>
    <d v="2454-06-11T00:00:00"/>
    <d v="2453-11-16T00:00:00"/>
    <d v="2453-11-16T00:00:00"/>
    <d v="1900-01-30T00:00:00"/>
    <s v="Aug-2025"/>
    <x v="11"/>
    <x v="1"/>
    <d v="1900-01-05T00:00:00"/>
    <d v="2025-08-26T00:00:00"/>
    <d v="2025-08-26T00:00:00"/>
    <x v="2"/>
    <x v="10"/>
    <s v="New York"/>
    <s v="Corporate"/>
    <x v="0"/>
    <x v="12"/>
    <x v="2"/>
    <s v="NET-5196"/>
    <n v="1304.95"/>
    <n v="1712.03"/>
    <n v="815.10700000000008"/>
    <n v="1620.05"/>
    <m/>
    <n v="0.21199999999999999"/>
    <n v="1"/>
    <n v="8"/>
    <n v="13696.24"/>
    <n v="10439.6"/>
    <n v="3256.6399999999994"/>
    <n v="0.23777620719263093"/>
  </r>
  <r>
    <s v="ORD-2024-419248"/>
    <m/>
    <x v="427"/>
    <d v="2454-02-26T00:00:00"/>
    <d v="2453-11-16T00:00:00"/>
    <d v="2453-11-16T00:00:00"/>
    <d v="1900-01-13T00:00:00"/>
    <s v="Mar-2024"/>
    <x v="8"/>
    <x v="0"/>
    <d v="1900-01-11T00:00:00"/>
    <d v="2024-03-16T00:00:00"/>
    <d v="2024-03-16T00:00:00"/>
    <x v="0"/>
    <x v="11"/>
    <s v="Johannesburg"/>
    <s v="Enterprise"/>
    <x v="3"/>
    <x v="12"/>
    <x v="5"/>
    <s v="MON-8422"/>
    <n v="441.08"/>
    <n v="1054.29"/>
    <n v="815.10700000000008"/>
    <n v="1620.05"/>
    <m/>
    <n v="0.23699999999999999"/>
    <n v="1"/>
    <n v="6"/>
    <n v="6325.74"/>
    <n v="2646.48"/>
    <n v="3679.2599999999998"/>
    <n v="0.58163313699266805"/>
  </r>
  <r>
    <s v="ORD-2023-488227"/>
    <n v="1"/>
    <x v="428"/>
    <n v="202309"/>
    <n v="202301"/>
    <n v="202301"/>
    <n v="8"/>
    <s v="Sept-2023"/>
    <x v="1"/>
    <x v="0"/>
    <n v="24"/>
    <d v="2023-10-02T00:00:00"/>
    <d v="2023-10-02T00:00:00"/>
    <x v="2"/>
    <x v="3"/>
    <s v="Toronto"/>
    <s v="Education"/>
    <x v="4"/>
    <x v="8"/>
    <x v="6"/>
    <s v="ACC-3415"/>
    <n v="1299.03"/>
    <n v="2451.2199999999998"/>
    <n v="815.10700000000008"/>
    <n v="1620.05"/>
    <s v="Medium"/>
    <n v="0.20799999999999999"/>
    <n v="1"/>
    <n v="8"/>
    <n v="19609.759999999998"/>
    <n v="10392.24"/>
    <n v="9217.5199999999986"/>
    <n v="0.47004756814973764"/>
  </r>
  <r>
    <s v="ORD-2023-472078"/>
    <m/>
    <x v="2"/>
    <d v="2453-11-17T00:00:00"/>
    <d v="2453-11-16T00:00:00"/>
    <d v="2453-11-16T00:00:00"/>
    <d v="1899-12-31T00:00:00"/>
    <s v="Feb-2023"/>
    <x v="11"/>
    <x v="1"/>
    <d v="1900-01-05T00:00:00"/>
    <d v="2023-03-06T00:00:00"/>
    <d v="2023-03-06T00:00:00"/>
    <x v="3"/>
    <x v="6"/>
    <s v="Frankfurt"/>
    <s v="Small Business"/>
    <x v="2"/>
    <x v="14"/>
    <x v="1"/>
    <s v="PRN-9624"/>
    <n v="880.02"/>
    <n v="1251.21"/>
    <n v="815.10700000000008"/>
    <n v="1620.05"/>
    <m/>
    <n v="0.123"/>
    <n v="0"/>
    <n v="29"/>
    <n v="36285.090000000004"/>
    <n v="25520.579999999998"/>
    <n v="10764.510000000006"/>
    <n v="0.29666482844606434"/>
  </r>
  <r>
    <s v="ORD-2024-202877"/>
    <n v="1"/>
    <x v="292"/>
    <n v="202407"/>
    <n v="202301"/>
    <n v="202301"/>
    <n v="18"/>
    <s v="Jul-2024"/>
    <x v="3"/>
    <x v="0"/>
    <n v="21"/>
    <d v="2024-08-03T00:00:00"/>
    <d v="2024-08-03T00:00:00"/>
    <x v="2"/>
    <x v="5"/>
    <s v="Rio de Janeiro"/>
    <s v="Corporate"/>
    <x v="2"/>
    <x v="12"/>
    <x v="5"/>
    <s v="MON-6287"/>
    <n v="702.98"/>
    <n v="1104.8"/>
    <n v="815.10700000000008"/>
    <n v="1620.05"/>
    <s v="Medium"/>
    <n v="0.17499999999999999"/>
    <n v="0"/>
    <n v="12"/>
    <n v="13257.599999999999"/>
    <n v="8435.76"/>
    <n v="4821.8399999999983"/>
    <n v="0.36370383779869653"/>
  </r>
  <r>
    <s v="ORD-2024-140633"/>
    <n v="1"/>
    <x v="429"/>
    <n v="202412"/>
    <n v="202301"/>
    <n v="202301"/>
    <n v="23"/>
    <s v="Dec-2024"/>
    <x v="10"/>
    <x v="0"/>
    <n v="19"/>
    <d v="2024-12-26T00:00:00"/>
    <d v="2024-12-26T00:00:00"/>
    <x v="3"/>
    <x v="8"/>
    <s v="London"/>
    <s v="Enterprise"/>
    <x v="1"/>
    <x v="14"/>
    <x v="2"/>
    <s v="NET-4491"/>
    <n v="1035.24"/>
    <n v="2383.41"/>
    <n v="815.10700000000008"/>
    <n v="1620.05"/>
    <s v="Medium"/>
    <n v="0.17"/>
    <n v="0"/>
    <n v="15"/>
    <n v="35751.149999999994"/>
    <n v="15528.6"/>
    <n v="20222.549999999996"/>
    <n v="0.56564753861064609"/>
  </r>
  <r>
    <s v="ORD-2025-419532"/>
    <n v="1"/>
    <x v="430"/>
    <n v="202508"/>
    <n v="202301"/>
    <n v="202301"/>
    <n v="31"/>
    <s v="Aug-2025"/>
    <x v="2"/>
    <x v="0"/>
    <n v="17"/>
    <d v="2025-08-23T00:00:00"/>
    <d v="2025-08-23T00:00:00"/>
    <x v="2"/>
    <x v="5"/>
    <s v="Brasília"/>
    <s v="Consumer"/>
    <x v="3"/>
    <x v="8"/>
    <x v="5"/>
    <s v="MON-4317"/>
    <n v="86.64"/>
    <n v="213.06"/>
    <n v="815.10700000000008"/>
    <n v="1620.05"/>
    <s v="High"/>
    <n v="0.21199999999999999"/>
    <n v="1"/>
    <n v="11"/>
    <n v="2343.66"/>
    <n v="953.04"/>
    <n v="1390.62"/>
    <n v="0.59335398479301604"/>
  </r>
  <r>
    <s v="ORD-2023-139236"/>
    <m/>
    <x v="431"/>
    <d v="2453-11-18T00:00:00"/>
    <d v="2453-11-18T00:00:00"/>
    <d v="2453-11-18T00:00:00"/>
    <d v="1899-12-30T00:00:00"/>
    <s v="Mar-2023"/>
    <x v="8"/>
    <x v="0"/>
    <d v="1900-01-16T00:00:00"/>
    <d v="2023-03-20T00:00:00"/>
    <d v="2023-03-20T00:00:00"/>
    <x v="1"/>
    <x v="2"/>
    <s v="Nagoya"/>
    <s v="Small Business"/>
    <x v="1"/>
    <x v="14"/>
    <x v="2"/>
    <s v="NET-7349"/>
    <n v="1171.17"/>
    <n v="2030.64"/>
    <n v="815.10700000000008"/>
    <n v="1620.05"/>
    <m/>
    <n v="0.157"/>
    <n v="0"/>
    <n v="11"/>
    <n v="22337.040000000001"/>
    <n v="12882.87"/>
    <n v="9454.17"/>
    <n v="0.42325079777804042"/>
  </r>
  <r>
    <s v="ORD-2025-337268"/>
    <m/>
    <x v="432"/>
    <d v="2454-06-05T00:00:00"/>
    <d v="2453-11-16T00:00:00"/>
    <d v="2453-11-16T00:00:00"/>
    <d v="1900-01-24T00:00:00"/>
    <s v="Feb-2025"/>
    <x v="3"/>
    <x v="0"/>
    <d v="1900-01-28T00:00:00"/>
    <d v="2025-03-17T00:00:00"/>
    <d v="2025-03-17T00:00:00"/>
    <x v="3"/>
    <x v="6"/>
    <s v="Munich"/>
    <s v="Consumer"/>
    <x v="0"/>
    <x v="4"/>
    <x v="6"/>
    <s v="ACC-5150"/>
    <n v="730.42"/>
    <n v="956.7"/>
    <n v="815.10700000000008"/>
    <n v="1620.05"/>
    <m/>
    <n v="4.2000000000000003E-2"/>
    <n v="0"/>
    <n v="22"/>
    <n v="21047.4"/>
    <n v="16069.24"/>
    <n v="4978.1600000000017"/>
    <n v="0.23652137556182717"/>
  </r>
  <r>
    <s v="ORD-2025-332931"/>
    <m/>
    <x v="146"/>
    <d v="2454-06-05T00:00:00"/>
    <d v="2453-11-16T00:00:00"/>
    <d v="2453-11-16T00:00:00"/>
    <d v="1900-01-24T00:00:00"/>
    <s v="Feb-2025"/>
    <x v="4"/>
    <x v="0"/>
    <d v="1900-01-13T00:00:00"/>
    <d v="2025-03-01T00:00:00"/>
    <d v="2025-03-01T00:00:00"/>
    <x v="0"/>
    <x v="0"/>
    <s v="Mombasa"/>
    <s v="Education"/>
    <x v="4"/>
    <x v="4"/>
    <x v="6"/>
    <s v="ACC-5144"/>
    <n v="1162.8599999999999"/>
    <n v="1447.68"/>
    <n v="815.10700000000008"/>
    <n v="1620.05"/>
    <m/>
    <n v="8.6999999999999994E-2"/>
    <n v="0"/>
    <n v="12"/>
    <n v="17372.16"/>
    <n v="13954.32"/>
    <n v="3417.84"/>
    <n v="0.19674237400530506"/>
  </r>
  <r>
    <s v="ORD-2024-536442"/>
    <m/>
    <x v="433"/>
    <d v="2454-03-03T00:00:00"/>
    <d v="2453-11-18T00:00:00"/>
    <d v="2453-11-18T00:00:00"/>
    <d v="1900-01-16T00:00:00"/>
    <s v="Aug-2024"/>
    <x v="4"/>
    <x v="0"/>
    <d v="1900-01-25T00:00:00"/>
    <d v="2024-09-26T00:00:00"/>
    <d v="2024-09-26T00:00:00"/>
    <x v="1"/>
    <x v="2"/>
    <s v="Tokyo"/>
    <s v="Education"/>
    <x v="1"/>
    <x v="2"/>
    <x v="3"/>
    <s v="PHN-6111"/>
    <n v="1189.03"/>
    <n v="2949.62"/>
    <n v="815.10700000000008"/>
    <n v="1620.05"/>
    <m/>
    <n v="0.125"/>
    <n v="0"/>
    <n v="13"/>
    <n v="38345.06"/>
    <n v="15457.39"/>
    <n v="22887.67"/>
    <n v="0.59688705663780417"/>
  </r>
  <r>
    <s v="ORD-2023-957692"/>
    <n v="1"/>
    <x v="238"/>
    <n v="202305"/>
    <n v="202302"/>
    <n v="202302"/>
    <n v="3"/>
    <s v="May-2023"/>
    <x v="10"/>
    <x v="0"/>
    <n v="13"/>
    <d v="2023-05-20T00:00:00"/>
    <d v="2023-05-20T00:00:00"/>
    <x v="1"/>
    <x v="4"/>
    <s v="Mumbai"/>
    <s v="Enterprise"/>
    <x v="0"/>
    <x v="14"/>
    <x v="6"/>
    <s v="ACC-9283"/>
    <n v="1443.28"/>
    <n v="2580.5700000000002"/>
    <n v="815.10700000000008"/>
    <n v="1620.05"/>
    <s v="High"/>
    <n v="0"/>
    <n v="0"/>
    <n v="18"/>
    <n v="46450.26"/>
    <n v="25979.040000000001"/>
    <n v="20471.22"/>
    <n v="0.4407127107577008"/>
  </r>
  <r>
    <s v="ORD-2025-874124"/>
    <n v="1"/>
    <x v="78"/>
    <n v="202505"/>
    <n v="202301"/>
    <n v="202301"/>
    <n v="28"/>
    <s v="May-2025"/>
    <x v="9"/>
    <x v="1"/>
    <n v="0"/>
    <d v="2025-05-14T00:00:00"/>
    <d v="2025-05-12T00:00:00"/>
    <x v="2"/>
    <x v="3"/>
    <s v="Vancouver"/>
    <s v="Non-Profit"/>
    <x v="3"/>
    <x v="9"/>
    <x v="1"/>
    <s v="PRN-2407"/>
    <n v="883.5"/>
    <n v="1978.91"/>
    <n v="815.10700000000008"/>
    <n v="1620.05"/>
    <s v="High"/>
    <n v="5.3999999999999999E-2"/>
    <n v="0"/>
    <n v="27"/>
    <n v="53430.57"/>
    <n v="23854.5"/>
    <n v="29576.07"/>
    <n v="0.55354210145989458"/>
  </r>
  <r>
    <s v="ORD-2024-687073"/>
    <m/>
    <x v="0"/>
    <d v="2454-02-26T00:00:00"/>
    <d v="2453-11-16T00:00:00"/>
    <d v="2453-11-16T00:00:00"/>
    <d v="1900-01-13T00:00:00"/>
    <s v="Mar-2024"/>
    <x v="7"/>
    <x v="0"/>
    <d v="1900-01-17T00:00:00"/>
    <d v="2024-03-29T00:00:00"/>
    <d v="2024-03-29T00:00:00"/>
    <x v="2"/>
    <x v="10"/>
    <s v="New York"/>
    <s v="Corporate"/>
    <x v="0"/>
    <x v="12"/>
    <x v="5"/>
    <s v="MON-7099"/>
    <n v="710.98"/>
    <n v="1481.45"/>
    <n v="815.10700000000008"/>
    <n v="1620.05"/>
    <m/>
    <n v="0.21099999999999999"/>
    <n v="1"/>
    <n v="9"/>
    <n v="13333.050000000001"/>
    <n v="6398.82"/>
    <n v="6934.2300000000014"/>
    <n v="0.52007830166391045"/>
  </r>
  <r>
    <s v="ORD-2024-555229"/>
    <m/>
    <x v="22"/>
    <d v="2454-02-28T00:00:00"/>
    <d v="2453-11-16T00:00:00"/>
    <d v="2453-11-16T00:00:00"/>
    <d v="1900-01-15T00:00:00"/>
    <s v="May-2024"/>
    <x v="1"/>
    <x v="1"/>
    <d v="1900-01-03T00:00:00"/>
    <d v="2024-05-22T00:00:00"/>
    <d v="2024-05-22T00:00:00"/>
    <x v="0"/>
    <x v="0"/>
    <s v="Nairobi"/>
    <s v="Corporate"/>
    <x v="4"/>
    <x v="10"/>
    <x v="6"/>
    <s v="ACC-7354"/>
    <n v="857.42"/>
    <n v="1658.92"/>
    <n v="815.10700000000008"/>
    <n v="1620.05"/>
    <m/>
    <n v="0.122"/>
    <n v="0"/>
    <n v="9"/>
    <n v="14930.28"/>
    <n v="7716.78"/>
    <n v="7213.5000000000009"/>
    <n v="0.48314566103247902"/>
  </r>
  <r>
    <s v="ORD-2024-872291"/>
    <n v="1"/>
    <x v="434"/>
    <n v="202401"/>
    <n v="202302"/>
    <n v="202302"/>
    <n v="11"/>
    <s v="Jan-2024"/>
    <x v="6"/>
    <x v="1"/>
    <n v="4"/>
    <d v="2024-01-12T00:00:00"/>
    <d v="2024-01-12T00:00:00"/>
    <x v="1"/>
    <x v="4"/>
    <s v="Bengaluru"/>
    <s v="Corporate"/>
    <x v="4"/>
    <x v="6"/>
    <x v="1"/>
    <s v="PRN-6585"/>
    <n v="802.32"/>
    <n v="602.34"/>
    <n v="815.10700000000008"/>
    <n v="1620.05"/>
    <s v="High"/>
    <n v="0.12"/>
    <n v="0"/>
    <n v="25"/>
    <n v="15058.5"/>
    <n v="20058"/>
    <n v="-4999.5"/>
    <n v="-0.33200517979878474"/>
  </r>
  <r>
    <s v="ORD-2024-250862"/>
    <m/>
    <x v="40"/>
    <d v="2454-03-05T00:00:00"/>
    <d v="2453-11-16T00:00:00"/>
    <d v="2453-11-16T00:00:00"/>
    <d v="1900-01-20T00:00:00"/>
    <s v="Oct-2024"/>
    <x v="1"/>
    <x v="0"/>
    <d v="1900-01-10T00:00:00"/>
    <d v="2024-11-05T00:00:00"/>
    <d v="2024-11-05T00:00:00"/>
    <x v="2"/>
    <x v="10"/>
    <s v="New York"/>
    <s v="Corporate"/>
    <x v="3"/>
    <x v="13"/>
    <x v="0"/>
    <s v="CMP-9498"/>
    <n v="446.66"/>
    <n v="527.64"/>
    <n v="815.10700000000008"/>
    <n v="1620.05"/>
    <m/>
    <n v="0.14499999999999999"/>
    <n v="0"/>
    <n v="15"/>
    <n v="7914.5999999999995"/>
    <n v="6699.9000000000005"/>
    <n v="1214.6999999999989"/>
    <n v="0.15347585474945025"/>
  </r>
  <r>
    <s v="ORD-2024-331226"/>
    <m/>
    <x v="25"/>
    <d v="2454-03-06T00:00:00"/>
    <d v="2453-11-16T00:00:00"/>
    <d v="2453-11-16T00:00:00"/>
    <d v="1900-01-21T00:00:00"/>
    <s v="Nov-2024"/>
    <x v="2"/>
    <x v="0"/>
    <d v="1900-01-18T00:00:00"/>
    <d v="2024-12-19T00:00:00"/>
    <d v="2024-12-19T00:00:00"/>
    <x v="0"/>
    <x v="0"/>
    <s v="Kisumu"/>
    <s v="Corporate"/>
    <x v="1"/>
    <x v="4"/>
    <x v="3"/>
    <s v="PHN-1919"/>
    <n v="1195.98"/>
    <n v="1841.9"/>
    <n v="815.10700000000008"/>
    <n v="1620.05"/>
    <m/>
    <n v="5.5E-2"/>
    <n v="0"/>
    <n v="19"/>
    <n v="34996.1"/>
    <n v="22723.62"/>
    <n v="12272.48"/>
    <n v="0.35068136163743963"/>
  </r>
  <r>
    <s v="ORD-2023-356427"/>
    <n v="1"/>
    <x v="289"/>
    <n v="202304"/>
    <n v="202301"/>
    <n v="202301"/>
    <n v="3"/>
    <s v="Apr-2023"/>
    <x v="2"/>
    <x v="0"/>
    <n v="19"/>
    <d v="2023-05-02T00:00:00"/>
    <d v="2023-05-02T00:00:00"/>
    <x v="2"/>
    <x v="3"/>
    <s v="Montreal"/>
    <s v="Consumer"/>
    <x v="3"/>
    <x v="6"/>
    <x v="5"/>
    <s v="MON-6053"/>
    <n v="671.05"/>
    <n v="1645.48"/>
    <n v="815.10700000000008"/>
    <n v="1620.05"/>
    <s v="High"/>
    <n v="0.13700000000000001"/>
    <n v="0"/>
    <n v="6"/>
    <n v="9872.880000000001"/>
    <n v="4026.2999999999997"/>
    <n v="5846.5800000000017"/>
    <n v="0.59218586673797324"/>
  </r>
  <r>
    <s v="ORD-2025-659650"/>
    <n v="1"/>
    <x v="184"/>
    <n v="202502"/>
    <n v="202301"/>
    <n v="202301"/>
    <n v="25"/>
    <s v="Feb-2025"/>
    <x v="9"/>
    <x v="1"/>
    <n v="4"/>
    <d v="2025-02-08T00:00:00"/>
    <d v="2025-02-08T00:00:00"/>
    <x v="3"/>
    <x v="8"/>
    <s v="Manchester"/>
    <s v="Enterprise"/>
    <x v="2"/>
    <x v="4"/>
    <x v="2"/>
    <s v="NET-2502"/>
    <n v="586.21"/>
    <n v="727.22"/>
    <n v="815.10700000000008"/>
    <n v="1620.05"/>
    <s v="High"/>
    <n v="6.8000000000000005E-2"/>
    <n v="0"/>
    <n v="15"/>
    <n v="10908.300000000001"/>
    <n v="8793.1500000000015"/>
    <n v="2115.1499999999996"/>
    <n v="0.19390280795357659"/>
  </r>
  <r>
    <s v="ORD-2024-207669"/>
    <n v="1"/>
    <x v="435"/>
    <n v="202401"/>
    <n v="202301"/>
    <n v="202301"/>
    <n v="12"/>
    <s v="Jan-2024"/>
    <x v="4"/>
    <x v="0"/>
    <n v="11"/>
    <d v="2024-02-04T00:00:00"/>
    <d v="2024-02-04T00:00:00"/>
    <x v="3"/>
    <x v="8"/>
    <s v="Manchester"/>
    <s v="Consumer"/>
    <x v="0"/>
    <x v="5"/>
    <x v="4"/>
    <s v="LAP-5689"/>
    <n v="525.34"/>
    <n v="1233.79"/>
    <n v="815.10700000000008"/>
    <n v="1620.05"/>
    <s v="Low"/>
    <n v="0.14299999999999999"/>
    <n v="0"/>
    <n v="4"/>
    <n v="4935.16"/>
    <n v="2101.36"/>
    <n v="2833.7999999999997"/>
    <n v="0.57420630739428913"/>
  </r>
  <r>
    <s v="ORD-2024-979401"/>
    <m/>
    <x v="436"/>
    <d v="2454-02-25T00:00:00"/>
    <d v="2453-11-16T00:00:00"/>
    <d v="2453-11-16T00:00:00"/>
    <d v="1900-01-12T00:00:00"/>
    <s v="Feb-2024"/>
    <x v="1"/>
    <x v="1"/>
    <d v="1899-12-31T00:00:00"/>
    <d v="2024-02-09T00:00:00"/>
    <d v="2024-02-09T00:00:00"/>
    <x v="0"/>
    <x v="0"/>
    <s v="Mombasa"/>
    <s v="Corporate"/>
    <x v="4"/>
    <x v="9"/>
    <x v="0"/>
    <s v="CMP-5911"/>
    <n v="1233.52"/>
    <n v="1543.76"/>
    <n v="815.10700000000008"/>
    <n v="1620.05"/>
    <m/>
    <n v="0.126"/>
    <n v="0"/>
    <n v="13"/>
    <n v="20068.88"/>
    <n v="16035.76"/>
    <n v="4033.1200000000008"/>
    <n v="0.20096388039591651"/>
  </r>
  <r>
    <s v="ORD-2025-929414"/>
    <n v="1"/>
    <x v="437"/>
    <n v="202506"/>
    <n v="202301"/>
    <n v="202301"/>
    <n v="29"/>
    <s v="Jun-2025"/>
    <x v="1"/>
    <x v="0"/>
    <n v="15"/>
    <d v="2025-07-11T00:00:00"/>
    <d v="2025-07-11T00:00:00"/>
    <x v="0"/>
    <x v="1"/>
    <s v="Port Harcourt"/>
    <s v="Small Business"/>
    <x v="1"/>
    <x v="8"/>
    <x v="4"/>
    <s v="LAP-7523"/>
    <n v="1170.1500000000001"/>
    <n v="2115.19"/>
    <n v="815.10700000000008"/>
    <n v="1620.05"/>
    <s v="Medium"/>
    <n v="9.1999999999999998E-2"/>
    <n v="0"/>
    <n v="23"/>
    <n v="48649.37"/>
    <n v="26913.45"/>
    <n v="21735.920000000002"/>
    <n v="0.44678728624851671"/>
  </r>
  <r>
    <s v="ORD-2024-766980"/>
    <m/>
    <x v="272"/>
    <d v="2454-03-06T00:00:00"/>
    <d v="2453-11-16T00:00:00"/>
    <d v="2453-11-16T00:00:00"/>
    <d v="1900-01-21T00:00:00"/>
    <s v="Nov-2024"/>
    <x v="7"/>
    <x v="1"/>
    <d v="1900-01-02T00:00:00"/>
    <d v="2024-11-07T00:00:00"/>
    <d v="2024-11-07T00:00:00"/>
    <x v="3"/>
    <x v="7"/>
    <s v="Lyon"/>
    <s v="Corporate"/>
    <x v="1"/>
    <x v="7"/>
    <x v="5"/>
    <s v="MON-1118"/>
    <n v="740.68"/>
    <n v="1837.19"/>
    <n v="815.10700000000008"/>
    <n v="1620.05"/>
    <m/>
    <n v="0.19700000000000001"/>
    <n v="0"/>
    <n v="17"/>
    <n v="31232.23"/>
    <n v="12591.56"/>
    <n v="18640.669999999998"/>
    <n v="0.59684082756818835"/>
  </r>
  <r>
    <s v="ORD-2024-437164"/>
    <m/>
    <x v="438"/>
    <d v="2454-02-25T00:00:00"/>
    <d v="2453-11-16T00:00:00"/>
    <d v="2453-11-16T00:00:00"/>
    <d v="1900-01-12T00:00:00"/>
    <s v="Feb-2024"/>
    <x v="2"/>
    <x v="1"/>
    <d v="1899-12-30T00:00:00"/>
    <d v="2024-02-20T00:00:00"/>
    <d v="2024-02-20T00:00:00"/>
    <x v="2"/>
    <x v="10"/>
    <s v="New York"/>
    <s v="Enterprise"/>
    <x v="1"/>
    <x v="0"/>
    <x v="2"/>
    <s v="NET-9177"/>
    <n v="1407.05"/>
    <n v="2858.93"/>
    <n v="815.10700000000008"/>
    <n v="1620.05"/>
    <m/>
    <n v="0"/>
    <n v="0"/>
    <n v="12"/>
    <n v="34307.159999999996"/>
    <n v="16884.599999999999"/>
    <n v="17422.559999999998"/>
    <n v="0.50784034586366222"/>
  </r>
  <r>
    <s v="ORD-2025-169093"/>
    <m/>
    <x v="439"/>
    <d v="2454-06-07T00:00:00"/>
    <d v="2453-11-18T00:00:00"/>
    <d v="2453-11-18T00:00:00"/>
    <d v="1900-01-24T00:00:00"/>
    <s v="Apr-2025"/>
    <x v="1"/>
    <x v="1"/>
    <d v="1899-12-31T00:00:00"/>
    <d v="2025-04-14T00:00:00"/>
    <d v="2025-04-14T00:00:00"/>
    <x v="1"/>
    <x v="2"/>
    <s v="Osaka"/>
    <s v="Enterprise"/>
    <x v="1"/>
    <x v="3"/>
    <x v="0"/>
    <s v="CMP-6495"/>
    <n v="138.9"/>
    <n v="289.92"/>
    <n v="815.10700000000008"/>
    <n v="1620.05"/>
    <m/>
    <n v="2.9000000000000001E-2"/>
    <n v="0"/>
    <n v="12"/>
    <n v="3479.04"/>
    <n v="1666.8000000000002"/>
    <n v="1812.2399999999998"/>
    <n v="0.52090231788079466"/>
  </r>
  <r>
    <s v="ORD-2023-868460"/>
    <n v="1"/>
    <x v="407"/>
    <n v="202306"/>
    <n v="202302"/>
    <n v="202302"/>
    <n v="4"/>
    <s v="Jun-2023"/>
    <x v="7"/>
    <x v="1"/>
    <n v="0"/>
    <d v="2023-06-01T00:00:00"/>
    <d v="2023-06-01T00:00:00"/>
    <x v="1"/>
    <x v="4"/>
    <s v="Bengaluru"/>
    <s v="Corporate"/>
    <x v="0"/>
    <x v="6"/>
    <x v="6"/>
    <s v="ACC-4587"/>
    <n v="669.37"/>
    <n v="997.2"/>
    <n v="815.10700000000008"/>
    <n v="1620.05"/>
    <s v="Low"/>
    <n v="8.2000000000000003E-2"/>
    <n v="0"/>
    <n v="5"/>
    <n v="4986"/>
    <n v="3346.85"/>
    <n v="1639.15"/>
    <n v="0.32875050140393103"/>
  </r>
  <r>
    <s v="ORD-2025-177994"/>
    <n v="1"/>
    <x v="400"/>
    <n v="202503"/>
    <n v="202302"/>
    <n v="202302"/>
    <n v="25"/>
    <s v="Mar-2025"/>
    <x v="9"/>
    <x v="0"/>
    <n v="11"/>
    <d v="2025-04-04T00:00:00"/>
    <d v="2025-04-04T00:00:00"/>
    <x v="1"/>
    <x v="4"/>
    <s v="Mumbai"/>
    <s v="Education"/>
    <x v="2"/>
    <x v="1"/>
    <x v="3"/>
    <s v="PHN-4395"/>
    <n v="23.83"/>
    <n v="47.29"/>
    <n v="815.10700000000008"/>
    <n v="1620.05"/>
    <s v="Medium"/>
    <n v="6.4000000000000001E-2"/>
    <n v="0"/>
    <n v="19"/>
    <n v="898.51"/>
    <n v="452.77"/>
    <n v="445.74"/>
    <n v="0.4960879678578981"/>
  </r>
  <r>
    <s v="ORD-2024-355095"/>
    <n v="1"/>
    <x v="278"/>
    <n v="202401"/>
    <n v="202301"/>
    <n v="202301"/>
    <n v="12"/>
    <s v="Jan-2024"/>
    <x v="4"/>
    <x v="1"/>
    <n v="0"/>
    <d v="2024-01-02T00:00:00"/>
    <d v="2024-01-02T00:00:00"/>
    <x v="2"/>
    <x v="3"/>
    <s v="Vancouver"/>
    <s v="Education"/>
    <x v="4"/>
    <x v="8"/>
    <x v="4"/>
    <s v="LAP-3581"/>
    <n v="444.41"/>
    <n v="754.24"/>
    <n v="815.10700000000008"/>
    <n v="1620.05"/>
    <s v="Low"/>
    <n v="0.20699999999999999"/>
    <n v="1"/>
    <n v="32"/>
    <n v="24135.68"/>
    <n v="14221.12"/>
    <n v="9914.56"/>
    <n v="0.41078436571913446"/>
  </r>
  <r>
    <s v="ORD-2023-126505"/>
    <n v="1"/>
    <x v="201"/>
    <n v="202312"/>
    <n v="202301"/>
    <n v="202301"/>
    <n v="11"/>
    <s v="Dec-2023"/>
    <x v="1"/>
    <x v="0"/>
    <n v="13"/>
    <d v="2024-01-01T00:00:00"/>
    <d v="2024-01-01T00:00:00"/>
    <x v="2"/>
    <x v="3"/>
    <s v="Toronto"/>
    <s v="Enterprise"/>
    <x v="0"/>
    <x v="11"/>
    <x v="5"/>
    <s v="MON-6065"/>
    <n v="856.1"/>
    <n v="901.48"/>
    <n v="815.10700000000008"/>
    <n v="1620.05"/>
    <s v="Low"/>
    <n v="5.6000000000000001E-2"/>
    <n v="0"/>
    <n v="17"/>
    <n v="15325.16"/>
    <n v="14553.7"/>
    <n v="771.45999999999913"/>
    <n v="5.033944180680653E-2"/>
  </r>
  <r>
    <s v="ORD-2023-340056"/>
    <m/>
    <x v="440"/>
    <d v="2453-11-19T00:00:00"/>
    <d v="2453-11-16T00:00:00"/>
    <d v="2453-11-16T00:00:00"/>
    <d v="1900-01-02T00:00:00"/>
    <s v="Apr-2023"/>
    <x v="5"/>
    <x v="1"/>
    <d v="1899-12-30T00:00:00"/>
    <d v="2023-04-26T00:00:00"/>
    <d v="2023-04-26T00:00:00"/>
    <x v="3"/>
    <x v="7"/>
    <s v="Marseille"/>
    <s v="Consumer"/>
    <x v="4"/>
    <x v="12"/>
    <x v="0"/>
    <s v="CMP-4945"/>
    <n v="81.489999999999995"/>
    <n v="113.08"/>
    <n v="815.10700000000008"/>
    <n v="1620.05"/>
    <m/>
    <n v="0.121"/>
    <n v="0"/>
    <n v="5"/>
    <n v="565.4"/>
    <n v="407.45"/>
    <n v="157.94999999999999"/>
    <n v="0.27935974531305269"/>
  </r>
  <r>
    <s v="ORD-2025-281413"/>
    <n v="1"/>
    <x v="441"/>
    <n v="202508"/>
    <n v="202301"/>
    <n v="202301"/>
    <n v="31"/>
    <s v="Aug-2025"/>
    <x v="9"/>
    <x v="0"/>
    <n v="13"/>
    <d v="2025-08-16T00:00:00"/>
    <d v="2025-08-16T00:00:00"/>
    <x v="2"/>
    <x v="3"/>
    <s v="Montreal"/>
    <s v="Enterprise"/>
    <x v="3"/>
    <x v="7"/>
    <x v="2"/>
    <s v="NET-3785"/>
    <n v="698.66"/>
    <n v="868.62"/>
    <n v="815.10700000000008"/>
    <n v="1620.05"/>
    <s v="Low"/>
    <n v="7.1999999999999995E-2"/>
    <n v="0"/>
    <n v="15"/>
    <n v="13029.3"/>
    <n v="10479.9"/>
    <n v="2549.3999999999996"/>
    <n v="0.19566668969169485"/>
  </r>
  <r>
    <s v="ORD-2023-713614"/>
    <n v="1"/>
    <x v="442"/>
    <n v="202308"/>
    <n v="202301"/>
    <n v="202301"/>
    <n v="7"/>
    <s v="Aug-2023"/>
    <x v="8"/>
    <x v="0"/>
    <n v="17"/>
    <d v="2023-08-19T00:00:00"/>
    <d v="2023-08-19T00:00:00"/>
    <x v="2"/>
    <x v="3"/>
    <s v="Vancouver"/>
    <s v="Corporate"/>
    <x v="1"/>
    <x v="9"/>
    <x v="2"/>
    <s v="NET-3689"/>
    <n v="175.38"/>
    <n v="347.9"/>
    <n v="815.10700000000008"/>
    <n v="1620.05"/>
    <s v="Medium"/>
    <n v="7.1999999999999995E-2"/>
    <n v="0"/>
    <n v="43"/>
    <n v="14959.699999999999"/>
    <n v="7541.34"/>
    <n v="7418.3599999999988"/>
    <n v="0.49588962345501575"/>
  </r>
  <r>
    <s v="ORD-2023-173313"/>
    <n v="1"/>
    <x v="250"/>
    <n v="202306"/>
    <n v="202301"/>
    <n v="202301"/>
    <n v="5"/>
    <s v="Jun-2023"/>
    <x v="11"/>
    <x v="0"/>
    <n v="27"/>
    <d v="2023-07-12T00:00:00"/>
    <d v="2023-07-12T00:00:00"/>
    <x v="3"/>
    <x v="8"/>
    <s v="Manchester"/>
    <s v="Consumer"/>
    <x v="4"/>
    <x v="2"/>
    <x v="6"/>
    <s v="ACC-3833"/>
    <n v="751.28"/>
    <n v="1111.8800000000001"/>
    <n v="815.10700000000008"/>
    <n v="1620.05"/>
    <s v="Low"/>
    <n v="0.13500000000000001"/>
    <n v="0"/>
    <n v="7"/>
    <n v="7783.1600000000008"/>
    <n v="5258.96"/>
    <n v="2524.2000000000007"/>
    <n v="0.32431557362305291"/>
  </r>
  <r>
    <s v="ORD-2024-496601"/>
    <n v="1"/>
    <x v="443"/>
    <n v="202411"/>
    <n v="202301"/>
    <n v="202301"/>
    <n v="22"/>
    <s v="Nov-2024"/>
    <x v="9"/>
    <x v="0"/>
    <n v="13"/>
    <d v="2024-11-24T00:00:00"/>
    <d v="2024-11-24T00:00:00"/>
    <x v="3"/>
    <x v="8"/>
    <s v="London"/>
    <s v="Corporate"/>
    <x v="0"/>
    <x v="6"/>
    <x v="2"/>
    <s v="NET-2932"/>
    <n v="164.53"/>
    <n v="327.72"/>
    <n v="815.10700000000008"/>
    <n v="1620.05"/>
    <s v="Medium"/>
    <n v="6.7000000000000004E-2"/>
    <n v="0"/>
    <n v="14"/>
    <n v="4588.08"/>
    <n v="2303.42"/>
    <n v="2284.66"/>
    <n v="0.49795557182961064"/>
  </r>
  <r>
    <s v="ORD-2025-155182"/>
    <m/>
    <x v="444"/>
    <d v="2454-06-10T00:00:00"/>
    <d v="2453-11-16T00:00:00"/>
    <d v="2453-11-16T00:00:00"/>
    <d v="1900-01-29T00:00:00"/>
    <s v="Jul-2025"/>
    <x v="2"/>
    <x v="0"/>
    <d v="1900-01-22T00:00:00"/>
    <d v="2025-08-03T00:00:00"/>
    <d v="2025-08-03T00:00:00"/>
    <x v="0"/>
    <x v="0"/>
    <s v="Nakuru"/>
    <s v="Small Business"/>
    <x v="0"/>
    <x v="0"/>
    <x v="3"/>
    <s v="PHN-7636"/>
    <n v="389.93"/>
    <n v="486.13"/>
    <n v="815.10700000000008"/>
    <n v="1620.05"/>
    <m/>
    <n v="0.13200000000000001"/>
    <n v="0"/>
    <n v="17"/>
    <n v="8264.2099999999991"/>
    <n v="6628.81"/>
    <n v="1635.3999999999987"/>
    <n v="0.19788945343838055"/>
  </r>
  <r>
    <s v="ORD-2023-244375"/>
    <n v="1"/>
    <x v="445"/>
    <n v="202306"/>
    <n v="202301"/>
    <n v="202301"/>
    <n v="5"/>
    <s v="Jun-2023"/>
    <x v="8"/>
    <x v="0"/>
    <n v="28"/>
    <d v="2023-07-01T00:00:00"/>
    <d v="2023-07-01T00:00:00"/>
    <x v="2"/>
    <x v="5"/>
    <s v="Brasília"/>
    <s v="Small Business"/>
    <x v="2"/>
    <x v="8"/>
    <x v="0"/>
    <s v="CMP-1223"/>
    <n v="860.4"/>
    <n v="2066.6"/>
    <n v="815.10700000000008"/>
    <n v="1620.05"/>
    <s v="Low"/>
    <n v="0.01"/>
    <n v="0"/>
    <n v="3"/>
    <n v="6199.7999999999993"/>
    <n v="2581.1999999999998"/>
    <n v="3618.5999999999995"/>
    <n v="0.58366398916094064"/>
  </r>
  <r>
    <s v="ORD-2023-856322"/>
    <n v="1"/>
    <x v="446"/>
    <n v="202301"/>
    <n v="202301"/>
    <n v="202301"/>
    <n v="0"/>
    <s v="Jan-2023"/>
    <x v="9"/>
    <x v="0"/>
    <n v="8"/>
    <d v="2023-02-06T00:00:00"/>
    <d v="2023-02-06T00:00:00"/>
    <x v="2"/>
    <x v="5"/>
    <s v="Brasília"/>
    <s v="Corporate"/>
    <x v="2"/>
    <x v="14"/>
    <x v="5"/>
    <s v="MON-7207"/>
    <n v="41.84"/>
    <n v="86.2"/>
    <n v="815.10700000000008"/>
    <n v="1620.05"/>
    <s v="High"/>
    <n v="0.22600000000000001"/>
    <n v="1"/>
    <n v="27"/>
    <n v="2327.4"/>
    <n v="1129.68"/>
    <n v="1197.72"/>
    <n v="0.51461716937354984"/>
  </r>
  <r>
    <s v="ORD-2024-594527"/>
    <m/>
    <x v="330"/>
    <d v="2454-03-04T00:00:00"/>
    <d v="2453-11-18T00:00:00"/>
    <d v="2453-11-18T00:00:00"/>
    <d v="1900-01-17T00:00:00"/>
    <s v="Sept-2024"/>
    <x v="3"/>
    <x v="1"/>
    <d v="1899-12-30T00:00:00"/>
    <d v="2024-09-06T00:00:00"/>
    <d v="2024-09-04T00:00:00"/>
    <x v="1"/>
    <x v="2"/>
    <s v="Osaka"/>
    <s v="Corporate"/>
    <x v="4"/>
    <x v="8"/>
    <x v="4"/>
    <s v="LAP-4483"/>
    <n v="1368.17"/>
    <n v="2307.75"/>
    <n v="815.10700000000008"/>
    <n v="1620.05"/>
    <m/>
    <n v="0.16300000000000001"/>
    <n v="0"/>
    <n v="21"/>
    <n v="48462.75"/>
    <n v="28731.57"/>
    <n v="19731.18"/>
    <n v="0.40714115480446322"/>
  </r>
  <r>
    <s v="ORD-2024-689872"/>
    <m/>
    <x v="447"/>
    <d v="2454-03-03T00:00:00"/>
    <d v="2453-11-16T00:00:00"/>
    <d v="2453-11-16T00:00:00"/>
    <d v="1900-01-18T00:00:00"/>
    <s v="Aug-2024"/>
    <x v="10"/>
    <x v="1"/>
    <d v="1900-01-05T00:00:00"/>
    <d v="2024-08-09T00:00:00"/>
    <d v="2024-08-09T00:00:00"/>
    <x v="0"/>
    <x v="0"/>
    <s v="Mombasa"/>
    <s v="Consumer"/>
    <x v="2"/>
    <x v="10"/>
    <x v="4"/>
    <s v="LAP-1969"/>
    <n v="643.21"/>
    <n v="1112.81"/>
    <n v="815.10700000000008"/>
    <n v="1620.05"/>
    <m/>
    <n v="0.14099999999999999"/>
    <n v="0"/>
    <n v="4"/>
    <n v="4451.24"/>
    <n v="2572.84"/>
    <n v="1878.3999999999996"/>
    <n v="0.42199476999667501"/>
  </r>
  <r>
    <s v="ORD-2025-246692"/>
    <n v="1"/>
    <x v="448"/>
    <n v="202504"/>
    <n v="202301"/>
    <n v="202301"/>
    <n v="27"/>
    <s v="Apr-2025"/>
    <x v="10"/>
    <x v="1"/>
    <n v="0"/>
    <d v="2025-04-17T00:00:00"/>
    <d v="2025-04-17T00:00:00"/>
    <x v="2"/>
    <x v="5"/>
    <s v="São Paulo"/>
    <s v="Corporate"/>
    <x v="3"/>
    <x v="4"/>
    <x v="3"/>
    <s v="PHN-4566"/>
    <n v="719.41"/>
    <n v="1125.99"/>
    <n v="815.10700000000008"/>
    <n v="1620.05"/>
    <s v="Medium"/>
    <n v="4.1000000000000002E-2"/>
    <n v="0"/>
    <n v="21"/>
    <n v="23645.79"/>
    <n v="15107.609999999999"/>
    <n v="8538.1800000000021"/>
    <n v="0.36108668815886474"/>
  </r>
  <r>
    <s v="ORD-2023-378676"/>
    <m/>
    <x v="449"/>
    <d v="2453-11-20T00:00:00"/>
    <d v="2453-11-16T00:00:00"/>
    <d v="2453-11-16T00:00:00"/>
    <d v="1900-01-03T00:00:00"/>
    <s v="May-2023"/>
    <x v="7"/>
    <x v="0"/>
    <d v="1900-01-12T00:00:00"/>
    <d v="2023-05-16T00:00:00"/>
    <d v="2023-05-16T00:00:00"/>
    <x v="2"/>
    <x v="10"/>
    <s v="New York"/>
    <s v="Corporate"/>
    <x v="2"/>
    <x v="4"/>
    <x v="3"/>
    <s v="PHN-5366"/>
    <n v="64.5"/>
    <n v="123.62"/>
    <n v="815.10700000000008"/>
    <n v="1620.05"/>
    <m/>
    <n v="0"/>
    <n v="0"/>
    <n v="3"/>
    <n v="370.86"/>
    <n v="193.5"/>
    <n v="177.36"/>
    <n v="0.47823976702798904"/>
  </r>
  <r>
    <s v="ORD-2024-243988"/>
    <n v="1"/>
    <x v="450"/>
    <n v="202403"/>
    <n v="202301"/>
    <n v="202301"/>
    <n v="14"/>
    <s v="Mar-2024"/>
    <x v="9"/>
    <x v="0"/>
    <n v="24"/>
    <d v="2024-04-06T00:00:00"/>
    <d v="2024-04-06T00:00:00"/>
    <x v="0"/>
    <x v="1"/>
    <s v="Abuja"/>
    <s v="Consumer"/>
    <x v="3"/>
    <x v="4"/>
    <x v="0"/>
    <s v="CMP-9001"/>
    <n v="1232.78"/>
    <n v="1731.75"/>
    <n v="815.10700000000008"/>
    <n v="1620.05"/>
    <s v="Low"/>
    <n v="9.2999999999999999E-2"/>
    <n v="0"/>
    <n v="16"/>
    <n v="27708"/>
    <n v="19724.48"/>
    <n v="7983.52"/>
    <n v="0.28813050382560995"/>
  </r>
  <r>
    <s v="ORD-2024-572312"/>
    <m/>
    <x v="248"/>
    <d v="2454-03-01T00:00:00"/>
    <d v="2453-11-18T00:00:00"/>
    <d v="2453-11-18T00:00:00"/>
    <d v="1900-01-14T00:00:00"/>
    <s v="Jun-2024"/>
    <x v="1"/>
    <x v="1"/>
    <d v="1900-01-04T00:00:00"/>
    <d v="2024-06-21T00:00:00"/>
    <d v="2024-06-21T00:00:00"/>
    <x v="1"/>
    <x v="2"/>
    <s v="Tokyo"/>
    <s v="Small Business"/>
    <x v="3"/>
    <x v="9"/>
    <x v="3"/>
    <s v="PHN-9677"/>
    <n v="1367.13"/>
    <n v="3062.01"/>
    <n v="815.10700000000008"/>
    <n v="1620.05"/>
    <m/>
    <n v="0.10299999999999999"/>
    <n v="0"/>
    <n v="25"/>
    <n v="76550.25"/>
    <n v="34178.25"/>
    <n v="42372"/>
    <n v="0.5535187670843662"/>
  </r>
  <r>
    <s v="ORD-2025-281062"/>
    <m/>
    <x v="146"/>
    <d v="2454-06-05T00:00:00"/>
    <d v="2453-11-16T00:00:00"/>
    <d v="2453-11-16T00:00:00"/>
    <d v="1900-01-24T00:00:00"/>
    <s v="Feb-2025"/>
    <x v="6"/>
    <x v="0"/>
    <d v="1900-01-11T00:00:00"/>
    <d v="2025-02-27T00:00:00"/>
    <d v="2025-02-27T00:00:00"/>
    <x v="3"/>
    <x v="7"/>
    <s v="Lyon"/>
    <s v="Non-Profit"/>
    <x v="4"/>
    <x v="11"/>
    <x v="6"/>
    <s v="ACC-1604"/>
    <n v="1027.26"/>
    <n v="2200.41"/>
    <n v="815.10700000000008"/>
    <n v="1620.05"/>
    <m/>
    <n v="8.7999999999999995E-2"/>
    <n v="0"/>
    <n v="6"/>
    <n v="13202.46"/>
    <n v="6163.5599999999995"/>
    <n v="7038.9"/>
    <n v="0.53315064010797986"/>
  </r>
  <r>
    <s v="ORD-2023-727290"/>
    <m/>
    <x v="451"/>
    <d v="2453-11-19T00:00:00"/>
    <d v="2453-11-16T00:00:00"/>
    <d v="2453-11-16T00:00:00"/>
    <d v="1900-01-02T00:00:00"/>
    <s v="Apr-2023"/>
    <x v="4"/>
    <x v="0"/>
    <d v="1900-01-12T00:00:00"/>
    <d v="2023-04-16T00:00:00"/>
    <d v="2023-04-16T00:00:00"/>
    <x v="3"/>
    <x v="7"/>
    <s v="Marseille"/>
    <s v="Non-Profit"/>
    <x v="2"/>
    <x v="12"/>
    <x v="6"/>
    <s v="ACC-4815"/>
    <n v="790.54"/>
    <n v="601.49"/>
    <n v="815.10700000000008"/>
    <n v="1620.05"/>
    <m/>
    <n v="0"/>
    <n v="0"/>
    <n v="15"/>
    <n v="9022.35"/>
    <n v="11858.099999999999"/>
    <n v="-2835.7499999999982"/>
    <n v="-0.31430281467688553"/>
  </r>
  <r>
    <s v="ORD-2025-993993"/>
    <m/>
    <x v="387"/>
    <d v="2454-06-11T00:00:00"/>
    <d v="2453-11-16T00:00:00"/>
    <d v="2453-11-16T00:00:00"/>
    <d v="1900-01-30T00:00:00"/>
    <s v="Aug-2025"/>
    <x v="9"/>
    <x v="0"/>
    <d v="1900-01-22T00:00:00"/>
    <d v="2025-09-22T00:00:00"/>
    <d v="2025-09-22T00:00:00"/>
    <x v="3"/>
    <x v="7"/>
    <s v="Marseille"/>
    <s v="Corporate"/>
    <x v="4"/>
    <x v="6"/>
    <x v="0"/>
    <s v="CMP-5311"/>
    <n v="663.9"/>
    <n v="947.77"/>
    <n v="815.10700000000008"/>
    <n v="1620.05"/>
    <m/>
    <n v="0.17399999999999999"/>
    <n v="0"/>
    <n v="15"/>
    <n v="14216.55"/>
    <n v="9958.5"/>
    <n v="4258.0499999999993"/>
    <n v="0.29951359507053393"/>
  </r>
  <r>
    <s v="ORD-2023-619493"/>
    <m/>
    <x v="452"/>
    <d v="2453-11-17T00:00:00"/>
    <d v="2453-11-16T00:00:00"/>
    <d v="2453-11-16T00:00:00"/>
    <d v="1899-12-31T00:00:00"/>
    <s v="Feb-2023"/>
    <x v="8"/>
    <x v="1"/>
    <d v="1899-12-30T00:00:00"/>
    <d v="2023-02-27T00:00:00"/>
    <d v="2023-02-26T00:00:00"/>
    <x v="2"/>
    <x v="10"/>
    <s v="San Francisco"/>
    <s v="Non-Profit"/>
    <x v="1"/>
    <x v="4"/>
    <x v="2"/>
    <s v="NET-1282"/>
    <n v="1015.91"/>
    <n v="2331.48"/>
    <n v="815.10700000000008"/>
    <n v="1620.05"/>
    <m/>
    <n v="0.14599999999999999"/>
    <n v="0"/>
    <n v="26"/>
    <n v="60618.48"/>
    <n v="26413.66"/>
    <n v="34204.820000000007"/>
    <n v="0.56426390104139867"/>
  </r>
  <r>
    <s v="ORD-2024-947056"/>
    <m/>
    <x v="453"/>
    <d v="2454-03-02T00:00:00"/>
    <d v="2453-11-18T00:00:00"/>
    <d v="2453-11-18T00:00:00"/>
    <d v="1900-01-15T00:00:00"/>
    <s v="Jul-2024"/>
    <x v="3"/>
    <x v="0"/>
    <d v="1900-01-14T00:00:00"/>
    <d v="2024-08-15T00:00:00"/>
    <d v="2024-08-15T00:00:00"/>
    <x v="1"/>
    <x v="2"/>
    <s v="Tokyo"/>
    <s v="Corporate"/>
    <x v="2"/>
    <x v="9"/>
    <x v="5"/>
    <s v="MON-1564"/>
    <n v="1252.52"/>
    <n v="1417.24"/>
    <n v="815.10700000000008"/>
    <n v="1620.05"/>
    <m/>
    <n v="0.192"/>
    <n v="0"/>
    <n v="5"/>
    <n v="7086.2"/>
    <n v="6262.6"/>
    <n v="823.59999999999945"/>
    <n v="0.11622590386949275"/>
  </r>
  <r>
    <s v="ORD-2025-856556"/>
    <m/>
    <x v="324"/>
    <d v="2454-06-09T00:00:00"/>
    <d v="2453-11-16T00:00:00"/>
    <d v="2453-11-16T00:00:00"/>
    <d v="1900-01-28T00:00:00"/>
    <s v="Jun-2025"/>
    <x v="10"/>
    <x v="0"/>
    <d v="1900-01-26T00:00:00"/>
    <d v="2025-07-12T00:00:00"/>
    <d v="2025-07-12T00:00:00"/>
    <x v="3"/>
    <x v="7"/>
    <s v="Marseille"/>
    <s v="Consumer"/>
    <x v="4"/>
    <x v="0"/>
    <x v="6"/>
    <s v="ACC-7906"/>
    <n v="318.83"/>
    <n v="699.5"/>
    <n v="815.10700000000008"/>
    <n v="1620.05"/>
    <m/>
    <n v="0.08"/>
    <n v="0"/>
    <n v="13"/>
    <n v="9093.5"/>
    <n v="4144.79"/>
    <n v="4948.71"/>
    <n v="0.54420300214438888"/>
  </r>
  <r>
    <s v="ORD-2024-442776"/>
    <m/>
    <x v="24"/>
    <d v="2454-03-01T00:00:00"/>
    <d v="2453-11-16T00:00:00"/>
    <d v="2453-11-16T00:00:00"/>
    <d v="1900-01-16T00:00:00"/>
    <s v="Jun-2024"/>
    <x v="7"/>
    <x v="0"/>
    <d v="1900-01-20T00:00:00"/>
    <d v="2024-07-21T00:00:00"/>
    <d v="2024-07-21T00:00:00"/>
    <x v="0"/>
    <x v="0"/>
    <s v="Kisumu"/>
    <s v="Small Business"/>
    <x v="0"/>
    <x v="11"/>
    <x v="4"/>
    <s v="LAP-6577"/>
    <n v="753.43"/>
    <n v="1787.2"/>
    <n v="815.10700000000008"/>
    <n v="1620.05"/>
    <m/>
    <n v="7.2999999999999995E-2"/>
    <n v="0"/>
    <n v="9"/>
    <n v="16084.800000000001"/>
    <n v="6780.87"/>
    <n v="9303.93"/>
    <n v="0.57842994628469113"/>
  </r>
  <r>
    <s v="ORD-2025-705398"/>
    <n v="1"/>
    <x v="454"/>
    <n v="202502"/>
    <n v="202301"/>
    <n v="202301"/>
    <n v="25"/>
    <s v="Feb-2025"/>
    <x v="6"/>
    <x v="1"/>
    <n v="0"/>
    <d v="2025-02-17T00:00:00"/>
    <d v="2025-02-15T00:00:00"/>
    <x v="2"/>
    <x v="3"/>
    <s v="Toronto"/>
    <s v="Small Business"/>
    <x v="0"/>
    <x v="14"/>
    <x v="0"/>
    <s v="CMP-5065"/>
    <n v="1133.47"/>
    <n v="1698.75"/>
    <n v="815.10700000000008"/>
    <n v="1620.05"/>
    <s v="High"/>
    <n v="4.2999999999999997E-2"/>
    <n v="0"/>
    <n v="5"/>
    <n v="8493.75"/>
    <n v="5667.35"/>
    <n v="2826.3999999999996"/>
    <n v="0.33276232523914639"/>
  </r>
  <r>
    <s v="ORD-2023-689428"/>
    <m/>
    <x v="455"/>
    <d v="2453-11-16T00:00:00"/>
    <d v="2453-11-16T00:00:00"/>
    <d v="2453-11-16T00:00:00"/>
    <d v="1899-12-30T00:00:00"/>
    <s v="Jan-2023"/>
    <x v="4"/>
    <x v="0"/>
    <d v="1900-01-22T00:00:00"/>
    <d v="2023-01-30T00:00:00"/>
    <d v="2023-01-30T00:00:00"/>
    <x v="0"/>
    <x v="11"/>
    <s v="Cape Town"/>
    <s v="Consumer"/>
    <x v="1"/>
    <x v="8"/>
    <x v="1"/>
    <s v="PRN-4787"/>
    <n v="299.02"/>
    <n v="724.7"/>
    <n v="815.10700000000008"/>
    <n v="1620.05"/>
    <m/>
    <n v="0.14000000000000001"/>
    <n v="0"/>
    <n v="5"/>
    <n v="3623.5"/>
    <n v="1495.1"/>
    <n v="2128.4"/>
    <n v="0.58738788464192082"/>
  </r>
  <r>
    <s v="ORD-2025-683247"/>
    <m/>
    <x v="401"/>
    <d v="2454-06-06T00:00:00"/>
    <d v="2453-11-18T00:00:00"/>
    <d v="2453-11-18T00:00:00"/>
    <d v="1900-01-23T00:00:00"/>
    <s v="Mar-2025"/>
    <x v="3"/>
    <x v="0"/>
    <d v="1900-01-24T00:00:00"/>
    <d v="2025-04-04T00:00:00"/>
    <d v="2025-04-04T00:00:00"/>
    <x v="1"/>
    <x v="2"/>
    <s v="Osaka"/>
    <s v="Corporate"/>
    <x v="4"/>
    <x v="10"/>
    <x v="1"/>
    <s v="PRN-9867"/>
    <n v="783.72"/>
    <n v="1355.94"/>
    <n v="815.10700000000008"/>
    <n v="1620.05"/>
    <m/>
    <n v="0.187"/>
    <n v="0"/>
    <n v="4"/>
    <n v="5423.76"/>
    <n v="3134.88"/>
    <n v="2288.88"/>
    <n v="0.42200982344351523"/>
  </r>
  <r>
    <s v="ORD-2024-585443"/>
    <n v="1"/>
    <x v="456"/>
    <n v="202408"/>
    <n v="202301"/>
    <n v="202301"/>
    <n v="19"/>
    <s v="Aug-2024"/>
    <x v="4"/>
    <x v="1"/>
    <n v="0"/>
    <d v="2024-08-17T00:00:00"/>
    <d v="2024-08-15T00:00:00"/>
    <x v="2"/>
    <x v="5"/>
    <s v="Rio de Janeiro"/>
    <s v="Consumer"/>
    <x v="4"/>
    <x v="12"/>
    <x v="5"/>
    <s v="MON-2849"/>
    <n v="165.3"/>
    <n v="275.07"/>
    <n v="815.10700000000008"/>
    <n v="1620.05"/>
    <s v="Medium"/>
    <n v="0.13300000000000001"/>
    <n v="0"/>
    <n v="25"/>
    <n v="6876.75"/>
    <n v="4132.5"/>
    <n v="2744.25"/>
    <n v="0.39906205693096303"/>
  </r>
  <r>
    <s v="ORD-2024-907733"/>
    <n v="1"/>
    <x v="306"/>
    <n v="202403"/>
    <n v="202301"/>
    <n v="202301"/>
    <n v="14"/>
    <s v="Mar-2024"/>
    <x v="10"/>
    <x v="0"/>
    <n v="13"/>
    <d v="2024-03-22T00:00:00"/>
    <d v="2024-03-22T00:00:00"/>
    <x v="3"/>
    <x v="8"/>
    <s v="Manchester"/>
    <s v="Consumer"/>
    <x v="1"/>
    <x v="6"/>
    <x v="4"/>
    <s v="LAP-8633"/>
    <n v="985.45"/>
    <n v="1802.44"/>
    <n v="815.10700000000008"/>
    <n v="1620.05"/>
    <s v="Low"/>
    <n v="8.9999999999999993E-3"/>
    <n v="0"/>
    <n v="19"/>
    <n v="34246.36"/>
    <n v="18723.55"/>
    <n v="15522.810000000001"/>
    <n v="0.45326890215485677"/>
  </r>
  <r>
    <s v="ORD-2024-550400"/>
    <n v="1"/>
    <x v="395"/>
    <n v="202408"/>
    <n v="202301"/>
    <n v="202301"/>
    <n v="19"/>
    <s v="Aug-2024"/>
    <x v="1"/>
    <x v="0"/>
    <n v="14"/>
    <d v="2024-09-02T00:00:00"/>
    <d v="2024-09-02T00:00:00"/>
    <x v="2"/>
    <x v="3"/>
    <s v="Toronto"/>
    <s v="Consumer"/>
    <x v="3"/>
    <x v="0"/>
    <x v="1"/>
    <s v="PRN-9793"/>
    <n v="1337.01"/>
    <n v="1269.78"/>
    <n v="815.10700000000008"/>
    <n v="1620.05"/>
    <s v="High"/>
    <n v="0.16"/>
    <n v="0"/>
    <n v="7"/>
    <n v="8888.4599999999991"/>
    <n v="9359.07"/>
    <n v="-470.61000000000058"/>
    <n v="-5.2946179653168335E-2"/>
  </r>
  <r>
    <s v="ORD-2025-189846"/>
    <m/>
    <x v="457"/>
    <d v="2454-06-11T00:00:00"/>
    <d v="2453-11-16T00:00:00"/>
    <d v="2453-11-16T00:00:00"/>
    <d v="1900-01-30T00:00:00"/>
    <s v="Aug-2025"/>
    <x v="10"/>
    <x v="0"/>
    <d v="1900-01-16T00:00:00"/>
    <d v="2025-08-28T00:00:00"/>
    <d v="2025-08-28T00:00:00"/>
    <x v="3"/>
    <x v="7"/>
    <s v="Paris"/>
    <s v="Education"/>
    <x v="1"/>
    <x v="9"/>
    <x v="2"/>
    <s v="NET-6218"/>
    <n v="416.16"/>
    <n v="571.9"/>
    <n v="815.10700000000008"/>
    <n v="1620.05"/>
    <m/>
    <n v="7.0999999999999994E-2"/>
    <n v="0"/>
    <n v="2"/>
    <n v="1143.8"/>
    <n v="832.32"/>
    <n v="311.4799999999999"/>
    <n v="0.27232033572302844"/>
  </r>
  <r>
    <s v="ORD-2025-752192"/>
    <m/>
    <x v="216"/>
    <d v="2454-06-08T00:00:00"/>
    <d v="2453-11-18T00:00:00"/>
    <d v="2453-11-18T00:00:00"/>
    <d v="1900-01-25T00:00:00"/>
    <s v="May-2025"/>
    <x v="8"/>
    <x v="1"/>
    <d v="1900-01-01T00:00:00"/>
    <d v="2025-05-18T00:00:00"/>
    <d v="2025-05-18T00:00:00"/>
    <x v="1"/>
    <x v="2"/>
    <s v="Tokyo"/>
    <s v="Enterprise"/>
    <x v="0"/>
    <x v="1"/>
    <x v="1"/>
    <s v="PRN-6131"/>
    <n v="1144.3800000000001"/>
    <n v="2755.04"/>
    <n v="815.10700000000008"/>
    <n v="1620.05"/>
    <m/>
    <n v="0.15"/>
    <n v="0"/>
    <n v="17"/>
    <n v="46835.68"/>
    <n v="19454.460000000003"/>
    <n v="27381.219999999998"/>
    <n v="0.58462309077182173"/>
  </r>
  <r>
    <s v="ORD-2023-294716"/>
    <n v="1"/>
    <x v="458"/>
    <n v="202304"/>
    <n v="202301"/>
    <n v="202301"/>
    <n v="3"/>
    <s v="Apr-2023"/>
    <x v="7"/>
    <x v="0"/>
    <n v="15"/>
    <d v="2023-04-25T00:00:00"/>
    <d v="2023-04-25T00:00:00"/>
    <x v="3"/>
    <x v="8"/>
    <s v="London"/>
    <s v="Small Business"/>
    <x v="0"/>
    <x v="14"/>
    <x v="1"/>
    <s v="PRN-5067"/>
    <n v="405.66"/>
    <n v="962.51"/>
    <n v="815.10700000000008"/>
    <n v="1620.05"/>
    <s v="High"/>
    <n v="0.19"/>
    <n v="0"/>
    <n v="7"/>
    <n v="6737.57"/>
    <n v="2839.6200000000003"/>
    <n v="3897.9499999999994"/>
    <n v="0.57853944374603894"/>
  </r>
  <r>
    <s v="ORD-2023-552115"/>
    <n v="1"/>
    <x v="459"/>
    <n v="202309"/>
    <n v="202301"/>
    <n v="202301"/>
    <n v="8"/>
    <s v="Sept-2023"/>
    <x v="9"/>
    <x v="0"/>
    <n v="15"/>
    <d v="2023-10-02T00:00:00"/>
    <d v="2023-10-02T00:00:00"/>
    <x v="2"/>
    <x v="5"/>
    <s v="Rio de Janeiro"/>
    <s v="Small Business"/>
    <x v="0"/>
    <x v="5"/>
    <x v="4"/>
    <s v="LAP-4932"/>
    <n v="689.33"/>
    <n v="668.27"/>
    <n v="815.10700000000008"/>
    <n v="1620.05"/>
    <s v="Medium"/>
    <n v="0.186"/>
    <n v="0"/>
    <n v="13"/>
    <n v="8687.51"/>
    <n v="8961.2900000000009"/>
    <n v="-273.78000000000065"/>
    <n v="-3.1514208328968903E-2"/>
  </r>
  <r>
    <s v="ORD-2023-107265"/>
    <m/>
    <x v="460"/>
    <d v="2453-11-19T00:00:00"/>
    <d v="2453-11-18T00:00:00"/>
    <d v="2453-11-18T00:00:00"/>
    <d v="1899-12-31T00:00:00"/>
    <s v="Apr-2023"/>
    <x v="11"/>
    <x v="0"/>
    <d v="1900-01-21T00:00:00"/>
    <d v="2023-05-14T00:00:00"/>
    <d v="2023-05-14T00:00:00"/>
    <x v="1"/>
    <x v="2"/>
    <s v="Nagoya"/>
    <s v="Enterprise"/>
    <x v="0"/>
    <x v="8"/>
    <x v="6"/>
    <s v="ACC-7713"/>
    <n v="1209.22"/>
    <n v="1404.33"/>
    <n v="815.10700000000008"/>
    <n v="1620.05"/>
    <m/>
    <n v="0.10299999999999999"/>
    <n v="0"/>
    <n v="11"/>
    <n v="15447.63"/>
    <n v="13301.42"/>
    <n v="2146.2099999999991"/>
    <n v="0.13893458090334887"/>
  </r>
  <r>
    <s v="ORD-2025-262434"/>
    <m/>
    <x v="111"/>
    <d v="2454-06-09T00:00:00"/>
    <d v="2453-11-16T00:00:00"/>
    <d v="2453-11-16T00:00:00"/>
    <d v="1900-01-28T00:00:00"/>
    <s v="Jun-2025"/>
    <x v="9"/>
    <x v="1"/>
    <d v="1900-01-01T00:00:00"/>
    <d v="2025-06-21T00:00:00"/>
    <d v="2025-06-21T00:00:00"/>
    <x v="0"/>
    <x v="11"/>
    <s v="Johannesburg"/>
    <s v="Small Business"/>
    <x v="1"/>
    <x v="10"/>
    <x v="3"/>
    <s v="PHN-7379"/>
    <n v="1466.27"/>
    <n v="3589.89"/>
    <n v="815.10700000000008"/>
    <n v="1620.05"/>
    <m/>
    <n v="9.7000000000000003E-2"/>
    <n v="0"/>
    <n v="9"/>
    <n v="32309.01"/>
    <n v="13196.43"/>
    <n v="19112.579999999998"/>
    <n v="0.5915557301198644"/>
  </r>
  <r>
    <s v="ORD-2024-266562"/>
    <m/>
    <x v="461"/>
    <d v="2454-03-06T00:00:00"/>
    <d v="2453-11-16T00:00:00"/>
    <d v="2453-11-16T00:00:00"/>
    <d v="1900-01-21T00:00:00"/>
    <s v="Nov-2024"/>
    <x v="7"/>
    <x v="0"/>
    <d v="1900-01-26T00:00:00"/>
    <d v="2024-12-24T00:00:00"/>
    <d v="2024-12-24T00:00:00"/>
    <x v="0"/>
    <x v="0"/>
    <s v="Mombasa"/>
    <s v="Corporate"/>
    <x v="3"/>
    <x v="5"/>
    <x v="1"/>
    <s v="PRN-5569"/>
    <n v="143.33000000000001"/>
    <n v="233.51"/>
    <n v="815.10700000000008"/>
    <n v="1620.05"/>
    <m/>
    <n v="0.16300000000000001"/>
    <n v="0"/>
    <n v="14"/>
    <n v="3269.14"/>
    <n v="2006.6200000000001"/>
    <n v="1262.5199999999998"/>
    <n v="0.38619331077898156"/>
  </r>
  <r>
    <s v="ORD-2024-838925"/>
    <m/>
    <x v="10"/>
    <d v="2454-02-24T00:00:00"/>
    <d v="2453-11-16T00:00:00"/>
    <d v="2453-11-16T00:00:00"/>
    <d v="1900-01-11T00:00:00"/>
    <s v="Jan-2024"/>
    <x v="2"/>
    <x v="1"/>
    <d v="1899-12-30T00:00:00"/>
    <d v="2024-01-28T00:00:00"/>
    <d v="2024-01-27T00:00:00"/>
    <x v="0"/>
    <x v="11"/>
    <s v="Cape Town"/>
    <s v="Enterprise"/>
    <x v="4"/>
    <x v="7"/>
    <x v="0"/>
    <s v="CMP-1470"/>
    <n v="109.75"/>
    <n v="124.25"/>
    <n v="815.10700000000008"/>
    <n v="1620.05"/>
    <m/>
    <n v="0.12"/>
    <n v="0"/>
    <n v="19"/>
    <n v="2360.75"/>
    <n v="2085.25"/>
    <n v="275.5"/>
    <n v="0.11670020120724346"/>
  </r>
  <r>
    <s v="ORD-2023-664790"/>
    <m/>
    <x v="386"/>
    <d v="2453-11-19T00:00:00"/>
    <d v="2453-11-16T00:00:00"/>
    <d v="2453-11-16T00:00:00"/>
    <d v="1900-01-02T00:00:00"/>
    <s v="Apr-2023"/>
    <x v="1"/>
    <x v="1"/>
    <d v="1900-01-06T00:00:00"/>
    <d v="2023-04-23T00:00:00"/>
    <d v="2023-04-23T00:00:00"/>
    <x v="2"/>
    <x v="10"/>
    <s v="Austin"/>
    <s v="Corporate"/>
    <x v="3"/>
    <x v="7"/>
    <x v="1"/>
    <s v="PRN-9249"/>
    <n v="1099.1500000000001"/>
    <n v="1431.37"/>
    <n v="815.10700000000008"/>
    <n v="1620.05"/>
    <m/>
    <n v="0.104"/>
    <n v="0"/>
    <n v="8"/>
    <n v="11450.96"/>
    <n v="8793.2000000000007"/>
    <n v="2657.7599999999984"/>
    <n v="0.23209931743714052"/>
  </r>
  <r>
    <s v="ORD-2024-331408"/>
    <m/>
    <x v="145"/>
    <d v="2454-02-25T00:00:00"/>
    <d v="2453-11-16T00:00:00"/>
    <d v="2453-11-16T00:00:00"/>
    <d v="1900-01-12T00:00:00"/>
    <s v="Feb-2024"/>
    <x v="9"/>
    <x v="1"/>
    <d v="1899-12-30T00:00:00"/>
    <d v="2024-02-01T00:00:00"/>
    <d v="2024-02-01T00:00:00"/>
    <x v="2"/>
    <x v="10"/>
    <s v="Austin"/>
    <s v="Consumer"/>
    <x v="3"/>
    <x v="10"/>
    <x v="1"/>
    <s v="PRN-4906"/>
    <n v="714.43"/>
    <n v="1595.52"/>
    <n v="815.10700000000008"/>
    <n v="1620.05"/>
    <m/>
    <n v="0.19400000000000001"/>
    <n v="0"/>
    <n v="14"/>
    <n v="22337.279999999999"/>
    <n v="10002.019999999999"/>
    <n v="12335.26"/>
    <n v="0.55222748696349788"/>
  </r>
  <r>
    <s v="ORD-2024-741404"/>
    <m/>
    <x v="462"/>
    <d v="2454-03-05T00:00:00"/>
    <d v="2453-11-16T00:00:00"/>
    <d v="2453-11-16T00:00:00"/>
    <d v="1900-01-20T00:00:00"/>
    <s v="Oct-2024"/>
    <x v="1"/>
    <x v="0"/>
    <d v="1900-01-17T00:00:00"/>
    <d v="2024-11-06T00:00:00"/>
    <d v="2024-11-06T00:00:00"/>
    <x v="2"/>
    <x v="10"/>
    <s v="Chicago"/>
    <s v="Education"/>
    <x v="1"/>
    <x v="0"/>
    <x v="5"/>
    <s v="MON-8129"/>
    <n v="942.02"/>
    <n v="1028.46"/>
    <n v="815.10700000000008"/>
    <n v="1620.05"/>
    <m/>
    <n v="0"/>
    <n v="0"/>
    <n v="9"/>
    <n v="9256.14"/>
    <n v="8478.18"/>
    <n v="777.95999999999913"/>
    <n v="8.4047994088248354E-2"/>
  </r>
  <r>
    <s v="ORD-2024-341535"/>
    <m/>
    <x v="463"/>
    <d v="2454-03-01T00:00:00"/>
    <d v="2453-11-16T00:00:00"/>
    <d v="2453-11-16T00:00:00"/>
    <d v="1900-01-16T00:00:00"/>
    <s v="Jun-2024"/>
    <x v="2"/>
    <x v="1"/>
    <d v="1900-01-04T00:00:00"/>
    <d v="2024-06-30T00:00:00"/>
    <d v="2024-06-30T00:00:00"/>
    <x v="0"/>
    <x v="0"/>
    <s v="Kisumu"/>
    <s v="Education"/>
    <x v="4"/>
    <x v="12"/>
    <x v="2"/>
    <s v="NET-5987"/>
    <n v="1323.55"/>
    <n v="3230.35"/>
    <n v="815.10700000000008"/>
    <n v="1620.05"/>
    <m/>
    <n v="2.1999999999999999E-2"/>
    <n v="0"/>
    <n v="26"/>
    <n v="83989.099999999991"/>
    <n v="34412.299999999996"/>
    <n v="49576.799999999996"/>
    <n v="0.59027659541535749"/>
  </r>
  <r>
    <s v="ORD-2023-451931"/>
    <m/>
    <x v="202"/>
    <d v="2453-11-22T00:00:00"/>
    <d v="2453-11-16T00:00:00"/>
    <d v="2453-11-16T00:00:00"/>
    <d v="1900-01-05T00:00:00"/>
    <s v="Jul-2023"/>
    <x v="6"/>
    <x v="0"/>
    <d v="1900-01-19T00:00:00"/>
    <d v="2023-08-19T00:00:00"/>
    <d v="2023-08-19T00:00:00"/>
    <x v="3"/>
    <x v="7"/>
    <s v="Paris"/>
    <s v="Enterprise"/>
    <x v="2"/>
    <x v="3"/>
    <x v="2"/>
    <s v="NET-5423"/>
    <n v="1418.51"/>
    <n v="2789.61"/>
    <n v="815.10700000000008"/>
    <n v="1620.05"/>
    <m/>
    <n v="0.17100000000000001"/>
    <n v="0"/>
    <n v="8"/>
    <n v="22316.880000000001"/>
    <n v="11348.08"/>
    <n v="10968.800000000001"/>
    <n v="0.49150239639232729"/>
  </r>
  <r>
    <s v="ORD-2025-532859"/>
    <m/>
    <x v="417"/>
    <d v="2454-06-06T00:00:00"/>
    <d v="2453-11-18T00:00:00"/>
    <d v="2453-11-18T00:00:00"/>
    <d v="1900-01-23T00:00:00"/>
    <s v="Mar-2025"/>
    <x v="11"/>
    <x v="0"/>
    <d v="1900-01-15T00:00:00"/>
    <d v="2025-03-27T00:00:00"/>
    <d v="2025-03-27T00:00:00"/>
    <x v="1"/>
    <x v="2"/>
    <s v="Tokyo"/>
    <s v="Enterprise"/>
    <x v="3"/>
    <x v="5"/>
    <x v="1"/>
    <s v="PRN-5264"/>
    <n v="1317.58"/>
    <n v="1897.74"/>
    <n v="815.10700000000008"/>
    <n v="1620.05"/>
    <m/>
    <n v="8.1000000000000003E-2"/>
    <n v="0"/>
    <n v="6"/>
    <n v="11386.44"/>
    <n v="7905.48"/>
    <n v="3480.9600000000009"/>
    <n v="0.30571100361482612"/>
  </r>
  <r>
    <s v="ORD-2023-502205"/>
    <n v="1"/>
    <x v="326"/>
    <n v="202310"/>
    <n v="202301"/>
    <n v="202301"/>
    <n v="9"/>
    <s v="Oct-2023"/>
    <x v="4"/>
    <x v="1"/>
    <n v="2"/>
    <d v="2023-10-11T00:00:00"/>
    <d v="2023-10-11T00:00:00"/>
    <x v="0"/>
    <x v="1"/>
    <s v="Port Harcourt"/>
    <s v="Education"/>
    <x v="2"/>
    <x v="11"/>
    <x v="2"/>
    <s v="NET-8856"/>
    <n v="391.16"/>
    <n v="902.47"/>
    <n v="815.10700000000008"/>
    <n v="1620.05"/>
    <s v="High"/>
    <n v="4.0000000000000001E-3"/>
    <n v="0"/>
    <n v="12"/>
    <n v="10829.64"/>
    <n v="4693.92"/>
    <n v="6135.7199999999993"/>
    <n v="0.56656730971666647"/>
  </r>
  <r>
    <s v="ORD-2024-930679"/>
    <n v="1"/>
    <x v="55"/>
    <n v="202412"/>
    <n v="202301"/>
    <n v="202301"/>
    <n v="23"/>
    <s v="Dec-2024"/>
    <x v="5"/>
    <x v="0"/>
    <n v="30"/>
    <d v="2025-01-16T00:00:00"/>
    <d v="2025-01-16T00:00:00"/>
    <x v="3"/>
    <x v="8"/>
    <s v="Manchester"/>
    <s v="Corporate"/>
    <x v="0"/>
    <x v="14"/>
    <x v="5"/>
    <s v="MON-4215"/>
    <n v="722.87"/>
    <n v="33.659999999999997"/>
    <n v="815.10700000000008"/>
    <n v="1620.05"/>
    <s v="Medium"/>
    <n v="0.10199999999999999"/>
    <n v="0"/>
    <n v="28"/>
    <n v="942.4799999999999"/>
    <n v="20240.36"/>
    <n v="-19297.88"/>
    <n v="-20.475638740344625"/>
  </r>
  <r>
    <s v="ORD-2025-150713"/>
    <n v="1"/>
    <x v="444"/>
    <n v="202507"/>
    <n v="202301"/>
    <n v="202301"/>
    <n v="30"/>
    <s v="Jul-2025"/>
    <x v="2"/>
    <x v="1"/>
    <n v="5"/>
    <d v="2025-07-16T00:00:00"/>
    <d v="2025-07-16T00:00:00"/>
    <x v="3"/>
    <x v="8"/>
    <s v="London"/>
    <s v="Enterprise"/>
    <x v="1"/>
    <x v="11"/>
    <x v="1"/>
    <s v="PRN-5753"/>
    <n v="930.03"/>
    <n v="1086.68"/>
    <n v="815.10700000000008"/>
    <n v="1620.05"/>
    <s v="Low"/>
    <n v="0.109"/>
    <n v="0"/>
    <n v="26"/>
    <n v="28253.68"/>
    <n v="24180.78"/>
    <n v="4072.9000000000015"/>
    <n v="0.14415467294879822"/>
  </r>
  <r>
    <s v="ORD-2024-756884"/>
    <m/>
    <x v="464"/>
    <d v="2454-03-05T00:00:00"/>
    <d v="2453-11-16T00:00:00"/>
    <d v="2453-11-16T00:00:00"/>
    <d v="1900-01-20T00:00:00"/>
    <s v="Oct-2024"/>
    <x v="8"/>
    <x v="0"/>
    <d v="1900-01-10T00:00:00"/>
    <d v="2024-10-24T00:00:00"/>
    <d v="2024-10-24T00:00:00"/>
    <x v="3"/>
    <x v="7"/>
    <s v="Paris"/>
    <s v="Education"/>
    <x v="3"/>
    <x v="9"/>
    <x v="0"/>
    <s v="CMP-5006"/>
    <n v="816.7"/>
    <n v="1010.75"/>
    <n v="815.10700000000008"/>
    <n v="1620.05"/>
    <m/>
    <n v="4.7E-2"/>
    <n v="0"/>
    <n v="43"/>
    <n v="43462.25"/>
    <n v="35118.1"/>
    <n v="8344.1500000000015"/>
    <n v="0.19198614889933222"/>
  </r>
  <r>
    <s v="ORD-2023-755337"/>
    <m/>
    <x v="428"/>
    <d v="2453-11-24T00:00:00"/>
    <d v="2453-11-16T00:00:00"/>
    <d v="2453-11-16T00:00:00"/>
    <d v="1900-01-07T00:00:00"/>
    <s v="Sept-2023"/>
    <x v="2"/>
    <x v="1"/>
    <d v="1900-01-05T00:00:00"/>
    <d v="2023-09-14T00:00:00"/>
    <d v="2023-09-14T00:00:00"/>
    <x v="0"/>
    <x v="0"/>
    <s v="Nakuru"/>
    <s v="Education"/>
    <x v="4"/>
    <x v="2"/>
    <x v="6"/>
    <s v="ACC-4766"/>
    <n v="251.03"/>
    <n v="411.48"/>
    <n v="815.10700000000008"/>
    <n v="1620.05"/>
    <m/>
    <n v="0.16500000000000001"/>
    <n v="0"/>
    <n v="3"/>
    <n v="1234.44"/>
    <n v="753.09"/>
    <n v="481.35"/>
    <n v="0.38993389715174492"/>
  </r>
  <r>
    <s v="ORD-2025-907040"/>
    <n v="1"/>
    <x v="448"/>
    <n v="202504"/>
    <n v="202301"/>
    <n v="202301"/>
    <n v="27"/>
    <s v="Apr-2025"/>
    <x v="11"/>
    <x v="0"/>
    <n v="16"/>
    <d v="2025-05-03T00:00:00"/>
    <d v="2025-05-03T00:00:00"/>
    <x v="2"/>
    <x v="5"/>
    <s v="Rio de Janeiro"/>
    <s v="Consumer"/>
    <x v="2"/>
    <x v="1"/>
    <x v="2"/>
    <s v="NET-8610"/>
    <n v="168.68"/>
    <n v="413.34"/>
    <n v="815.10700000000008"/>
    <n v="1620.05"/>
    <s v="Low"/>
    <n v="0.186"/>
    <n v="0"/>
    <n v="7"/>
    <n v="2893.3799999999997"/>
    <n v="1180.76"/>
    <n v="1712.6199999999997"/>
    <n v="0.59190980790632408"/>
  </r>
  <r>
    <s v="ORD-2024-817997"/>
    <n v="1"/>
    <x v="465"/>
    <n v="202407"/>
    <n v="202302"/>
    <n v="202302"/>
    <n v="17"/>
    <s v="Jul-2024"/>
    <x v="7"/>
    <x v="0"/>
    <n v="26"/>
    <d v="2024-08-23T00:00:00"/>
    <d v="2024-08-23T00:00:00"/>
    <x v="1"/>
    <x v="4"/>
    <s v="Hyderabad"/>
    <s v="Corporate"/>
    <x v="0"/>
    <x v="1"/>
    <x v="2"/>
    <s v="NET-4675"/>
    <n v="1339.24"/>
    <n v="1558.89"/>
    <n v="815.10700000000008"/>
    <n v="1620.05"/>
    <s v="Low"/>
    <n v="0.192"/>
    <n v="0"/>
    <n v="24"/>
    <n v="37413.360000000001"/>
    <n v="32141.760000000002"/>
    <n v="5271.5999999999985"/>
    <n v="0.14090153891551035"/>
  </r>
  <r>
    <s v="ORD-2025-649633"/>
    <m/>
    <x v="466"/>
    <d v="2454-06-10T00:00:00"/>
    <d v="2453-11-16T00:00:00"/>
    <d v="2453-11-16T00:00:00"/>
    <d v="1900-01-29T00:00:00"/>
    <s v="Jul-2025"/>
    <x v="10"/>
    <x v="0"/>
    <d v="1900-01-11T00:00:00"/>
    <d v="2025-07-31T00:00:00"/>
    <d v="2025-07-31T00:00:00"/>
    <x v="0"/>
    <x v="0"/>
    <s v="Nairobi"/>
    <s v="Small Business"/>
    <x v="2"/>
    <x v="7"/>
    <x v="6"/>
    <s v="ACC-1028"/>
    <n v="619.64"/>
    <n v="861.16"/>
    <n v="815.10700000000008"/>
    <n v="1620.05"/>
    <m/>
    <n v="0.113"/>
    <n v="0"/>
    <n v="14"/>
    <n v="12056.24"/>
    <n v="8674.9599999999991"/>
    <n v="3381.2800000000007"/>
    <n v="0.28045891588090488"/>
  </r>
  <r>
    <s v="ORD-2023-885216"/>
    <n v="1"/>
    <x v="241"/>
    <n v="202308"/>
    <n v="202301"/>
    <n v="202301"/>
    <n v="7"/>
    <s v="Aug-2023"/>
    <x v="8"/>
    <x v="1"/>
    <n v="0"/>
    <d v="2023-08-03T00:00:00"/>
    <d v="2023-08-02T00:00:00"/>
    <x v="1"/>
    <x v="9"/>
    <s v="Shanghai"/>
    <s v="Non-Profit"/>
    <x v="4"/>
    <x v="1"/>
    <x v="2"/>
    <s v="NET-4735"/>
    <n v="1021.97"/>
    <n v="2296.25"/>
    <n v="815.10700000000008"/>
    <n v="1620.05"/>
    <s v="Medium"/>
    <n v="0.161"/>
    <n v="0"/>
    <n v="26"/>
    <n v="59702.5"/>
    <n v="26571.22"/>
    <n v="33131.279999999999"/>
    <n v="0.55493957539466521"/>
  </r>
  <r>
    <s v="ORD-2023-561823"/>
    <n v="1"/>
    <x v="112"/>
    <n v="202311"/>
    <n v="202302"/>
    <n v="202302"/>
    <n v="9"/>
    <s v="Nov-2023"/>
    <x v="11"/>
    <x v="0"/>
    <n v="23"/>
    <d v="2023-12-12T00:00:00"/>
    <d v="2023-12-12T00:00:00"/>
    <x v="1"/>
    <x v="4"/>
    <s v="Delhi"/>
    <s v="Small Business"/>
    <x v="4"/>
    <x v="0"/>
    <x v="2"/>
    <s v="NET-2460"/>
    <n v="1349.04"/>
    <n v="2636.6"/>
    <n v="815.10700000000008"/>
    <n v="1620.05"/>
    <s v="High"/>
    <n v="0.114"/>
    <n v="0"/>
    <n v="14"/>
    <n v="36912.400000000001"/>
    <n v="18886.559999999998"/>
    <n v="18025.840000000004"/>
    <n v="0.48834104528559519"/>
  </r>
  <r>
    <s v="ORD-2023-249805"/>
    <n v="1"/>
    <x v="81"/>
    <n v="202312"/>
    <n v="202302"/>
    <n v="202302"/>
    <n v="10"/>
    <s v="Dec-2023"/>
    <x v="5"/>
    <x v="0"/>
    <n v="25"/>
    <d v="2024-01-16T00:00:00"/>
    <d v="2024-01-16T00:00:00"/>
    <x v="1"/>
    <x v="4"/>
    <s v="Hyderabad"/>
    <s v="Small Business"/>
    <x v="0"/>
    <x v="8"/>
    <x v="0"/>
    <s v="CMP-1555"/>
    <n v="1346.81"/>
    <n v="978.09"/>
    <n v="815.10700000000008"/>
    <n v="1620.05"/>
    <s v="High"/>
    <n v="0.159"/>
    <n v="0"/>
    <n v="17"/>
    <n v="16627.53"/>
    <n v="22895.77"/>
    <n v="-6268.2400000000016"/>
    <n v="-0.37697962355202497"/>
  </r>
  <r>
    <s v="ORD-2023-548934"/>
    <n v="1"/>
    <x v="241"/>
    <n v="202308"/>
    <n v="202301"/>
    <n v="202301"/>
    <n v="7"/>
    <s v="Aug-2023"/>
    <x v="5"/>
    <x v="0"/>
    <n v="27"/>
    <d v="2023-08-30T00:00:00"/>
    <d v="2023-08-30T00:00:00"/>
    <x v="1"/>
    <x v="9"/>
    <s v="Shanghai"/>
    <s v="Consumer"/>
    <x v="3"/>
    <x v="13"/>
    <x v="5"/>
    <s v="MON-3773"/>
    <n v="226.04"/>
    <n v="545.72"/>
    <n v="815.10700000000008"/>
    <n v="1620.05"/>
    <s v="Medium"/>
    <n v="0.151"/>
    <n v="0"/>
    <n v="11"/>
    <n v="6002.92"/>
    <n v="2486.44"/>
    <n v="3516.48"/>
    <n v="0.58579491314227072"/>
  </r>
  <r>
    <s v="ORD-2023-921939"/>
    <n v="1"/>
    <x v="44"/>
    <n v="202306"/>
    <n v="202301"/>
    <n v="202301"/>
    <n v="5"/>
    <s v="Jun-2023"/>
    <x v="11"/>
    <x v="0"/>
    <n v="25"/>
    <d v="2023-07-18T00:00:00"/>
    <d v="2023-07-18T00:00:00"/>
    <x v="2"/>
    <x v="3"/>
    <s v="Vancouver"/>
    <s v="Enterprise"/>
    <x v="1"/>
    <x v="13"/>
    <x v="3"/>
    <s v="PHN-4677"/>
    <n v="807.02"/>
    <n v="1435.54"/>
    <n v="815.10700000000008"/>
    <n v="1620.05"/>
    <s v="Low"/>
    <n v="0"/>
    <n v="0"/>
    <n v="23"/>
    <n v="33017.42"/>
    <n v="18561.46"/>
    <n v="14455.96"/>
    <n v="0.43782827368098415"/>
  </r>
  <r>
    <s v="ORD-2023-961864"/>
    <m/>
    <x v="141"/>
    <d v="2453-11-27T00:00:00"/>
    <d v="2453-11-16T00:00:00"/>
    <d v="2453-11-16T00:00:00"/>
    <d v="1900-01-10T00:00:00"/>
    <s v="Dec-2023"/>
    <x v="9"/>
    <x v="0"/>
    <d v="1900-01-25T00:00:00"/>
    <d v="2024-01-02T00:00:00"/>
    <d v="2024-01-02T00:00:00"/>
    <x v="3"/>
    <x v="6"/>
    <s v="Frankfurt"/>
    <s v="Enterprise"/>
    <x v="3"/>
    <x v="6"/>
    <x v="0"/>
    <s v="CMP-1940"/>
    <n v="1071.99"/>
    <n v="2397.3000000000002"/>
    <n v="815.10700000000008"/>
    <n v="1620.05"/>
    <m/>
    <n v="6.2E-2"/>
    <n v="0"/>
    <n v="18"/>
    <n v="43151.4"/>
    <n v="19295.82"/>
    <n v="23855.58"/>
    <n v="0.55283443874358651"/>
  </r>
  <r>
    <s v="ORD-2023-455933"/>
    <m/>
    <x v="112"/>
    <d v="2453-11-26T00:00:00"/>
    <d v="2453-11-18T00:00:00"/>
    <d v="2453-11-18T00:00:00"/>
    <d v="1900-01-07T00:00:00"/>
    <s v="Nov-2023"/>
    <x v="5"/>
    <x v="0"/>
    <d v="1900-01-29T00:00:00"/>
    <d v="2023-12-19T00:00:00"/>
    <d v="2023-12-19T00:00:00"/>
    <x v="1"/>
    <x v="2"/>
    <s v="Nagoya"/>
    <s v="Consumer"/>
    <x v="0"/>
    <x v="15"/>
    <x v="3"/>
    <s v="PHN-9184"/>
    <n v="807.11"/>
    <n v="1853.86"/>
    <n v="815.10700000000008"/>
    <n v="1620.05"/>
    <m/>
    <n v="0.13900000000000001"/>
    <n v="0"/>
    <n v="8"/>
    <n v="14830.88"/>
    <n v="6456.88"/>
    <n v="8374"/>
    <n v="0.56463271228679623"/>
  </r>
  <r>
    <s v="ORD-2025-728935"/>
    <m/>
    <x v="467"/>
    <d v="2454-06-05T00:00:00"/>
    <d v="2453-11-18T00:00:00"/>
    <d v="2453-11-18T00:00:00"/>
    <d v="1900-01-22T00:00:00"/>
    <s v="Feb-2025"/>
    <x v="5"/>
    <x v="0"/>
    <d v="1900-01-09T00:00:00"/>
    <d v="2025-03-10T00:00:00"/>
    <d v="2025-03-10T00:00:00"/>
    <x v="1"/>
    <x v="2"/>
    <s v="Osaka"/>
    <s v="Education"/>
    <x v="3"/>
    <x v="13"/>
    <x v="4"/>
    <s v="LAP-3017"/>
    <n v="51.86"/>
    <n v="45.98"/>
    <n v="815.10700000000008"/>
    <n v="1620.05"/>
    <m/>
    <n v="0.17299999999999999"/>
    <n v="0"/>
    <n v="7"/>
    <n v="321.85999999999996"/>
    <n v="363.02"/>
    <n v="-41.160000000000025"/>
    <n v="-0.12788168769030023"/>
  </r>
  <r>
    <m/>
    <m/>
    <x v="468"/>
    <m/>
    <m/>
    <m/>
    <m/>
    <m/>
    <x v="12"/>
    <x v="2"/>
    <m/>
    <m/>
    <m/>
    <x v="4"/>
    <x v="12"/>
    <m/>
    <m/>
    <x v="5"/>
    <x v="15"/>
    <x v="7"/>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DF18B9-9222-43F2-919D-D3FF208309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1" firstHeaderRow="1" firstDataRow="1" firstDataCol="1"/>
  <pivotFields count="39">
    <pivotField showAll="0"/>
    <pivotField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items count="13">
        <item x="3"/>
        <item x="1"/>
        <item x="4"/>
        <item x="9"/>
        <item x="6"/>
        <item x="7"/>
        <item x="11"/>
        <item x="10"/>
        <item x="8"/>
        <item x="5"/>
        <item x="2"/>
        <item x="0"/>
        <item t="default"/>
      </items>
    </pivotField>
    <pivotField showAll="0"/>
    <pivotField showAll="0"/>
    <pivotField numFmtId="164" showAll="0"/>
    <pivotField numFmtId="164"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6">
        <item x="4"/>
        <item x="3"/>
        <item x="2"/>
        <item x="1"/>
        <item x="0"/>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showAll="0"/>
    <pivotField numFmtId="165" showAll="0"/>
    <pivotField numFmtId="165" showAll="0"/>
    <pivotField numFmtId="165" showAll="0"/>
    <pivotField numFmtId="165" showAll="0"/>
    <pivotField showAll="0"/>
    <pivotField showAll="0"/>
    <pivotField showAll="0"/>
    <pivotField numFmtId="1" showAll="0"/>
    <pivotField dataField="1" numFmtId="165" showAll="0"/>
    <pivotField numFmtId="165" showAll="0"/>
    <pivotField numFmtId="165" showAll="0"/>
    <pivotField showAl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3">
    <field x="38"/>
    <field x="37"/>
    <field x="36"/>
  </rowFields>
  <rowItems count="48">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t="grand">
      <x/>
    </i>
  </rowItems>
  <colItems count="1">
    <i/>
  </colItems>
  <dataFields count="1">
    <dataField name="Sum of GrossRevenue" fld="29"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329B5-5C81-45C2-AD89-79BF3938401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B27" firstHeaderRow="1" firstDataRow="1" firstDataCol="1"/>
  <pivotFields count="39">
    <pivotField showAll="0"/>
    <pivotField showAll="0"/>
    <pivotField axis="axisRow"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axis="axisRow"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showAll="0"/>
    <pivotField showAll="0"/>
    <pivotField showAll="0"/>
    <pivotField numFmtId="1" showAll="0"/>
    <pivotField dataField="1" numFmtId="165" showAll="0"/>
    <pivotField numFmtId="165" showAll="0"/>
    <pivotField numFmtId="165"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5">
    <field x="38"/>
    <field x="37"/>
    <field x="36"/>
    <field x="2"/>
    <field x="7"/>
  </rowFields>
  <rowItems count="15">
    <i>
      <x v="1"/>
    </i>
    <i r="1">
      <x v="1"/>
    </i>
    <i r="1">
      <x v="2"/>
    </i>
    <i r="1">
      <x v="3"/>
    </i>
    <i r="1">
      <x v="4"/>
    </i>
    <i>
      <x v="2"/>
    </i>
    <i r="1">
      <x v="1"/>
    </i>
    <i r="1">
      <x v="2"/>
    </i>
    <i r="1">
      <x v="3"/>
    </i>
    <i r="1">
      <x v="4"/>
    </i>
    <i>
      <x v="3"/>
    </i>
    <i r="1">
      <x v="1"/>
    </i>
    <i r="1">
      <x v="2"/>
    </i>
    <i r="1">
      <x v="3"/>
    </i>
    <i t="grand">
      <x/>
    </i>
  </rowItems>
  <colItems count="1">
    <i/>
  </colItems>
  <dataFields count="1">
    <dataField name="Sum of GrossRevenue" fld="2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3B91E4-8148-4C3A-ADBC-09B72B41AD2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C81" firstHeaderRow="0" firstDataRow="1" firstDataCol="1"/>
  <pivotFields count="39">
    <pivotField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dataField="1"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165" showAll="0"/>
    <pivotField numFmtId="165" showAll="0"/>
    <pivotField numFmtId="165" showAll="0"/>
    <pivotField numFmtId="165" showAll="0"/>
    <pivotField showAll="0"/>
    <pivotField showAll="0"/>
    <pivotField dataField="1" showAll="0"/>
    <pivotField numFmtId="1" showAll="0"/>
    <pivotField numFmtId="165" showAll="0"/>
    <pivotField numFmtId="165" showAll="0"/>
    <pivotField numFmtId="165"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18"/>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OrderCount" fld="1" baseField="0" baseItem="0"/>
    <dataField name="Sum of Discount&gt;20"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5CABFD-5D62-4FF8-A6A6-750DF712867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B56" firstHeaderRow="1" firstDataRow="1" firstDataCol="1"/>
  <pivotFields count="39">
    <pivotField showAll="0"/>
    <pivotField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showAll="0"/>
    <pivotField axis="axisRow" showAll="0" measureFilter="1" sortType="de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showAll="0"/>
    <pivotField showAll="0"/>
    <pivotField showAll="0"/>
    <pivotField numFmtId="1" showAll="0"/>
    <pivotField dataField="1" numFmtId="165" showAll="0"/>
    <pivotField numFmtId="165" showAll="0"/>
    <pivotField numFmtId="165"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20"/>
  </rowFields>
  <rowItems count="11">
    <i>
      <x v="170"/>
    </i>
    <i>
      <x v="322"/>
    </i>
    <i>
      <x v="247"/>
    </i>
    <i>
      <x v="367"/>
    </i>
    <i>
      <x v="116"/>
    </i>
    <i>
      <x v="269"/>
    </i>
    <i>
      <x v="302"/>
    </i>
    <i>
      <x v="318"/>
    </i>
    <i>
      <x v="402"/>
    </i>
    <i>
      <x v="59"/>
    </i>
    <i t="grand">
      <x/>
    </i>
  </rowItems>
  <colItems count="1">
    <i/>
  </colItems>
  <dataFields count="1">
    <dataField name="Sum of GrossRevenue" fld="29"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2C1DE2-E31C-4740-AA98-04683173C58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G36" firstHeaderRow="1" firstDataRow="2" firstDataCol="1"/>
  <pivotFields count="39">
    <pivotField showAll="0"/>
    <pivotField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axis="axisRow" showAll="0">
      <items count="5">
        <item x="0"/>
        <item x="2"/>
        <item x="1"/>
        <item x="3"/>
        <item t="default"/>
      </items>
    </pivotField>
    <pivotField showAll="0"/>
    <pivotField showAll="0"/>
    <pivotField showAll="0"/>
    <pivotField axis="axisCol" showAll="0">
      <items count="6">
        <item x="4"/>
        <item x="3"/>
        <item x="2"/>
        <item x="1"/>
        <item x="0"/>
        <item t="default"/>
      </items>
    </pivotField>
    <pivotField showAll="0"/>
    <pivotField showAll="0"/>
    <pivotField showAll="0"/>
    <pivotField numFmtId="165" showAll="0"/>
    <pivotField numFmtId="165" showAll="0"/>
    <pivotField numFmtId="165" showAll="0"/>
    <pivotField numFmtId="165" showAll="0"/>
    <pivotField showAll="0"/>
    <pivotField showAll="0"/>
    <pivotField showAll="0"/>
    <pivotField numFmtId="1" showAll="0"/>
    <pivotField numFmtId="165" showAll="0"/>
    <pivotField numFmtId="165" showAll="0"/>
    <pivotField dataField="1" numFmtId="165"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13"/>
  </rowFields>
  <rowItems count="5">
    <i>
      <x/>
    </i>
    <i>
      <x v="1"/>
    </i>
    <i>
      <x v="2"/>
    </i>
    <i>
      <x v="3"/>
    </i>
    <i t="grand">
      <x/>
    </i>
  </rowItems>
  <colFields count="1">
    <field x="17"/>
  </colFields>
  <colItems count="6">
    <i>
      <x/>
    </i>
    <i>
      <x v="1"/>
    </i>
    <i>
      <x v="2"/>
    </i>
    <i>
      <x v="3"/>
    </i>
    <i>
      <x v="4"/>
    </i>
    <i t="grand">
      <x/>
    </i>
  </colItems>
  <dataFields count="1">
    <dataField name="Sum of GrossProfit" fld="31" baseField="0" baseItem="0" numFmtId="165"/>
  </dataFields>
  <chartFormats count="10">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 chart="4" format="10" series="1">
      <pivotArea type="data" outline="0" fieldPosition="0">
        <references count="2">
          <reference field="4294967294" count="1" selected="0">
            <x v="0"/>
          </reference>
          <reference field="17" count="1" selected="0">
            <x v="0"/>
          </reference>
        </references>
      </pivotArea>
    </chartFormat>
    <chartFormat chart="4" format="11" series="1">
      <pivotArea type="data" outline="0" fieldPosition="0">
        <references count="2">
          <reference field="4294967294" count="1" selected="0">
            <x v="0"/>
          </reference>
          <reference field="17" count="1" selected="0">
            <x v="1"/>
          </reference>
        </references>
      </pivotArea>
    </chartFormat>
    <chartFormat chart="4" format="12" series="1">
      <pivotArea type="data" outline="0" fieldPosition="0">
        <references count="2">
          <reference field="4294967294" count="1" selected="0">
            <x v="0"/>
          </reference>
          <reference field="17" count="1" selected="0">
            <x v="2"/>
          </reference>
        </references>
      </pivotArea>
    </chartFormat>
    <chartFormat chart="4" format="13" series="1">
      <pivotArea type="data" outline="0" fieldPosition="0">
        <references count="2">
          <reference field="4294967294" count="1" selected="0">
            <x v="0"/>
          </reference>
          <reference field="17" count="1" selected="0">
            <x v="3"/>
          </reference>
        </references>
      </pivotArea>
    </chartFormat>
    <chartFormat chart="4" format="14"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54C890-C17B-43EE-BA8C-F52FBAEE53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B64" firstHeaderRow="1" firstDataRow="1" firstDataCol="1"/>
  <pivotFields count="7">
    <pivotField dataField="1" showAll="0"/>
    <pivotField showAll="0"/>
    <pivotField numFmtId="165" showAll="0"/>
    <pivotField numFmtId="166" showAll="0"/>
    <pivotField numFmtId="167" showAll="0"/>
    <pivotField showAll="0"/>
    <pivotField axis="axisRow" showAll="0">
      <items count="4">
        <item x="0"/>
        <item x="1"/>
        <item x="2"/>
        <item t="default"/>
      </items>
    </pivotField>
  </pivotFields>
  <rowFields count="1">
    <field x="6"/>
  </rowFields>
  <rowItems count="4">
    <i>
      <x/>
    </i>
    <i>
      <x v="1"/>
    </i>
    <i>
      <x v="2"/>
    </i>
    <i t="grand">
      <x/>
    </i>
  </rowItems>
  <colItems count="1">
    <i/>
  </colItems>
  <dataFields count="1">
    <dataField name="Count of SKU"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294CD7-0887-4846-8783-78D9D56326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E48" firstHeaderRow="1" firstDataRow="2" firstDataCol="1"/>
  <pivotFields count="7">
    <pivotField dataField="1" showAll="0"/>
    <pivotField axis="axisRow" showAll="0">
      <items count="8">
        <item x="0"/>
        <item x="1"/>
        <item x="2"/>
        <item x="3"/>
        <item x="4"/>
        <item x="5"/>
        <item x="6"/>
        <item t="default"/>
      </items>
    </pivotField>
    <pivotField numFmtId="165" showAll="0"/>
    <pivotField numFmtId="166" showAll="0"/>
    <pivotField numFmtId="167" showAll="0"/>
    <pivotField showAll="0"/>
    <pivotField axis="axisCol" showAll="0">
      <items count="4">
        <item x="0"/>
        <item x="1"/>
        <item x="2"/>
        <item t="default"/>
      </items>
    </pivotField>
  </pivotFields>
  <rowFields count="1">
    <field x="1"/>
  </rowFields>
  <rowItems count="8">
    <i>
      <x/>
    </i>
    <i>
      <x v="1"/>
    </i>
    <i>
      <x v="2"/>
    </i>
    <i>
      <x v="3"/>
    </i>
    <i>
      <x v="4"/>
    </i>
    <i>
      <x v="5"/>
    </i>
    <i>
      <x v="6"/>
    </i>
    <i t="grand">
      <x/>
    </i>
  </rowItems>
  <colFields count="1">
    <field x="6"/>
  </colFields>
  <colItems count="4">
    <i>
      <x/>
    </i>
    <i>
      <x v="1"/>
    </i>
    <i>
      <x v="2"/>
    </i>
    <i t="grand">
      <x/>
    </i>
  </colItems>
  <dataFields count="1">
    <dataField name="Count of SKU" fld="0" subtotal="count" baseField="1"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6B44B9-CC6A-4AB2-95DD-E036A27C02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2" firstHeaderRow="1" firstDataRow="1" firstDataCol="1"/>
  <pivotFields count="7">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numFmtId="165" showAll="0"/>
    <pivotField numFmtId="166" showAll="0"/>
    <pivotField numFmtId="167" showAll="0"/>
    <pivotField showAll="0"/>
    <pivotField axis="axisRow" showAll="0">
      <items count="4">
        <item x="0"/>
        <item x="1"/>
        <item x="2"/>
        <item t="default"/>
      </items>
    </pivotField>
  </pivotFields>
  <rowFields count="2">
    <field x="1"/>
    <field x="6"/>
  </rowFields>
  <rowItems count="29">
    <i>
      <x v="3"/>
    </i>
    <i r="1">
      <x/>
    </i>
    <i r="1">
      <x v="1"/>
    </i>
    <i r="1">
      <x v="2"/>
    </i>
    <i>
      <x v="2"/>
    </i>
    <i r="1">
      <x/>
    </i>
    <i r="1">
      <x v="1"/>
    </i>
    <i r="1">
      <x v="2"/>
    </i>
    <i>
      <x v="4"/>
    </i>
    <i r="1">
      <x/>
    </i>
    <i r="1">
      <x v="1"/>
    </i>
    <i r="1">
      <x v="2"/>
    </i>
    <i>
      <x v="1"/>
    </i>
    <i r="1">
      <x/>
    </i>
    <i r="1">
      <x v="1"/>
    </i>
    <i r="1">
      <x v="2"/>
    </i>
    <i>
      <x v="6"/>
    </i>
    <i r="1">
      <x/>
    </i>
    <i r="1">
      <x v="1"/>
    </i>
    <i r="1">
      <x v="2"/>
    </i>
    <i>
      <x/>
    </i>
    <i r="1">
      <x/>
    </i>
    <i r="1">
      <x v="1"/>
    </i>
    <i r="1">
      <x v="2"/>
    </i>
    <i>
      <x v="5"/>
    </i>
    <i r="1">
      <x/>
    </i>
    <i r="1">
      <x v="1"/>
    </i>
    <i r="1">
      <x v="2"/>
    </i>
    <i t="grand">
      <x/>
    </i>
  </rowItems>
  <colItems count="1">
    <i/>
  </colItems>
  <dataFields count="1">
    <dataField name="Sum of GrossRevenue" fld="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0F9EFE-332D-42E4-8CA4-54E8E09B5E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4" firstHeaderRow="1" firstDataRow="1" firstDataCol="1"/>
  <pivotFields count="7">
    <pivotField showAll="0"/>
    <pivotField showAll="0"/>
    <pivotField dataField="1" numFmtId="165" showAll="0"/>
    <pivotField numFmtId="166" showAll="0"/>
    <pivotField numFmtId="167" showAll="0"/>
    <pivotField showAll="0"/>
    <pivotField axis="axisRow" showAll="0">
      <items count="4">
        <item x="0"/>
        <item x="1"/>
        <item x="2"/>
        <item t="default"/>
      </items>
    </pivotField>
  </pivotFields>
  <rowFields count="1">
    <field x="6"/>
  </rowFields>
  <rowItems count="4">
    <i>
      <x/>
    </i>
    <i>
      <x v="1"/>
    </i>
    <i>
      <x v="2"/>
    </i>
    <i t="grand">
      <x/>
    </i>
  </rowItems>
  <colItems count="1">
    <i/>
  </colItems>
  <dataFields count="1">
    <dataField name="Sum of GrossRevenue" fld="2" baseField="0" baseItem="0" numFmtId="165"/>
  </dataFields>
  <chartFormats count="6">
    <chartFormat chart="0"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F86022-D440-4586-A4DA-9477B4576A1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D20" firstHeaderRow="0" firstDataRow="1" firstDataCol="1"/>
  <pivotFields count="37">
    <pivotField dataField="1"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showAll="0">
      <items count="14">
        <item x="3"/>
        <item x="1"/>
        <item x="4"/>
        <item x="9"/>
        <item x="6"/>
        <item x="7"/>
        <item x="11"/>
        <item x="10"/>
        <item x="8"/>
        <item x="5"/>
        <item x="2"/>
        <item x="0"/>
        <item x="12"/>
        <item t="default"/>
      </items>
    </pivotField>
    <pivotField showAll="0"/>
    <pivotField showAll="0"/>
    <pivotField showAll="0"/>
    <pivotField showAll="0"/>
    <pivotField showAll="0"/>
    <pivotField showAll="0"/>
    <pivotField showAll="0"/>
    <pivotField showAll="0"/>
    <pivotField showAll="0"/>
    <pivotField axis="axisRow" showAll="0" sortType="descending">
      <items count="17">
        <item x="8"/>
        <item x="5"/>
        <item x="0"/>
        <item x="14"/>
        <item x="6"/>
        <item x="9"/>
        <item x="3"/>
        <item x="10"/>
        <item x="2"/>
        <item x="1"/>
        <item x="11"/>
        <item x="4"/>
        <item x="12"/>
        <item x="13"/>
        <item x="7"/>
        <item h="1" x="1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8"/>
  </rowFields>
  <rowItems count="16">
    <i>
      <x v="5"/>
    </i>
    <i>
      <x v="9"/>
    </i>
    <i>
      <x v="12"/>
    </i>
    <i>
      <x v="1"/>
    </i>
    <i>
      <x v="11"/>
    </i>
    <i>
      <x/>
    </i>
    <i>
      <x v="7"/>
    </i>
    <i>
      <x v="10"/>
    </i>
    <i>
      <x v="8"/>
    </i>
    <i>
      <x v="3"/>
    </i>
    <i>
      <x v="14"/>
    </i>
    <i>
      <x v="2"/>
    </i>
    <i>
      <x v="4"/>
    </i>
    <i>
      <x v="13"/>
    </i>
    <i>
      <x v="6"/>
    </i>
    <i t="grand">
      <x/>
    </i>
  </rowItems>
  <colFields count="1">
    <field x="-2"/>
  </colFields>
  <colItems count="3">
    <i>
      <x/>
    </i>
    <i i="1">
      <x v="1"/>
    </i>
    <i i="2">
      <x v="2"/>
    </i>
  </colItems>
  <dataFields count="3">
    <dataField name="Sum of GrossRevenue" fld="29" baseField="0" baseItem="0"/>
    <dataField name="Count of OrderID" fld="0" subtotal="count" baseField="0" baseItem="0"/>
    <dataField name="Sum of GrossProfit" fld="3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033264-95EC-4972-92CE-4938A194702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11" firstHeaderRow="1" firstDataRow="1" firstDataCol="1"/>
  <pivotFields count="37">
    <pivotField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showAll="0">
      <items count="14">
        <item x="3"/>
        <item x="1"/>
        <item x="4"/>
        <item x="9"/>
        <item x="6"/>
        <item x="7"/>
        <item x="11"/>
        <item x="10"/>
        <item x="8"/>
        <item x="5"/>
        <item x="2"/>
        <item x="0"/>
        <item x="12"/>
        <item t="default"/>
      </items>
    </pivotField>
    <pivotField showAll="0"/>
    <pivotField showAll="0"/>
    <pivotField showAll="0"/>
    <pivotField showAll="0"/>
    <pivotField showAll="0"/>
    <pivotField showAll="0"/>
    <pivotField showAll="0"/>
    <pivotField showAll="0"/>
    <pivotField axis="axisRow" showAll="0" sortType="descending">
      <items count="7">
        <item x="4"/>
        <item x="3"/>
        <item x="2"/>
        <item x="1"/>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7"/>
  </rowFields>
  <rowItems count="6">
    <i>
      <x/>
    </i>
    <i>
      <x v="3"/>
    </i>
    <i>
      <x v="2"/>
    </i>
    <i>
      <x v="1"/>
    </i>
    <i>
      <x v="4"/>
    </i>
    <i t="grand">
      <x/>
    </i>
  </rowItems>
  <colItems count="1">
    <i/>
  </colItems>
  <dataFields count="1">
    <dataField name="Sum of GrossRevenue" fld="29" showDataAs="percentOfTotal" baseField="15"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3"/>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1"/>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182BE3-7F6A-45C6-8817-887E564C6C39}"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0:G174" firstHeaderRow="1" firstDataRow="2" firstDataCol="1"/>
  <pivotFields count="37">
    <pivotField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axis="axisRow" showAll="0" sortType="ascending">
      <items count="14">
        <item x="3"/>
        <item x="1"/>
        <item x="4"/>
        <item x="9"/>
        <item x="6"/>
        <item x="7"/>
        <item x="11"/>
        <item x="10"/>
        <item x="8"/>
        <item x="5"/>
        <item x="2"/>
        <item h="1" x="0"/>
        <item h="1" x="12"/>
        <item t="default"/>
      </items>
    </pivotField>
    <pivotField showAll="0"/>
    <pivotField showAll="0"/>
    <pivotField showAll="0"/>
    <pivotField showAll="0"/>
    <pivotField showAll="0"/>
    <pivotField showAll="0"/>
    <pivotField showAll="0"/>
    <pivotField showAll="0"/>
    <pivotField axis="axisCol" showAll="0">
      <items count="7">
        <item x="4"/>
        <item x="3"/>
        <item x="2"/>
        <item x="1"/>
        <item x="0"/>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2">
    <field x="33"/>
    <field x="8"/>
  </rowFields>
  <rowItems count="13">
    <i>
      <x/>
    </i>
    <i r="1">
      <x/>
    </i>
    <i r="1">
      <x v="1"/>
    </i>
    <i r="1">
      <x v="2"/>
    </i>
    <i r="1">
      <x v="3"/>
    </i>
    <i r="1">
      <x v="4"/>
    </i>
    <i r="1">
      <x v="5"/>
    </i>
    <i r="1">
      <x v="6"/>
    </i>
    <i r="1">
      <x v="7"/>
    </i>
    <i r="1">
      <x v="8"/>
    </i>
    <i r="1">
      <x v="9"/>
    </i>
    <i r="1">
      <x v="10"/>
    </i>
    <i t="grand">
      <x/>
    </i>
  </rowItems>
  <colFields count="1">
    <field x="17"/>
  </colFields>
  <colItems count="6">
    <i>
      <x/>
    </i>
    <i>
      <x v="1"/>
    </i>
    <i>
      <x v="2"/>
    </i>
    <i>
      <x v="3"/>
    </i>
    <i>
      <x v="4"/>
    </i>
    <i t="grand">
      <x/>
    </i>
  </colItems>
  <dataFields count="1">
    <dataField name="Sum of GrossRevenue"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326268-D703-4451-8FD2-8CD49D807BA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G69" firstHeaderRow="1" firstDataRow="2" firstDataCol="1" rowPageCount="1" colPageCount="1"/>
  <pivotFields count="37">
    <pivotField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axis="axisRow" showAll="0">
      <items count="14">
        <item x="3"/>
        <item x="1"/>
        <item x="4"/>
        <item x="9"/>
        <item x="6"/>
        <item x="7"/>
        <item x="11"/>
        <item x="10"/>
        <item x="8"/>
        <item x="5"/>
        <item x="2"/>
        <item h="1" x="0"/>
        <item h="1" x="12"/>
        <item t="default"/>
      </items>
    </pivotField>
    <pivotField showAll="0"/>
    <pivotField showAll="0"/>
    <pivotField showAll="0"/>
    <pivotField showAll="0"/>
    <pivotField axis="axisPage" showAll="0">
      <items count="6">
        <item x="0"/>
        <item x="2"/>
        <item x="1"/>
        <item x="3"/>
        <item x="4"/>
        <item t="default"/>
      </items>
    </pivotField>
    <pivotField showAll="0"/>
    <pivotField showAll="0"/>
    <pivotField showAll="0"/>
    <pivotField axis="axisCol" showAll="0">
      <items count="7">
        <item x="4"/>
        <item x="3"/>
        <item x="2"/>
        <item x="1"/>
        <item x="0"/>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2">
    <field x="33"/>
    <field x="8"/>
  </rowFields>
  <rowItems count="13">
    <i>
      <x/>
    </i>
    <i r="1">
      <x/>
    </i>
    <i r="1">
      <x v="1"/>
    </i>
    <i r="1">
      <x v="2"/>
    </i>
    <i r="1">
      <x v="3"/>
    </i>
    <i r="1">
      <x v="4"/>
    </i>
    <i r="1">
      <x v="5"/>
    </i>
    <i r="1">
      <x v="6"/>
    </i>
    <i r="1">
      <x v="7"/>
    </i>
    <i r="1">
      <x v="8"/>
    </i>
    <i r="1">
      <x v="9"/>
    </i>
    <i r="1">
      <x v="10"/>
    </i>
    <i t="grand">
      <x/>
    </i>
  </rowItems>
  <colFields count="1">
    <field x="17"/>
  </colFields>
  <colItems count="6">
    <i>
      <x/>
    </i>
    <i>
      <x v="1"/>
    </i>
    <i>
      <x v="2"/>
    </i>
    <i>
      <x v="3"/>
    </i>
    <i>
      <x v="4"/>
    </i>
    <i t="grand">
      <x/>
    </i>
  </colItems>
  <pageFields count="1">
    <pageField fld="13" item="1" hier="-1"/>
  </pageFields>
  <dataFields count="1">
    <dataField name="Sum of GrossRevenue" fld="29" baseField="0" baseItem="0"/>
  </dataFields>
  <chartFormats count="5">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BB9663-DE57-4BAB-A373-89FD82E2B16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G46" firstHeaderRow="1" firstDataRow="2" firstDataCol="1" rowPageCount="1" colPageCount="1"/>
  <pivotFields count="37">
    <pivotField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axis="axisPage" multipleItemSelectionAllowed="1" showAll="0">
      <items count="14">
        <item x="3"/>
        <item h="1" x="1"/>
        <item h="1" x="4"/>
        <item x="9"/>
        <item h="1" x="6"/>
        <item h="1" x="7"/>
        <item x="11"/>
        <item h="1" x="10"/>
        <item h="1" x="8"/>
        <item x="5"/>
        <item h="1" x="2"/>
        <item h="1" x="0"/>
        <item h="1" x="12"/>
        <item t="default"/>
      </items>
    </pivotField>
    <pivotField showAll="0"/>
    <pivotField showAll="0"/>
    <pivotField showAll="0"/>
    <pivotField showAll="0"/>
    <pivotField axis="axisRow" showAll="0">
      <items count="6">
        <item x="0"/>
        <item x="2"/>
        <item x="1"/>
        <item x="3"/>
        <item h="1" x="4"/>
        <item t="default"/>
      </items>
    </pivotField>
    <pivotField showAll="0"/>
    <pivotField showAll="0"/>
    <pivotField showAll="0"/>
    <pivotField axis="axisCol" showAll="0">
      <items count="7">
        <item x="4"/>
        <item x="3"/>
        <item x="2"/>
        <item x="1"/>
        <item x="0"/>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3"/>
  </rowFields>
  <rowItems count="5">
    <i>
      <x/>
    </i>
    <i>
      <x v="1"/>
    </i>
    <i>
      <x v="2"/>
    </i>
    <i>
      <x v="3"/>
    </i>
    <i t="grand">
      <x/>
    </i>
  </rowItems>
  <colFields count="1">
    <field x="17"/>
  </colFields>
  <colItems count="6">
    <i>
      <x/>
    </i>
    <i>
      <x v="1"/>
    </i>
    <i>
      <x v="2"/>
    </i>
    <i>
      <x v="3"/>
    </i>
    <i>
      <x v="4"/>
    </i>
    <i t="grand">
      <x/>
    </i>
  </colItems>
  <pageFields count="1">
    <pageField fld="8" hier="-1"/>
  </pageFields>
  <dataFields count="1">
    <dataField name="Sum of GrossRevenue"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263B5D-F59F-4CEC-9ADC-F1F849A43DF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G26" firstHeaderRow="1" firstDataRow="2" firstDataCol="1"/>
  <pivotFields count="37">
    <pivotField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showAll="0">
      <items count="14">
        <item x="3"/>
        <item x="1"/>
        <item x="4"/>
        <item x="9"/>
        <item x="6"/>
        <item x="7"/>
        <item x="11"/>
        <item x="10"/>
        <item x="8"/>
        <item x="5"/>
        <item x="2"/>
        <item x="0"/>
        <item x="12"/>
        <item t="default"/>
      </items>
    </pivotField>
    <pivotField showAll="0"/>
    <pivotField showAll="0"/>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sortType="descending">
      <items count="7">
        <item x="4"/>
        <item x="3"/>
        <item x="2"/>
        <item x="1"/>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3"/>
  </rowFields>
  <rowItems count="5">
    <i>
      <x v="2"/>
    </i>
    <i>
      <x v="3"/>
    </i>
    <i>
      <x v="1"/>
    </i>
    <i>
      <x/>
    </i>
    <i t="grand">
      <x/>
    </i>
  </rowItems>
  <colFields count="1">
    <field x="17"/>
  </colFields>
  <colItems count="6">
    <i>
      <x/>
    </i>
    <i>
      <x v="3"/>
    </i>
    <i>
      <x v="2"/>
    </i>
    <i>
      <x v="1"/>
    </i>
    <i>
      <x v="4"/>
    </i>
    <i t="grand">
      <x/>
    </i>
  </colItems>
  <dataFields count="1">
    <dataField name="Sum of GrossRevenue" fld="29" baseField="11" baseItem="2"/>
  </dataFields>
  <chartFormats count="10">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3"/>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 chart="1" format="0" series="1">
      <pivotArea type="data" outline="0" fieldPosition="0">
        <references count="2">
          <reference field="4294967294" count="1" selected="0">
            <x v="0"/>
          </reference>
          <reference field="17" count="1" selected="0">
            <x v="0"/>
          </reference>
        </references>
      </pivotArea>
    </chartFormat>
    <chartFormat chart="1" format="1" series="1">
      <pivotArea type="data" outline="0" fieldPosition="0">
        <references count="2">
          <reference field="4294967294" count="1" selected="0">
            <x v="0"/>
          </reference>
          <reference field="17" count="1" selected="0">
            <x v="3"/>
          </reference>
        </references>
      </pivotArea>
    </chartFormat>
    <chartFormat chart="1" format="2" series="1">
      <pivotArea type="data" outline="0" fieldPosition="0">
        <references count="2">
          <reference field="4294967294" count="1" selected="0">
            <x v="0"/>
          </reference>
          <reference field="17" count="1" selected="0">
            <x v="2"/>
          </reference>
        </references>
      </pivotArea>
    </chartFormat>
    <chartFormat chart="1" format="3" series="1">
      <pivotArea type="data" outline="0" fieldPosition="0">
        <references count="2">
          <reference field="4294967294" count="1" selected="0">
            <x v="0"/>
          </reference>
          <reference field="17" count="1" selected="0">
            <x v="1"/>
          </reference>
        </references>
      </pivotArea>
    </chartFormat>
    <chartFormat chart="1" format="4"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5570AD-F689-448E-9240-C0641AC328C6}"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1" firstHeaderRow="1" firstDataRow="2" firstDataCol="1"/>
  <pivotFields count="37">
    <pivotField dataField="1" showAll="0"/>
    <pivotField showAll="0"/>
    <pivotField showAll="0">
      <items count="470">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x="468"/>
        <item t="default"/>
      </items>
    </pivotField>
    <pivotField showAll="0"/>
    <pivotField showAll="0"/>
    <pivotField showAll="0"/>
    <pivotField showAll="0"/>
    <pivotField showAll="0"/>
    <pivotField showAll="0">
      <items count="14">
        <item x="3"/>
        <item x="1"/>
        <item x="4"/>
        <item x="9"/>
        <item x="6"/>
        <item x="7"/>
        <item x="11"/>
        <item x="10"/>
        <item x="8"/>
        <item x="5"/>
        <item x="2"/>
        <item x="0"/>
        <item x="12"/>
        <item t="default"/>
      </items>
    </pivotField>
    <pivotField axis="axisCol" showAll="0">
      <items count="4">
        <item x="0"/>
        <item x="1"/>
        <item h="1" x="2"/>
        <item t="default"/>
      </items>
    </pivotField>
    <pivotField showAll="0"/>
    <pivotField showAll="0"/>
    <pivotField showAll="0"/>
    <pivotField showAll="0"/>
    <pivotField axis="axisRow" showAll="0">
      <items count="14">
        <item x="5"/>
        <item x="3"/>
        <item x="9"/>
        <item x="7"/>
        <item x="6"/>
        <item x="4"/>
        <item x="2"/>
        <item x="0"/>
        <item x="1"/>
        <item x="11"/>
        <item x="8"/>
        <item x="10"/>
        <item x="12"/>
        <item t="default"/>
      </items>
    </pivotField>
    <pivotField showAll="0"/>
    <pivotField showAll="0"/>
    <pivotField showAll="0"/>
    <pivotField showAll="0"/>
    <pivotField axis="axisRow"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
        <item x="0"/>
        <item x="1"/>
        <item x="2"/>
      </items>
    </pivotField>
    <pivotField showAll="0" defaultSubtotal="0"/>
    <pivotField showAll="0" defaultSubtotal="0"/>
    <pivotField showAll="0" defaultSubtotal="0">
      <items count="5">
        <item x="1"/>
        <item x="2"/>
        <item x="3"/>
        <item x="0"/>
        <item x="4"/>
      </items>
    </pivotField>
  </pivotFields>
  <rowFields count="2">
    <field x="14"/>
    <field x="19"/>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9"/>
  </colFields>
  <colItems count="3">
    <i>
      <x/>
    </i>
    <i>
      <x v="1"/>
    </i>
    <i t="grand">
      <x/>
    </i>
  </colItems>
  <dataFields count="1">
    <dataField name="Count of Order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892FD71-47AC-40D5-87D1-AAD43D053911}" name="PivotTable1" cacheId="1" applyNumberFormats="0" applyBorderFormats="0" applyFontFormats="0" applyPatternFormats="0" applyAlignmentFormats="0" applyWidthHeightFormats="1" dataCaption="Values" errorCaption="0" showError="1" updatedVersion="8" minRefreshableVersion="3" useAutoFormatting="1" itemPrintTitles="1" createdVersion="8" indent="0" outline="1" outlineData="1" multipleFieldFilters="0">
  <location ref="A2:D71" firstHeaderRow="0" firstDataRow="1" firstDataCol="1"/>
  <pivotFields count="39">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axis="axisRow" showAll="0">
      <items count="5">
        <item x="0"/>
        <item x="2"/>
        <item x="1"/>
        <item x="3"/>
        <item t="default"/>
      </items>
    </pivotField>
    <pivotField showAll="0"/>
    <pivotField showAll="0"/>
    <pivotField showAll="0"/>
    <pivotField showAll="0"/>
    <pivotField axis="axisRow" showAll="0" sortType="descending">
      <items count="17">
        <item x="8"/>
        <item x="5"/>
        <item x="0"/>
        <item x="14"/>
        <item x="6"/>
        <item x="9"/>
        <item x="3"/>
        <item x="10"/>
        <item x="2"/>
        <item x="1"/>
        <item x="11"/>
        <item x="4"/>
        <item x="12"/>
        <item x="13"/>
        <item x="7"/>
        <item x="15"/>
        <item t="default"/>
      </items>
      <autoSortScope>
        <pivotArea dataOnly="0" outline="0" fieldPosition="0">
          <references count="1">
            <reference field="4294967294" count="1" selected="0">
              <x v="2"/>
            </reference>
          </references>
        </pivotArea>
      </autoSortScope>
    </pivotField>
    <pivotField showAll="0"/>
    <pivotField showAll="0"/>
    <pivotField numFmtId="165" showAll="0"/>
    <pivotField numFmtId="165" showAll="0"/>
    <pivotField numFmtId="165" showAll="0"/>
    <pivotField numFmtId="165" showAll="0"/>
    <pivotField showAll="0"/>
    <pivotField showAll="0"/>
    <pivotField dataField="1" showAll="0"/>
    <pivotField numFmtId="1" showAll="0"/>
    <pivotField numFmtId="165" showAll="0"/>
    <pivotField numFmtId="165" showAll="0"/>
    <pivotField numFmtId="165"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3"/>
    <field x="18"/>
  </rowFields>
  <rowItems count="69">
    <i>
      <x/>
    </i>
    <i r="1">
      <x v="3"/>
    </i>
    <i r="1">
      <x v="2"/>
    </i>
    <i r="1">
      <x v="12"/>
    </i>
    <i r="1">
      <x v="15"/>
    </i>
    <i r="1">
      <x v="7"/>
    </i>
    <i r="1">
      <x v="9"/>
    </i>
    <i r="1">
      <x v="11"/>
    </i>
    <i r="1">
      <x v="4"/>
    </i>
    <i r="1">
      <x/>
    </i>
    <i r="1">
      <x v="8"/>
    </i>
    <i r="1">
      <x v="5"/>
    </i>
    <i r="1">
      <x v="14"/>
    </i>
    <i r="1">
      <x v="6"/>
    </i>
    <i r="1">
      <x v="10"/>
    </i>
    <i r="1">
      <x v="13"/>
    </i>
    <i r="1">
      <x v="1"/>
    </i>
    <i>
      <x v="1"/>
    </i>
    <i r="1">
      <x v="3"/>
    </i>
    <i r="1">
      <x v="8"/>
    </i>
    <i r="1">
      <x/>
    </i>
    <i r="1">
      <x v="11"/>
    </i>
    <i r="1">
      <x v="15"/>
    </i>
    <i r="1">
      <x v="12"/>
    </i>
    <i r="1">
      <x v="6"/>
    </i>
    <i r="1">
      <x v="13"/>
    </i>
    <i r="1">
      <x v="2"/>
    </i>
    <i r="1">
      <x v="1"/>
    </i>
    <i r="1">
      <x v="10"/>
    </i>
    <i r="1">
      <x v="5"/>
    </i>
    <i r="1">
      <x v="14"/>
    </i>
    <i r="1">
      <x v="9"/>
    </i>
    <i r="1">
      <x v="4"/>
    </i>
    <i r="1">
      <x v="7"/>
    </i>
    <i>
      <x v="2"/>
    </i>
    <i r="1">
      <x v="14"/>
    </i>
    <i r="1">
      <x v="5"/>
    </i>
    <i r="1">
      <x v="2"/>
    </i>
    <i r="1">
      <x v="13"/>
    </i>
    <i r="1">
      <x v="11"/>
    </i>
    <i r="1">
      <x v="8"/>
    </i>
    <i r="1">
      <x v="7"/>
    </i>
    <i r="1">
      <x v="3"/>
    </i>
    <i r="1">
      <x v="10"/>
    </i>
    <i r="1">
      <x v="9"/>
    </i>
    <i r="1">
      <x v="6"/>
    </i>
    <i r="1">
      <x v="1"/>
    </i>
    <i r="1">
      <x v="12"/>
    </i>
    <i r="1">
      <x/>
    </i>
    <i r="1">
      <x v="4"/>
    </i>
    <i r="1">
      <x v="15"/>
    </i>
    <i>
      <x v="3"/>
    </i>
    <i r="1">
      <x v="2"/>
    </i>
    <i r="1">
      <x v="4"/>
    </i>
    <i r="1">
      <x/>
    </i>
    <i r="1">
      <x v="1"/>
    </i>
    <i r="1">
      <x v="6"/>
    </i>
    <i r="1">
      <x v="13"/>
    </i>
    <i r="1">
      <x v="10"/>
    </i>
    <i r="1">
      <x v="12"/>
    </i>
    <i r="1">
      <x v="8"/>
    </i>
    <i r="1">
      <x v="9"/>
    </i>
    <i r="1">
      <x v="7"/>
    </i>
    <i r="1">
      <x v="3"/>
    </i>
    <i r="1">
      <x v="15"/>
    </i>
    <i r="1">
      <x v="14"/>
    </i>
    <i r="1">
      <x v="5"/>
    </i>
    <i r="1">
      <x v="11"/>
    </i>
    <i t="grand">
      <x/>
    </i>
  </rowItems>
  <colFields count="1">
    <field x="-2"/>
  </colFields>
  <colItems count="3">
    <i>
      <x/>
    </i>
    <i i="1">
      <x v="1"/>
    </i>
    <i i="2">
      <x v="2"/>
    </i>
  </colItems>
  <dataFields count="3">
    <dataField name="Count of OrderID" fld="0" subtotal="count" baseField="18" baseItem="0"/>
    <dataField name="Sum of Discount&gt;20" fld="27" baseField="18" baseItem="0"/>
    <dataField name="Sum of Non-compliance Rate" fld="35" showDataAs="percentOfTotal" baseField="0" baseItem="0" numFmtId="10"/>
  </dataFields>
  <formats count="4">
    <format dxfId="9">
      <pivotArea collapsedLevelsAreSubtotals="1" fieldPosition="0">
        <references count="3">
          <reference field="4294967294" count="1" selected="0">
            <x v="2"/>
          </reference>
          <reference field="13" count="1" selected="0">
            <x v="0"/>
          </reference>
          <reference field="18" count="7">
            <x v="2"/>
            <x v="3"/>
            <x v="7"/>
            <x v="9"/>
            <x v="11"/>
            <x v="12"/>
            <x v="15"/>
          </reference>
        </references>
      </pivotArea>
    </format>
    <format dxfId="8">
      <pivotArea collapsedLevelsAreSubtotals="1" fieldPosition="0">
        <references count="3">
          <reference field="4294967294" count="1" selected="0">
            <x v="2"/>
          </reference>
          <reference field="13" count="1" selected="0">
            <x v="1"/>
          </reference>
          <reference field="18" count="6">
            <x v="0"/>
            <x v="3"/>
            <x v="8"/>
            <x v="11"/>
            <x v="12"/>
            <x v="15"/>
          </reference>
        </references>
      </pivotArea>
    </format>
    <format dxfId="7">
      <pivotArea collapsedLevelsAreSubtotals="1" fieldPosition="0">
        <references count="3">
          <reference field="4294967294" count="1" selected="0">
            <x v="2"/>
          </reference>
          <reference field="13" count="1" selected="0">
            <x v="2"/>
          </reference>
          <reference field="18" count="7">
            <x v="2"/>
            <x v="5"/>
            <x v="7"/>
            <x v="8"/>
            <x v="11"/>
            <x v="13"/>
            <x v="14"/>
          </reference>
        </references>
      </pivotArea>
    </format>
    <format dxfId="6">
      <pivotArea collapsedLevelsAreSubtotals="1" fieldPosition="0">
        <references count="3">
          <reference field="4294967294" count="1" selected="0">
            <x v="2"/>
          </reference>
          <reference field="13" count="1" selected="0">
            <x v="3"/>
          </reference>
          <reference field="18" count="9">
            <x v="0"/>
            <x v="1"/>
            <x v="2"/>
            <x v="4"/>
            <x v="6"/>
            <x v="8"/>
            <x v="10"/>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E7BE04-F81B-4A97-94AA-304F7E61EC8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C97" firstHeaderRow="0" firstDataRow="1" firstDataCol="1"/>
  <pivotFields count="39">
    <pivotField showAll="0"/>
    <pivotField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165" showAll="0"/>
    <pivotField numFmtId="165" showAll="0"/>
    <pivotField numFmtId="165" showAll="0"/>
    <pivotField numFmtId="165" showAll="0"/>
    <pivotField showAll="0"/>
    <pivotField showAll="0"/>
    <pivotField showAll="0"/>
    <pivotField numFmtId="1" showAll="0"/>
    <pivotField dataField="1" numFmtId="165" showAll="0"/>
    <pivotField numFmtId="165" showAll="0"/>
    <pivotField numFmtId="165"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GrossRevenue" fld="29" baseField="0" baseItem="0" numFmtId="165"/>
    <dataField name="Sum of GrossRevenue2" fld="2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07F6556-BCF8-4C3F-B15C-2A6A1C5FE3B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E9" firstHeaderRow="1" firstDataRow="3" firstDataCol="1"/>
  <pivotFields count="39">
    <pivotField showAll="0"/>
    <pivotField showAll="0"/>
    <pivotField numFmtId="16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pivotField showAll="0"/>
    <pivotField axis="axisRow" numFmtId="1" showAll="0">
      <items count="5">
        <item x="1"/>
        <item x="3"/>
        <item x="0"/>
        <item x="2"/>
        <item t="default"/>
      </items>
    </pivotField>
    <pivotField axis="axisCol" numFmtId="1" showAll="0">
      <items count="67">
        <item x="5"/>
        <item x="20"/>
        <item x="28"/>
        <item x="39"/>
        <item x="17"/>
        <item x="29"/>
        <item x="57"/>
        <item x="43"/>
        <item x="60"/>
        <item x="61"/>
        <item x="63"/>
        <item x="38"/>
        <item x="65"/>
        <item x="56"/>
        <item x="64"/>
        <item x="23"/>
        <item x="7"/>
        <item x="21"/>
        <item x="59"/>
        <item x="44"/>
        <item x="31"/>
        <item x="1"/>
        <item x="6"/>
        <item x="41"/>
        <item x="49"/>
        <item x="36"/>
        <item x="3"/>
        <item x="35"/>
        <item x="8"/>
        <item x="18"/>
        <item x="15"/>
        <item x="54"/>
        <item x="11"/>
        <item x="55"/>
        <item x="2"/>
        <item x="32"/>
        <item x="12"/>
        <item x="42"/>
        <item x="25"/>
        <item x="30"/>
        <item x="34"/>
        <item x="52"/>
        <item x="4"/>
        <item x="53"/>
        <item x="45"/>
        <item x="9"/>
        <item x="58"/>
        <item x="0"/>
        <item x="40"/>
        <item x="19"/>
        <item x="51"/>
        <item x="16"/>
        <item x="24"/>
        <item x="62"/>
        <item x="26"/>
        <item x="10"/>
        <item x="13"/>
        <item x="33"/>
        <item x="47"/>
        <item x="50"/>
        <item x="22"/>
        <item x="27"/>
        <item x="37"/>
        <item x="14"/>
        <item x="46"/>
        <item x="48"/>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showAll="0"/>
    <pivotField showAll="0"/>
    <pivotField showAll="0"/>
    <pivotField numFmtId="1" showAll="0"/>
    <pivotField dataField="1" numFmtId="165" showAll="0"/>
    <pivotField numFmtId="165" showAll="0"/>
    <pivotField numFmtId="165"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Fields count="2">
    <field x="6"/>
    <field x="-2"/>
  </colFields>
  <colItems count="134">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x v="25"/>
      <x/>
    </i>
    <i r="1" i="1">
      <x v="1"/>
    </i>
    <i>
      <x v="26"/>
      <x/>
    </i>
    <i r="1" i="1">
      <x v="1"/>
    </i>
    <i>
      <x v="27"/>
      <x/>
    </i>
    <i r="1" i="1">
      <x v="1"/>
    </i>
    <i>
      <x v="28"/>
      <x/>
    </i>
    <i r="1" i="1">
      <x v="1"/>
    </i>
    <i>
      <x v="29"/>
      <x/>
    </i>
    <i r="1" i="1">
      <x v="1"/>
    </i>
    <i>
      <x v="30"/>
      <x/>
    </i>
    <i r="1" i="1">
      <x v="1"/>
    </i>
    <i>
      <x v="31"/>
      <x/>
    </i>
    <i r="1" i="1">
      <x v="1"/>
    </i>
    <i>
      <x v="32"/>
      <x/>
    </i>
    <i r="1" i="1">
      <x v="1"/>
    </i>
    <i>
      <x v="33"/>
      <x/>
    </i>
    <i r="1" i="1">
      <x v="1"/>
    </i>
    <i>
      <x v="34"/>
      <x/>
    </i>
    <i r="1" i="1">
      <x v="1"/>
    </i>
    <i>
      <x v="35"/>
      <x/>
    </i>
    <i r="1" i="1">
      <x v="1"/>
    </i>
    <i>
      <x v="36"/>
      <x/>
    </i>
    <i r="1" i="1">
      <x v="1"/>
    </i>
    <i>
      <x v="37"/>
      <x/>
    </i>
    <i r="1" i="1">
      <x v="1"/>
    </i>
    <i>
      <x v="38"/>
      <x/>
    </i>
    <i r="1" i="1">
      <x v="1"/>
    </i>
    <i>
      <x v="39"/>
      <x/>
    </i>
    <i r="1" i="1">
      <x v="1"/>
    </i>
    <i>
      <x v="40"/>
      <x/>
    </i>
    <i r="1" i="1">
      <x v="1"/>
    </i>
    <i>
      <x v="41"/>
      <x/>
    </i>
    <i r="1" i="1">
      <x v="1"/>
    </i>
    <i>
      <x v="42"/>
      <x/>
    </i>
    <i r="1" i="1">
      <x v="1"/>
    </i>
    <i>
      <x v="43"/>
      <x/>
    </i>
    <i r="1" i="1">
      <x v="1"/>
    </i>
    <i>
      <x v="44"/>
      <x/>
    </i>
    <i r="1" i="1">
      <x v="1"/>
    </i>
    <i>
      <x v="45"/>
      <x/>
    </i>
    <i r="1" i="1">
      <x v="1"/>
    </i>
    <i>
      <x v="46"/>
      <x/>
    </i>
    <i r="1" i="1">
      <x v="1"/>
    </i>
    <i>
      <x v="47"/>
      <x/>
    </i>
    <i r="1" i="1">
      <x v="1"/>
    </i>
    <i>
      <x v="48"/>
      <x/>
    </i>
    <i r="1" i="1">
      <x v="1"/>
    </i>
    <i>
      <x v="49"/>
      <x/>
    </i>
    <i r="1" i="1">
      <x v="1"/>
    </i>
    <i>
      <x v="50"/>
      <x/>
    </i>
    <i r="1" i="1">
      <x v="1"/>
    </i>
    <i>
      <x v="51"/>
      <x/>
    </i>
    <i r="1" i="1">
      <x v="1"/>
    </i>
    <i>
      <x v="52"/>
      <x/>
    </i>
    <i r="1" i="1">
      <x v="1"/>
    </i>
    <i>
      <x v="53"/>
      <x/>
    </i>
    <i r="1" i="1">
      <x v="1"/>
    </i>
    <i>
      <x v="54"/>
      <x/>
    </i>
    <i r="1" i="1">
      <x v="1"/>
    </i>
    <i>
      <x v="55"/>
      <x/>
    </i>
    <i r="1" i="1">
      <x v="1"/>
    </i>
    <i>
      <x v="56"/>
      <x/>
    </i>
    <i r="1" i="1">
      <x v="1"/>
    </i>
    <i>
      <x v="57"/>
      <x/>
    </i>
    <i r="1" i="1">
      <x v="1"/>
    </i>
    <i>
      <x v="58"/>
      <x/>
    </i>
    <i r="1" i="1">
      <x v="1"/>
    </i>
    <i>
      <x v="59"/>
      <x/>
    </i>
    <i r="1" i="1">
      <x v="1"/>
    </i>
    <i>
      <x v="60"/>
      <x/>
    </i>
    <i r="1" i="1">
      <x v="1"/>
    </i>
    <i>
      <x v="61"/>
      <x/>
    </i>
    <i r="1" i="1">
      <x v="1"/>
    </i>
    <i>
      <x v="62"/>
      <x/>
    </i>
    <i r="1" i="1">
      <x v="1"/>
    </i>
    <i>
      <x v="63"/>
      <x/>
    </i>
    <i r="1" i="1">
      <x v="1"/>
    </i>
    <i>
      <x v="64"/>
      <x/>
    </i>
    <i r="1" i="1">
      <x v="1"/>
    </i>
    <i>
      <x v="65"/>
      <x/>
    </i>
    <i r="1" i="1">
      <x v="1"/>
    </i>
    <i t="grand">
      <x/>
    </i>
    <i t="grand" i="1">
      <x/>
    </i>
  </colItems>
  <dataFields count="2">
    <dataField name="Sum of GrossRevenue" fld="29" baseField="0" baseItem="0" numFmtId="165"/>
    <dataField name="Sum of GrossRevenue2" fld="29"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A00533-862C-4400-A0B0-63E45FC12528}" sourceName="Month">
  <pivotTables>
    <pivotTable tabId="12" name="PivotTable1"/>
    <pivotTable tabId="3" name="PivotTable2"/>
    <pivotTable tabId="10" name="PivotTable1"/>
    <pivotTable tabId="10" name="PivotTable2"/>
    <pivotTable tabId="10" name="PivotTable3"/>
    <pivotTable tabId="10" name="PivotTable4"/>
    <pivotTable tabId="8" name="PivotTable1"/>
    <pivotTable tabId="8" name="PivotTable2"/>
  </pivotTables>
  <data>
    <tabular pivotCacheId="2119148577">
      <items count="33">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6798D5-E58B-440E-8D01-22E2810C5B6C}" sourceName="Region">
  <pivotTables>
    <pivotTable tabId="12" name="PivotTable1"/>
  </pivotTables>
  <data>
    <tabular pivotCacheId="2119148577">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6FDD825-C46F-43AD-AB15-4327669CA480}" sourceName="Country">
  <pivotTables>
    <pivotTable tabId="12" name="PivotTable1"/>
  </pivotTables>
  <data>
    <tabular pivotCacheId="2119148577">
      <items count="12">
        <i x="5" s="1"/>
        <i x="3" s="1"/>
        <i x="9" s="1"/>
        <i x="7" s="1"/>
        <i x="6" s="1"/>
        <i x="4" s="1"/>
        <i x="2" s="1"/>
        <i x="0" s="1"/>
        <i x="1" s="1"/>
        <i x="11" s="1"/>
        <i x="8"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EECB921-3B4C-411D-86AF-829DCF46E532}" sourceName="Channel">
  <pivotTables>
    <pivotTable tabId="12" name="PivotTable1"/>
  </pivotTables>
  <data>
    <tabular pivotCacheId="2119148577">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91A2A1F-A501-41A8-A1AE-91A4E8099096}" sourceName="Salesperson">
  <pivotTables>
    <pivotTable tabId="12" name="PivotTable1"/>
  </pivotTables>
  <data>
    <tabular pivotCacheId="2119148577">
      <items count="16">
        <i x="8" s="1"/>
        <i x="5" s="1"/>
        <i x="0" s="1"/>
        <i x="14" s="1"/>
        <i x="6" s="1"/>
        <i x="9" s="1"/>
        <i x="3" s="1"/>
        <i x="10" s="1"/>
        <i x="2" s="1"/>
        <i x="1" s="1"/>
        <i x="11" s="1"/>
        <i x="4" s="1"/>
        <i x="12" s="1"/>
        <i x="13" s="1"/>
        <i x="7"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9F219442-BEAA-4618-91B0-AA5C7FC484AE}" sourceName="ProductCategory">
  <pivotTables>
    <pivotTable tabId="12" name="PivotTable1"/>
  </pivotTables>
  <data>
    <tabular pivotCacheId="2119148577">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1E6C64E-84F4-449E-BB71-A925F317A0D8}" cache="Slicer_Month" caption="Month" startItem="23" rowHeight="241300"/>
  <slicer name="Region" xr10:uid="{AB8210AB-B3BF-4A4B-9F93-B303C3891279}" cache="Slicer_Region" caption="Region" rowHeight="241300"/>
  <slicer name="Country" xr10:uid="{9B873B8C-A659-4AFC-8F4E-C3CAC6020707}" cache="Slicer_Country" caption="Country" startItem="5" rowHeight="241300"/>
  <slicer name="Channel" xr10:uid="{B46D69C4-03B5-4700-8A41-31F29B6480BC}" cache="Slicer_Channel" caption="Channel" rowHeight="241300"/>
  <slicer name="Salesperson" xr10:uid="{4B8750C4-23DA-471C-A4B7-15E7E56766D5}" cache="Slicer_Salesperson" caption="Salesperson" rowHeight="241300"/>
  <slicer name="ProductCategory" xr10:uid="{0E17284C-C281-4F26-8064-D1F0FDF9A023}" cache="Slicer_ProductCategory" caption="ProductCategory"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8211E2-4389-40CF-8DFE-7D2B8963EE9E}" name="Table1" displayName="Table1" ref="A1:AG633" totalsRowCount="1" headerRowDxfId="42" headerRowBorderDxfId="41" tableBorderDxfId="40">
  <autoFilter ref="A1:AG632" xr:uid="{E88211E2-4389-40CF-8DFE-7D2B8963EE9E}">
    <filterColumn colId="14">
      <filters>
        <filter val="Brazil"/>
        <filter val="Canada"/>
        <filter val="China"/>
        <filter val="India"/>
        <filter val="Nigeria"/>
        <filter val="United Kingdom"/>
      </filters>
    </filterColumn>
  </autoFilter>
  <tableColumns count="33">
    <tableColumn id="1" xr3:uid="{3966A0CE-0CD3-47B9-936B-1B4DE9BC4AC8}" name="OrderID" totalsRowLabel="Total"/>
    <tableColumn id="16" xr3:uid="{AEAAB023-1782-4623-9D54-4B49FCC3A389}" name="OrderCount"/>
    <tableColumn id="2" xr3:uid="{0E1216DF-BB22-4DA4-B4D1-57846AD3B4CB}" name="OrderDate" dataDxfId="39"/>
    <tableColumn id="26" xr3:uid="{2C1C7693-C9E7-4FEA-97A2-7950C545EFD0}" name="OrderMonthKey" dataDxfId="38">
      <calculatedColumnFormula>YEAR(Table1[[#This Row],[OrderDate]]) * 100 + MONTH(Table1[[#This Row],[OrderDate]])</calculatedColumnFormula>
    </tableColumn>
    <tableColumn id="27" xr3:uid="{9C88F929-6604-44C6-BC84-7DC77FFA6688}" name="CountryFirstMonthKey" dataDxfId="37">
      <calculatedColumnFormula>_xlfn.MINIFS(Table1[OrderMonthKey],Table1[Country],Table1[[#This Row],[Country]])</calculatedColumnFormula>
    </tableColumn>
    <tableColumn id="28" xr3:uid="{4E5AC697-13F6-4832-8473-68DB30B41811}" name="CohortMonthKey" dataDxfId="36">
      <calculatedColumnFormula>Table1[[#This Row],[CountryFirstMonthKey]]</calculatedColumnFormula>
    </tableColumn>
    <tableColumn id="30" xr3:uid="{028D0AF5-BF00-4367-A2FA-A362FA2BBB4A}" name="OffsetMonth" dataDxfId="35">
      <calculatedColumnFormula>12*(INT(Table1[[#This Row],[OrderMonthKey]]/100)-INT(Table1[[#This Row],[CohortMonthKey]]/100)) + (MOD(Table1[[#This Row],[OrderMonthKey]],100)-MOD(Table1[[#This Row],[CohortMonthKey]],100))</calculatedColumnFormula>
    </tableColumn>
    <tableColumn id="18" xr3:uid="{187FD072-400F-4660-AFA9-AE28045240C1}" name="Month" dataDxfId="34">
      <calculatedColumnFormula>TEXT(Table1[[#This Row],[OrderDate]],"MMM-YYYY")</calculatedColumnFormula>
    </tableColumn>
    <tableColumn id="19" xr3:uid="{835BDFF2-531E-458D-BFEB-9A91B35FE7B3}" name="Quarter" dataDxfId="33">
      <calculatedColumnFormula>"Q" &amp; ROUNDUP(MONTH(C1)/3,0) &amp; "-" &amp; YEAR(C1)</calculatedColumnFormula>
    </tableColumn>
    <tableColumn id="29" xr3:uid="{D37739DD-C300-43A1-A473-EC211C044322}" name="Meets7DayTarget" dataDxfId="32">
      <calculatedColumnFormula>IF(Table1[[#This Row],[LeadTimeDays]]&lt;=7,"Yes","No")</calculatedColumnFormula>
    </tableColumn>
    <tableColumn id="20" xr3:uid="{202E7E9C-57B0-44AE-A07E-14C31ABA0387}" name="LeadTimeDays" dataDxfId="31">
      <calculatedColumnFormula>_xlfn.DAYS(Table1[[#This Row],[CorrectedRequiredDate]],Table1[[#This Row],[OrderDate]])</calculatedColumnFormula>
    </tableColumn>
    <tableColumn id="17" xr3:uid="{363433C3-D1AC-4640-B598-37D081DA8146}" name="CorrectedRequiredDate" dataDxfId="30">
      <calculatedColumnFormula>IF(Table1[[#This Row],[RequiredDate]]&lt;Table1[[#This Row],[OrderDate]],Table1[[#This Row],[OrderDate]],Table1[[#This Row],[RequiredDate]])</calculatedColumnFormula>
    </tableColumn>
    <tableColumn id="3" xr3:uid="{69A374D4-ECAC-47CF-9A37-59352669C7AC}" name="RequiredDate" dataDxfId="29"/>
    <tableColumn id="4" xr3:uid="{C28CAA11-5511-4735-859F-40F8009F4C71}" name="Region"/>
    <tableColumn id="5" xr3:uid="{639B1716-A255-442D-9156-0F98CCB8D392}" name="Country"/>
    <tableColumn id="6" xr3:uid="{832D88B6-E294-4C17-8D99-6515DD46FE0A}" name="City"/>
    <tableColumn id="7" xr3:uid="{816F6780-356E-4CAF-A0B2-EDEA43A7E86D}" name="CustomerSegment"/>
    <tableColumn id="8" xr3:uid="{4894DBBA-155D-4068-91DF-86061C196D4C}" name="Channel"/>
    <tableColumn id="9" xr3:uid="{C753504C-B707-49F3-BB30-07F1A046EA8A}" name="Salesperson"/>
    <tableColumn id="10" xr3:uid="{A08561FD-3CA2-4A6D-85E9-FCCBF19981E4}" name="ProductCategory"/>
    <tableColumn id="11" xr3:uid="{EEC37562-9652-4C24-BBF1-E56B004C84FC}" name="SKU"/>
    <tableColumn id="12" xr3:uid="{B9CF3AC6-C968-4B28-BEC3-7457D1E2CB19}" name="UnitCost" totalsRowFunction="average" dataDxfId="28"/>
    <tableColumn id="13" xr3:uid="{2DDB348A-968B-4D9D-B0D4-08CEF6D89993}" name="UnitPrice" dataDxfId="27"/>
    <tableColumn id="21" xr3:uid="{0C7CB6D6-9DC8-499C-8336-D17B781EB75B}" name="33rdPercentile" dataDxfId="26">
      <calculatedColumnFormula>_xlfn.PERCENTILE.INC(W:W, 0.33)</calculatedColumnFormula>
    </tableColumn>
    <tableColumn id="22" xr3:uid="{68D60675-AF44-4480-B128-8D3C23B5952D}" name="66thPercentile" dataDxfId="25">
      <calculatedColumnFormula>_xlfn.PERCENTILE.INC(W:W, 0.66)</calculatedColumnFormula>
    </tableColumn>
    <tableColumn id="23" xr3:uid="{D3404DA5-8518-4890-A784-905CE91D803B}" name="PriceBand" dataDxfId="24"/>
    <tableColumn id="14" xr3:uid="{CEC96059-3688-4590-A773-2C159BF3435C}" name="DiscountPct"/>
    <tableColumn id="35" xr3:uid="{ECCFCB66-B390-40DE-810A-15325EBB0A2B}" name="Discount&gt;20" dataDxfId="23">
      <calculatedColumnFormula>IF(Table1[[#This Row],[DiscountPct]]&gt;0.2,1,0)</calculatedColumnFormula>
    </tableColumn>
    <tableColumn id="15" xr3:uid="{9D2592BE-FD7A-4DBB-A6C7-2453794CF645}" name="Quantity" dataDxfId="22"/>
    <tableColumn id="31" xr3:uid="{FD6A1CCF-55EC-4C51-B248-F98BC8E642F7}" name="GrossRevenue" totalsRowFunction="sum" dataDxfId="21" totalsRowDxfId="20">
      <calculatedColumnFormula>Table1[[#This Row],[UnitPrice]]*Table1[[#This Row],[Quantity]]</calculatedColumnFormula>
    </tableColumn>
    <tableColumn id="32" xr3:uid="{1DAF1C42-C612-4878-926B-9F8A23B40461}" name="CostOfGoods" dataDxfId="19">
      <calculatedColumnFormula>Table1[[#This Row],[UnitCost]]*Table1[[#This Row],[Quantity]]</calculatedColumnFormula>
    </tableColumn>
    <tableColumn id="33" xr3:uid="{B5646181-8957-4946-A2D6-367DC111FEB4}" name="GrossProfit" totalsRowFunction="sum" dataDxfId="18" totalsRowDxfId="17">
      <calculatedColumnFormula>Table1[[#This Row],[GrossRevenue]]-Table1[[#This Row],[CostOfGoods]]</calculatedColumnFormula>
    </tableColumn>
    <tableColumn id="34" xr3:uid="{63CBE0D4-7C63-4BBB-84B4-88840F70A54A}" name="MarginPct" totalsRowFunction="average" dataDxfId="16" totalsRowDxfId="15">
      <calculatedColumnFormula>IF(Table1[[#This Row],[GrossRevenue]]=0,0,Table1[[#This Row],[GrossProfit]]/Table1[[#This Row],[GrossRevenue]])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672619-07C1-4CFD-8862-D5400C835DC5}" name="Table2" displayName="Table2" ref="A1:G316" totalsRowShown="0">
  <autoFilter ref="A1:G316" xr:uid="{2C672619-07C1-4CFD-8862-D5400C835DC5}"/>
  <sortState xmlns:xlrd2="http://schemas.microsoft.com/office/spreadsheetml/2017/richdata2" ref="A2:G316">
    <sortCondition ref="B2:B316"/>
    <sortCondition descending="1" ref="C2:C316"/>
  </sortState>
  <tableColumns count="7">
    <tableColumn id="2" xr3:uid="{19BFAF2C-726A-491A-97F1-0725B8E5CA26}" name="SKU"/>
    <tableColumn id="1" xr3:uid="{EBEC8BF7-570F-4545-BBD2-46C615A4BB12}" name="ProductCategory"/>
    <tableColumn id="10" xr3:uid="{FEA74601-0BDC-4160-B5E8-81D3657156FD}" name="GrossRevenue" dataDxfId="14"/>
    <tableColumn id="11" xr3:uid="{703019BB-1EC1-4221-909A-6AB6794E94BC}" name="CategoryTotalRevenue" dataDxfId="13">
      <calculatedColumnFormula>SUMIF($B$2:$B$1000, B2, $C$2:$C$1000)</calculatedColumnFormula>
    </tableColumn>
    <tableColumn id="12" xr3:uid="{FCAD6489-29FF-4517-8F41-82286B5982CF}" name="CategoryRevenue%" dataDxfId="12">
      <calculatedColumnFormula>Table2[[#This Row],[GrossRevenue]]/Table2[[#This Row],[CategoryTotalRevenue]]</calculatedColumnFormula>
    </tableColumn>
    <tableColumn id="13" xr3:uid="{B0AE0BF3-A2DA-497A-BF85-FFB7C73571F4}" name="Cumulative%" dataDxfId="11">
      <calculatedColumnFormula>IF(B2=B1, F1+E2, E2)</calculatedColumnFormula>
    </tableColumn>
    <tableColumn id="14" xr3:uid="{24E12774-DC82-47C9-88F9-A4143F642843}" name="ABCClass" dataDxfId="10">
      <calculatedColumnFormula>IF(F2&lt;=0.8, "A", IF(F2&lt;=0.95, "B", "C"))</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4.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40B3-1403-4357-9303-BA70B038B03B}">
  <dimension ref="A3:B51"/>
  <sheetViews>
    <sheetView workbookViewId="0">
      <selection activeCell="J20" sqref="J20"/>
    </sheetView>
  </sheetViews>
  <sheetFormatPr defaultRowHeight="14.25" x14ac:dyDescent="0.45"/>
  <cols>
    <col min="1" max="1" width="12.9296875" bestFit="1" customWidth="1"/>
    <col min="2" max="2" width="19.265625" bestFit="1" customWidth="1"/>
  </cols>
  <sheetData>
    <row r="3" spans="1:2" x14ac:dyDescent="0.45">
      <c r="A3" s="11" t="s">
        <v>1433</v>
      </c>
      <c r="B3" t="s">
        <v>1443</v>
      </c>
    </row>
    <row r="4" spans="1:2" x14ac:dyDescent="0.45">
      <c r="A4" s="12" t="s">
        <v>1497</v>
      </c>
      <c r="B4" s="8"/>
    </row>
    <row r="5" spans="1:2" x14ac:dyDescent="0.45">
      <c r="A5" s="13" t="s">
        <v>1501</v>
      </c>
      <c r="B5" s="8"/>
    </row>
    <row r="6" spans="1:2" x14ac:dyDescent="0.45">
      <c r="A6" s="31" t="s">
        <v>1505</v>
      </c>
      <c r="B6" s="8">
        <v>178867.68999999997</v>
      </c>
    </row>
    <row r="7" spans="1:2" x14ac:dyDescent="0.45">
      <c r="A7" s="31" t="s">
        <v>1506</v>
      </c>
      <c r="B7" s="8">
        <v>491522.06999999995</v>
      </c>
    </row>
    <row r="8" spans="1:2" x14ac:dyDescent="0.45">
      <c r="A8" s="31" t="s">
        <v>1507</v>
      </c>
      <c r="B8" s="8">
        <v>251801.25</v>
      </c>
    </row>
    <row r="9" spans="1:2" x14ac:dyDescent="0.45">
      <c r="A9" s="13" t="s">
        <v>1502</v>
      </c>
      <c r="B9" s="8"/>
    </row>
    <row r="10" spans="1:2" x14ac:dyDescent="0.45">
      <c r="A10" s="31" t="s">
        <v>1508</v>
      </c>
      <c r="B10" s="8">
        <v>414568.8000000001</v>
      </c>
    </row>
    <row r="11" spans="1:2" x14ac:dyDescent="0.45">
      <c r="A11" s="31" t="s">
        <v>1509</v>
      </c>
      <c r="B11" s="8">
        <v>521043.70999999996</v>
      </c>
    </row>
    <row r="12" spans="1:2" x14ac:dyDescent="0.45">
      <c r="A12" s="31" t="s">
        <v>1510</v>
      </c>
      <c r="B12" s="8">
        <v>261189.78999999998</v>
      </c>
    </row>
    <row r="13" spans="1:2" x14ac:dyDescent="0.45">
      <c r="A13" s="13" t="s">
        <v>1503</v>
      </c>
      <c r="B13" s="8"/>
    </row>
    <row r="14" spans="1:2" x14ac:dyDescent="0.45">
      <c r="A14" s="31" t="s">
        <v>1511</v>
      </c>
      <c r="B14" s="8">
        <v>645894.28999999992</v>
      </c>
    </row>
    <row r="15" spans="1:2" x14ac:dyDescent="0.45">
      <c r="A15" s="31" t="s">
        <v>1512</v>
      </c>
      <c r="B15" s="8">
        <v>381933.10000000003</v>
      </c>
    </row>
    <row r="16" spans="1:2" x14ac:dyDescent="0.45">
      <c r="A16" s="31" t="s">
        <v>1513</v>
      </c>
      <c r="B16" s="8">
        <v>167595.30000000002</v>
      </c>
    </row>
    <row r="17" spans="1:2" x14ac:dyDescent="0.45">
      <c r="A17" s="13" t="s">
        <v>1504</v>
      </c>
      <c r="B17" s="8"/>
    </row>
    <row r="18" spans="1:2" x14ac:dyDescent="0.45">
      <c r="A18" s="31" t="s">
        <v>1514</v>
      </c>
      <c r="B18" s="8">
        <v>300202.85000000003</v>
      </c>
    </row>
    <row r="19" spans="1:2" x14ac:dyDescent="0.45">
      <c r="A19" s="31" t="s">
        <v>1515</v>
      </c>
      <c r="B19" s="8">
        <v>142626.42000000001</v>
      </c>
    </row>
    <row r="20" spans="1:2" x14ac:dyDescent="0.45">
      <c r="A20" s="31" t="s">
        <v>1516</v>
      </c>
      <c r="B20" s="8">
        <v>425108.32999999996</v>
      </c>
    </row>
    <row r="21" spans="1:2" x14ac:dyDescent="0.45">
      <c r="A21" s="12" t="s">
        <v>1498</v>
      </c>
      <c r="B21" s="8"/>
    </row>
    <row r="22" spans="1:2" x14ac:dyDescent="0.45">
      <c r="A22" s="13" t="s">
        <v>1501</v>
      </c>
      <c r="B22" s="8"/>
    </row>
    <row r="23" spans="1:2" x14ac:dyDescent="0.45">
      <c r="A23" s="31" t="s">
        <v>1505</v>
      </c>
      <c r="B23" s="8">
        <v>336495.83999999997</v>
      </c>
    </row>
    <row r="24" spans="1:2" x14ac:dyDescent="0.45">
      <c r="A24" s="31" t="s">
        <v>1506</v>
      </c>
      <c r="B24" s="8">
        <v>369931.30999999994</v>
      </c>
    </row>
    <row r="25" spans="1:2" x14ac:dyDescent="0.45">
      <c r="A25" s="31" t="s">
        <v>1507</v>
      </c>
      <c r="B25" s="8">
        <v>430980.24</v>
      </c>
    </row>
    <row r="26" spans="1:2" x14ac:dyDescent="0.45">
      <c r="A26" s="13" t="s">
        <v>1502</v>
      </c>
      <c r="B26" s="8"/>
    </row>
    <row r="27" spans="1:2" x14ac:dyDescent="0.45">
      <c r="A27" s="31" t="s">
        <v>1508</v>
      </c>
      <c r="B27" s="8">
        <v>275209.28999999998</v>
      </c>
    </row>
    <row r="28" spans="1:2" x14ac:dyDescent="0.45">
      <c r="A28" s="31" t="s">
        <v>1509</v>
      </c>
      <c r="B28" s="8">
        <v>457363.52000000014</v>
      </c>
    </row>
    <row r="29" spans="1:2" x14ac:dyDescent="0.45">
      <c r="A29" s="31" t="s">
        <v>1510</v>
      </c>
      <c r="B29" s="8">
        <v>693553.34</v>
      </c>
    </row>
    <row r="30" spans="1:2" x14ac:dyDescent="0.45">
      <c r="A30" s="13" t="s">
        <v>1503</v>
      </c>
      <c r="B30" s="8"/>
    </row>
    <row r="31" spans="1:2" x14ac:dyDescent="0.45">
      <c r="A31" s="31" t="s">
        <v>1511</v>
      </c>
      <c r="B31" s="8">
        <v>312041.40999999997</v>
      </c>
    </row>
    <row r="32" spans="1:2" x14ac:dyDescent="0.45">
      <c r="A32" s="31" t="s">
        <v>1512</v>
      </c>
      <c r="B32" s="8">
        <v>439264.70999999996</v>
      </c>
    </row>
    <row r="33" spans="1:2" x14ac:dyDescent="0.45">
      <c r="A33" s="31" t="s">
        <v>1513</v>
      </c>
      <c r="B33" s="8">
        <v>397487.67999999993</v>
      </c>
    </row>
    <row r="34" spans="1:2" x14ac:dyDescent="0.45">
      <c r="A34" s="13" t="s">
        <v>1504</v>
      </c>
      <c r="B34" s="8"/>
    </row>
    <row r="35" spans="1:2" x14ac:dyDescent="0.45">
      <c r="A35" s="31" t="s">
        <v>1514</v>
      </c>
      <c r="B35" s="8">
        <v>485185.54</v>
      </c>
    </row>
    <row r="36" spans="1:2" x14ac:dyDescent="0.45">
      <c r="A36" s="31" t="s">
        <v>1515</v>
      </c>
      <c r="B36" s="8">
        <v>497560.75999999989</v>
      </c>
    </row>
    <row r="37" spans="1:2" x14ac:dyDescent="0.45">
      <c r="A37" s="31" t="s">
        <v>1516</v>
      </c>
      <c r="B37" s="8">
        <v>404462.32999999996</v>
      </c>
    </row>
    <row r="38" spans="1:2" x14ac:dyDescent="0.45">
      <c r="A38" s="12" t="s">
        <v>1499</v>
      </c>
      <c r="B38" s="8"/>
    </row>
    <row r="39" spans="1:2" x14ac:dyDescent="0.45">
      <c r="A39" s="13" t="s">
        <v>1501</v>
      </c>
      <c r="B39" s="8"/>
    </row>
    <row r="40" spans="1:2" x14ac:dyDescent="0.45">
      <c r="A40" s="31" t="s">
        <v>1505</v>
      </c>
      <c r="B40" s="8">
        <v>243374.46</v>
      </c>
    </row>
    <row r="41" spans="1:2" x14ac:dyDescent="0.45">
      <c r="A41" s="31" t="s">
        <v>1506</v>
      </c>
      <c r="B41" s="8">
        <v>239368.77</v>
      </c>
    </row>
    <row r="42" spans="1:2" x14ac:dyDescent="0.45">
      <c r="A42" s="31" t="s">
        <v>1507</v>
      </c>
      <c r="B42" s="8">
        <v>234865.52000000005</v>
      </c>
    </row>
    <row r="43" spans="1:2" x14ac:dyDescent="0.45">
      <c r="A43" s="13" t="s">
        <v>1502</v>
      </c>
      <c r="B43" s="8"/>
    </row>
    <row r="44" spans="1:2" x14ac:dyDescent="0.45">
      <c r="A44" s="31" t="s">
        <v>1508</v>
      </c>
      <c r="B44" s="8">
        <v>404210.34999999986</v>
      </c>
    </row>
    <row r="45" spans="1:2" x14ac:dyDescent="0.45">
      <c r="A45" s="31" t="s">
        <v>1509</v>
      </c>
      <c r="B45" s="8">
        <v>424717.36</v>
      </c>
    </row>
    <row r="46" spans="1:2" x14ac:dyDescent="0.45">
      <c r="A46" s="31" t="s">
        <v>1510</v>
      </c>
      <c r="B46" s="8">
        <v>441514.51</v>
      </c>
    </row>
    <row r="47" spans="1:2" x14ac:dyDescent="0.45">
      <c r="A47" s="13" t="s">
        <v>1503</v>
      </c>
      <c r="B47" s="8"/>
    </row>
    <row r="48" spans="1:2" x14ac:dyDescent="0.45">
      <c r="A48" s="31" t="s">
        <v>1511</v>
      </c>
      <c r="B48" s="8">
        <v>558889.15</v>
      </c>
    </row>
    <row r="49" spans="1:2" x14ac:dyDescent="0.45">
      <c r="A49" s="31" t="s">
        <v>1512</v>
      </c>
      <c r="B49" s="8">
        <v>423235.12999999995</v>
      </c>
    </row>
    <row r="50" spans="1:2" x14ac:dyDescent="0.45">
      <c r="A50" s="31" t="s">
        <v>1513</v>
      </c>
      <c r="B50" s="8">
        <v>204519.99000000002</v>
      </c>
    </row>
    <row r="51" spans="1:2" x14ac:dyDescent="0.45">
      <c r="A51" s="12" t="s">
        <v>1434</v>
      </c>
      <c r="B51" s="8">
        <v>12456584.810000001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34"/>
  <sheetViews>
    <sheetView workbookViewId="0">
      <pane ySplit="2" topLeftCell="A3" activePane="bottomLeft" state="frozen"/>
      <selection activeCell="W1" sqref="W1"/>
      <selection pane="bottomLeft" activeCell="W622" sqref="W622"/>
    </sheetView>
  </sheetViews>
  <sheetFormatPr defaultRowHeight="14.25" x14ac:dyDescent="0.45"/>
  <cols>
    <col min="1" max="1" width="15.53125" bestFit="1" customWidth="1"/>
    <col min="2" max="2" width="15.53125" customWidth="1"/>
    <col min="3" max="3" width="11.46484375" style="3" customWidth="1"/>
    <col min="4" max="7" width="23.06640625" style="6" customWidth="1"/>
    <col min="8" max="9" width="17.796875" style="3" customWidth="1"/>
    <col min="10" max="10" width="17.796875" style="26" customWidth="1"/>
    <col min="11" max="11" width="17.796875" style="6" customWidth="1"/>
    <col min="12" max="12" width="21.06640625" style="3" customWidth="1"/>
    <col min="13" max="13" width="14.265625" style="3" customWidth="1"/>
    <col min="14" max="14" width="8.53125" customWidth="1"/>
    <col min="15" max="15" width="14.33203125" bestFit="1" customWidth="1"/>
    <col min="16" max="16" width="12.59765625" bestFit="1" customWidth="1"/>
    <col min="17" max="17" width="18.06640625" customWidth="1"/>
    <col min="18" max="18" width="11.06640625" bestFit="1" customWidth="1"/>
    <col min="19" max="19" width="12.796875" customWidth="1"/>
    <col min="20" max="20" width="16.53125" customWidth="1"/>
    <col min="21" max="21" width="9.53125" bestFit="1" customWidth="1"/>
    <col min="22" max="22" width="12.46484375" style="8" bestFit="1" customWidth="1"/>
    <col min="23" max="23" width="13" style="8" bestFit="1" customWidth="1"/>
    <col min="24" max="26" width="13" style="8" customWidth="1"/>
    <col min="27" max="28" width="12.53125" customWidth="1"/>
    <col min="29" max="29" width="10" style="6" customWidth="1"/>
    <col min="30" max="30" width="17.265625" bestFit="1" customWidth="1"/>
    <col min="31" max="31" width="12.59765625" customWidth="1"/>
    <col min="32" max="32" width="15.33203125" customWidth="1"/>
    <col min="33" max="33" width="9.06640625" style="9"/>
  </cols>
  <sheetData>
    <row r="1" spans="1:33" x14ac:dyDescent="0.45">
      <c r="A1" s="2" t="s">
        <v>0</v>
      </c>
      <c r="B1" s="2" t="s">
        <v>1489</v>
      </c>
      <c r="C1" s="4" t="s">
        <v>1</v>
      </c>
      <c r="D1" s="6" t="s">
        <v>1430</v>
      </c>
      <c r="E1" s="6" t="s">
        <v>1431</v>
      </c>
      <c r="F1" s="6" t="s">
        <v>1432</v>
      </c>
      <c r="G1" s="6" t="s">
        <v>1435</v>
      </c>
      <c r="H1" s="4" t="s">
        <v>1423</v>
      </c>
      <c r="I1" s="4" t="s">
        <v>1424</v>
      </c>
      <c r="J1" s="26" t="s">
        <v>1484</v>
      </c>
      <c r="K1" s="5" t="s">
        <v>1425</v>
      </c>
      <c r="L1" s="4" t="s">
        <v>1422</v>
      </c>
      <c r="M1" s="4" t="s">
        <v>2</v>
      </c>
      <c r="N1" s="2" t="s">
        <v>3</v>
      </c>
      <c r="O1" s="2" t="s">
        <v>4</v>
      </c>
      <c r="P1" s="2" t="s">
        <v>5</v>
      </c>
      <c r="Q1" s="2" t="s">
        <v>6</v>
      </c>
      <c r="R1" s="2" t="s">
        <v>7</v>
      </c>
      <c r="S1" s="2" t="s">
        <v>8</v>
      </c>
      <c r="T1" s="2" t="s">
        <v>9</v>
      </c>
      <c r="U1" s="2" t="s">
        <v>10</v>
      </c>
      <c r="V1" s="7" t="s">
        <v>11</v>
      </c>
      <c r="W1" s="7" t="s">
        <v>12</v>
      </c>
      <c r="X1" s="7" t="s">
        <v>1429</v>
      </c>
      <c r="Y1" s="7" t="s">
        <v>1428</v>
      </c>
      <c r="Z1" s="7" t="s">
        <v>1426</v>
      </c>
      <c r="AA1" s="2" t="s">
        <v>13</v>
      </c>
      <c r="AB1" s="2" t="s">
        <v>1487</v>
      </c>
      <c r="AC1" s="5" t="s">
        <v>14</v>
      </c>
      <c r="AD1" s="2" t="s">
        <v>1436</v>
      </c>
      <c r="AE1" s="2" t="s">
        <v>1437</v>
      </c>
      <c r="AF1" s="2" t="s">
        <v>1438</v>
      </c>
      <c r="AG1" s="10" t="s">
        <v>1439</v>
      </c>
    </row>
    <row r="2" spans="1:33" hidden="1" x14ac:dyDescent="0.45">
      <c r="A2" t="s">
        <v>15</v>
      </c>
      <c r="C2" s="3">
        <v>45362</v>
      </c>
      <c r="D2" s="3">
        <f>YEAR(Table1[[#This Row],[OrderDate]]) * 100 + MONTH(Table1[[#This Row],[OrderDate]])</f>
        <v>202403</v>
      </c>
      <c r="E2" s="3">
        <f>_xlfn.MINIFS(Table1[OrderMonthKey],Table1[Country],Table1[[#This Row],[Country]])</f>
        <v>202301</v>
      </c>
      <c r="F2" s="3">
        <f>Table1[[#This Row],[CountryFirstMonthKey]]</f>
        <v>202301</v>
      </c>
      <c r="G2" s="3">
        <f>12*(INT(Table1[[#This Row],[OrderMonthKey]]/100)-INT(Table1[[#This Row],[CohortMonthKey]]/100)) + (MOD(Table1[[#This Row],[OrderMonthKey]],100)-MOD(Table1[[#This Row],[CohortMonthKey]],100))</f>
        <v>14</v>
      </c>
      <c r="H2" s="3" t="str">
        <f>TEXT(Table1[[#This Row],[OrderDate]],"MMM-YYYY")</f>
        <v>Mar-2024</v>
      </c>
      <c r="I2" s="3" t="e">
        <f t="shared" ref="I2:I65" si="0">"Q" &amp; ROUNDUP(MONTH(C1)/3,0) &amp; "-" &amp; YEAR(C1)</f>
        <v>#VALUE!</v>
      </c>
      <c r="J2" s="3" t="str">
        <f>IF(Table1[[#This Row],[LeadTimeDays]]&lt;=7,"Yes","No")</f>
        <v>No</v>
      </c>
      <c r="K2" s="3">
        <f>_xlfn.DAYS(Table1[[#This Row],[CorrectedRequiredDate]],Table1[[#This Row],[OrderDate]])</f>
        <v>26</v>
      </c>
      <c r="L2" s="3">
        <f>IF(Table1[[#This Row],[RequiredDate]]&lt;Table1[[#This Row],[OrderDate]],Table1[[#This Row],[OrderDate]],Table1[[#This Row],[RequiredDate]])</f>
        <v>45388</v>
      </c>
      <c r="M2" s="3">
        <v>45388</v>
      </c>
      <c r="N2" t="s">
        <v>646</v>
      </c>
      <c r="O2" t="s">
        <v>650</v>
      </c>
      <c r="P2" t="s">
        <v>662</v>
      </c>
      <c r="Q2" t="s">
        <v>701</v>
      </c>
      <c r="R2" t="s">
        <v>707</v>
      </c>
      <c r="S2" t="s">
        <v>712</v>
      </c>
      <c r="T2" t="s">
        <v>727</v>
      </c>
      <c r="U2" t="s">
        <v>734</v>
      </c>
      <c r="V2" s="8">
        <v>279.24</v>
      </c>
      <c r="W2" s="8">
        <v>608.9</v>
      </c>
      <c r="X2" s="8">
        <f t="shared" ref="X2:X65" si="1">_xlfn.PERCENTILE.INC(W:W, 0.33)</f>
        <v>815.10700000000008</v>
      </c>
      <c r="Y2" s="8">
        <f t="shared" ref="Y2:Y65" si="2">_xlfn.PERCENTILE.INC(W:W, 0.66)</f>
        <v>1620.05</v>
      </c>
      <c r="AA2">
        <v>0.112</v>
      </c>
      <c r="AB2">
        <f>IF(Table1[[#This Row],[DiscountPct]]&gt;0.2,1,0)</f>
        <v>0</v>
      </c>
      <c r="AC2" s="6">
        <v>9</v>
      </c>
      <c r="AD2" s="8">
        <f>Table1[[#This Row],[UnitPrice]]*Table1[[#This Row],[Quantity]]</f>
        <v>5480.0999999999995</v>
      </c>
      <c r="AE2" s="8">
        <f>Table1[[#This Row],[UnitCost]]*Table1[[#This Row],[Quantity]]</f>
        <v>2513.16</v>
      </c>
      <c r="AF2" s="8">
        <f>Table1[[#This Row],[GrossRevenue]]-Table1[[#This Row],[CostOfGoods]]</f>
        <v>2966.9399999999996</v>
      </c>
      <c r="AG2" s="8">
        <f>IF(Table1[[#This Row],[GrossRevenue]]=0,0,Table1[[#This Row],[GrossProfit]]/Table1[[#This Row],[GrossRevenue]])</f>
        <v>0.5414025291509279</v>
      </c>
    </row>
    <row r="3" spans="1:33" x14ac:dyDescent="0.45">
      <c r="A3" t="s">
        <v>16</v>
      </c>
      <c r="B3">
        <v>1</v>
      </c>
      <c r="C3" s="3">
        <v>45588</v>
      </c>
      <c r="D3" s="6">
        <f>YEAR(Table1[[#This Row],[OrderDate]]) * 100 + MONTH(Table1[[#This Row],[OrderDate]])</f>
        <v>202410</v>
      </c>
      <c r="E3" s="6">
        <f>_xlfn.MINIFS(Table1[OrderMonthKey],Table1[Country],Table1[[#This Row],[Country]])</f>
        <v>202301</v>
      </c>
      <c r="F3" s="6">
        <f>Table1[[#This Row],[CountryFirstMonthKey]]</f>
        <v>202301</v>
      </c>
      <c r="G3" s="6">
        <f>12*(INT(Table1[[#This Row],[OrderMonthKey]]/100)-INT(Table1[[#This Row],[CohortMonthKey]]/100)) + (MOD(Table1[[#This Row],[OrderMonthKey]],100)-MOD(Table1[[#This Row],[CohortMonthKey]],100))</f>
        <v>21</v>
      </c>
      <c r="H3" s="3" t="str">
        <f>TEXT(Table1[[#This Row],[OrderDate]],"MMM-YYYY")</f>
        <v>Oct-2024</v>
      </c>
      <c r="I3" s="3" t="str">
        <f t="shared" si="0"/>
        <v>Q1-2024</v>
      </c>
      <c r="J3" s="26" t="str">
        <f>IF(Table1[[#This Row],[LeadTimeDays]]&lt;=7,"Yes","No")</f>
        <v>Yes</v>
      </c>
      <c r="K3" s="6">
        <f>_xlfn.DAYS(Table1[[#This Row],[CorrectedRequiredDate]],Table1[[#This Row],[OrderDate]])</f>
        <v>0</v>
      </c>
      <c r="L3" s="3">
        <f>IF(Table1[[#This Row],[RequiredDate]]&lt;Table1[[#This Row],[OrderDate]],Table1[[#This Row],[OrderDate]],Table1[[#This Row],[RequiredDate]])</f>
        <v>45588</v>
      </c>
      <c r="M3" s="3">
        <v>45587</v>
      </c>
      <c r="N3" t="s">
        <v>646</v>
      </c>
      <c r="O3" t="s">
        <v>651</v>
      </c>
      <c r="P3" t="s">
        <v>663</v>
      </c>
      <c r="Q3" t="s">
        <v>702</v>
      </c>
      <c r="R3" t="s">
        <v>708</v>
      </c>
      <c r="S3" t="s">
        <v>713</v>
      </c>
      <c r="T3" t="s">
        <v>728</v>
      </c>
      <c r="U3" t="s">
        <v>735</v>
      </c>
      <c r="V3" s="8">
        <v>1084.3900000000001</v>
      </c>
      <c r="W3" s="8">
        <v>759.33</v>
      </c>
      <c r="X3" s="8">
        <f t="shared" si="1"/>
        <v>815.10700000000008</v>
      </c>
      <c r="Y3" s="8">
        <f t="shared" si="2"/>
        <v>1620.05</v>
      </c>
      <c r="Z3" s="8" t="str">
        <f>IF(W2 &lt;= X1, "Low",IF(W2 &lt;= Y2, "Medium", "High"))</f>
        <v>Low</v>
      </c>
      <c r="AA3">
        <v>0.23699999999999999</v>
      </c>
      <c r="AB3">
        <f>IF(Table1[[#This Row],[DiscountPct]]&gt;0.2,1,0)</f>
        <v>1</v>
      </c>
      <c r="AC3" s="6">
        <v>31</v>
      </c>
      <c r="AD3" s="8">
        <f>Table1[[#This Row],[UnitPrice]]*Table1[[#This Row],[Quantity]]</f>
        <v>23539.23</v>
      </c>
      <c r="AE3" s="8">
        <f>Table1[[#This Row],[UnitCost]]*Table1[[#This Row],[Quantity]]</f>
        <v>33616.090000000004</v>
      </c>
      <c r="AF3" s="8">
        <f>Table1[[#This Row],[GrossRevenue]]-Table1[[#This Row],[CostOfGoods]]</f>
        <v>-10076.860000000004</v>
      </c>
      <c r="AG3" s="9">
        <f>IF(Table1[[#This Row],[GrossRevenue]]=0,0,Table1[[#This Row],[GrossProfit]]/Table1[[#This Row],[GrossRevenue]])</f>
        <v>-0.42808791961334353</v>
      </c>
    </row>
    <row r="4" spans="1:33" hidden="1" x14ac:dyDescent="0.45">
      <c r="A4" t="s">
        <v>17</v>
      </c>
      <c r="C4" s="3">
        <v>44985</v>
      </c>
      <c r="D4" s="3">
        <f>YEAR(Table1[[#This Row],[OrderDate]]) * 100 + MONTH(Table1[[#This Row],[OrderDate]])</f>
        <v>202302</v>
      </c>
      <c r="E4" s="3">
        <f>_xlfn.MINIFS(Table1[OrderMonthKey],Table1[Country],Table1[[#This Row],[Country]])</f>
        <v>202301</v>
      </c>
      <c r="F4" s="3">
        <f>Table1[[#This Row],[CountryFirstMonthKey]]</f>
        <v>202301</v>
      </c>
      <c r="G4" s="3">
        <f>12*(INT(Table1[[#This Row],[OrderMonthKey]]/100)-INT(Table1[[#This Row],[CohortMonthKey]]/100)) + (MOD(Table1[[#This Row],[OrderMonthKey]],100)-MOD(Table1[[#This Row],[CohortMonthKey]],100))</f>
        <v>1</v>
      </c>
      <c r="H4" s="3" t="str">
        <f>TEXT(Table1[[#This Row],[OrderDate]],"MMM-YYYY")</f>
        <v>Feb-2023</v>
      </c>
      <c r="I4" s="3" t="str">
        <f t="shared" si="0"/>
        <v>Q4-2024</v>
      </c>
      <c r="J4" s="3" t="str">
        <f>IF(Table1[[#This Row],[LeadTimeDays]]&lt;=7,"Yes","No")</f>
        <v>No</v>
      </c>
      <c r="K4" s="3">
        <f>_xlfn.DAYS(Table1[[#This Row],[CorrectedRequiredDate]],Table1[[#This Row],[OrderDate]])</f>
        <v>25</v>
      </c>
      <c r="L4" s="3">
        <f>IF(Table1[[#This Row],[RequiredDate]]&lt;Table1[[#This Row],[OrderDate]],Table1[[#This Row],[OrderDate]],Table1[[#This Row],[RequiredDate]])</f>
        <v>45010</v>
      </c>
      <c r="M4" s="3">
        <v>45010</v>
      </c>
      <c r="N4" t="s">
        <v>646</v>
      </c>
      <c r="O4" t="s">
        <v>650</v>
      </c>
      <c r="P4" t="s">
        <v>664</v>
      </c>
      <c r="Q4" t="s">
        <v>701</v>
      </c>
      <c r="R4" t="s">
        <v>707</v>
      </c>
      <c r="S4" t="s">
        <v>714</v>
      </c>
      <c r="T4" t="s">
        <v>729</v>
      </c>
      <c r="U4" t="s">
        <v>736</v>
      </c>
      <c r="V4" s="8">
        <v>1460.76</v>
      </c>
      <c r="W4" s="8">
        <v>30.66</v>
      </c>
      <c r="X4" s="8">
        <f t="shared" si="1"/>
        <v>815.10700000000008</v>
      </c>
      <c r="Y4" s="8">
        <f t="shared" si="2"/>
        <v>1620.05</v>
      </c>
      <c r="Z4" s="8" t="s">
        <v>1427</v>
      </c>
      <c r="AA4">
        <v>0.13100000000000001</v>
      </c>
      <c r="AB4">
        <f>IF(Table1[[#This Row],[DiscountPct]]&gt;0.2,1,0)</f>
        <v>0</v>
      </c>
      <c r="AC4" s="6">
        <v>12</v>
      </c>
      <c r="AD4" s="8">
        <f>Table1[[#This Row],[UnitPrice]]*Table1[[#This Row],[Quantity]]</f>
        <v>367.92</v>
      </c>
      <c r="AE4" s="8">
        <f>Table1[[#This Row],[UnitCost]]*Table1[[#This Row],[Quantity]]</f>
        <v>17529.12</v>
      </c>
      <c r="AF4" s="8">
        <f>Table1[[#This Row],[GrossRevenue]]-Table1[[#This Row],[CostOfGoods]]</f>
        <v>-17161.2</v>
      </c>
      <c r="AG4" s="8">
        <f>IF(Table1[[#This Row],[GrossRevenue]]=0,0,Table1[[#This Row],[GrossProfit]]/Table1[[#This Row],[GrossRevenue]])</f>
        <v>-46.643835616438359</v>
      </c>
    </row>
    <row r="5" spans="1:33" x14ac:dyDescent="0.45">
      <c r="A5" t="s">
        <v>18</v>
      </c>
      <c r="B5">
        <v>1</v>
      </c>
      <c r="C5" s="3">
        <v>45745</v>
      </c>
      <c r="D5" s="6">
        <f>YEAR(Table1[[#This Row],[OrderDate]]) * 100 + MONTH(Table1[[#This Row],[OrderDate]])</f>
        <v>202503</v>
      </c>
      <c r="E5" s="6">
        <f>_xlfn.MINIFS(Table1[OrderMonthKey],Table1[Country],Table1[[#This Row],[Country]])</f>
        <v>202301</v>
      </c>
      <c r="F5" s="6">
        <f>Table1[[#This Row],[CountryFirstMonthKey]]</f>
        <v>202301</v>
      </c>
      <c r="G5" s="6">
        <f>12*(INT(Table1[[#This Row],[OrderMonthKey]]/100)-INT(Table1[[#This Row],[CohortMonthKey]]/100)) + (MOD(Table1[[#This Row],[OrderMonthKey]],100)-MOD(Table1[[#This Row],[CohortMonthKey]],100))</f>
        <v>26</v>
      </c>
      <c r="H5" s="3" t="str">
        <f>TEXT(Table1[[#This Row],[OrderDate]],"MMM-YYYY")</f>
        <v>Mar-2025</v>
      </c>
      <c r="I5" s="3" t="str">
        <f t="shared" si="0"/>
        <v>Q1-2023</v>
      </c>
      <c r="J5" s="26" t="str">
        <f>IF(Table1[[#This Row],[LeadTimeDays]]&lt;=7,"Yes","No")</f>
        <v>Yes</v>
      </c>
      <c r="K5" s="6">
        <f>_xlfn.DAYS(Table1[[#This Row],[CorrectedRequiredDate]],Table1[[#This Row],[OrderDate]])</f>
        <v>4</v>
      </c>
      <c r="L5" s="3">
        <f>IF(Table1[[#This Row],[RequiredDate]]&lt;Table1[[#This Row],[OrderDate]],Table1[[#This Row],[OrderDate]],Table1[[#This Row],[RequiredDate]])</f>
        <v>45749</v>
      </c>
      <c r="M5" s="3">
        <v>45749</v>
      </c>
      <c r="N5" t="s">
        <v>646</v>
      </c>
      <c r="O5" t="s">
        <v>651</v>
      </c>
      <c r="P5" t="s">
        <v>1421</v>
      </c>
      <c r="Q5" t="s">
        <v>703</v>
      </c>
      <c r="R5" t="s">
        <v>709</v>
      </c>
      <c r="S5" t="s">
        <v>715</v>
      </c>
      <c r="T5" t="s">
        <v>730</v>
      </c>
      <c r="U5" t="s">
        <v>737</v>
      </c>
      <c r="V5" s="8">
        <v>259.93</v>
      </c>
      <c r="W5" s="8">
        <v>255.94</v>
      </c>
      <c r="X5" s="8">
        <f t="shared" si="1"/>
        <v>815.10700000000008</v>
      </c>
      <c r="Y5" s="8">
        <f t="shared" si="2"/>
        <v>1620.05</v>
      </c>
      <c r="Z5" s="8" t="str">
        <f>IF(W4 &lt;= X3, "Low",IF(W4 &lt;= Y4, "Medium", "High"))</f>
        <v>Low</v>
      </c>
      <c r="AA5">
        <v>7.1999999999999995E-2</v>
      </c>
      <c r="AB5">
        <f>IF(Table1[[#This Row],[DiscountPct]]&gt;0.2,1,0)</f>
        <v>0</v>
      </c>
      <c r="AC5" s="6">
        <v>22</v>
      </c>
      <c r="AD5" s="8">
        <f>Table1[[#This Row],[UnitPrice]]*Table1[[#This Row],[Quantity]]</f>
        <v>5630.68</v>
      </c>
      <c r="AE5" s="8">
        <f>Table1[[#This Row],[UnitCost]]*Table1[[#This Row],[Quantity]]</f>
        <v>5718.46</v>
      </c>
      <c r="AF5" s="8">
        <f>Table1[[#This Row],[GrossRevenue]]-Table1[[#This Row],[CostOfGoods]]</f>
        <v>-87.779999999999745</v>
      </c>
      <c r="AG5" s="9">
        <f>IF(Table1[[#This Row],[GrossRevenue]]=0,0,Table1[[#This Row],[GrossProfit]]/Table1[[#This Row],[GrossRevenue]])</f>
        <v>-1.5589591310463344E-2</v>
      </c>
    </row>
    <row r="6" spans="1:33" hidden="1" x14ac:dyDescent="0.45">
      <c r="A6" t="s">
        <v>19</v>
      </c>
      <c r="C6" s="3">
        <v>45266</v>
      </c>
      <c r="D6" s="3">
        <f>YEAR(Table1[[#This Row],[OrderDate]]) * 100 + MONTH(Table1[[#This Row],[OrderDate]])</f>
        <v>202312</v>
      </c>
      <c r="E6" s="3">
        <f>_xlfn.MINIFS(Table1[OrderMonthKey],Table1[Country],Table1[[#This Row],[Country]])</f>
        <v>202303</v>
      </c>
      <c r="F6" s="3">
        <f>Table1[[#This Row],[CountryFirstMonthKey]]</f>
        <v>202303</v>
      </c>
      <c r="G6" s="3">
        <f>12*(INT(Table1[[#This Row],[OrderMonthKey]]/100)-INT(Table1[[#This Row],[CohortMonthKey]]/100)) + (MOD(Table1[[#This Row],[OrderMonthKey]],100)-MOD(Table1[[#This Row],[CohortMonthKey]],100))</f>
        <v>9</v>
      </c>
      <c r="H6" s="3" t="str">
        <f>TEXT(Table1[[#This Row],[OrderDate]],"MMM-YYYY")</f>
        <v>Dec-2023</v>
      </c>
      <c r="I6" s="3" t="str">
        <f t="shared" si="0"/>
        <v>Q1-2025</v>
      </c>
      <c r="J6" s="3" t="str">
        <f>IF(Table1[[#This Row],[LeadTimeDays]]&lt;=7,"Yes","No")</f>
        <v>No</v>
      </c>
      <c r="K6" s="3">
        <f>_xlfn.DAYS(Table1[[#This Row],[CorrectedRequiredDate]],Table1[[#This Row],[OrderDate]])</f>
        <v>25</v>
      </c>
      <c r="L6" s="3">
        <f>IF(Table1[[#This Row],[RequiredDate]]&lt;Table1[[#This Row],[OrderDate]],Table1[[#This Row],[OrderDate]],Table1[[#This Row],[RequiredDate]])</f>
        <v>45291</v>
      </c>
      <c r="M6" s="3">
        <v>45291</v>
      </c>
      <c r="N6" t="s">
        <v>647</v>
      </c>
      <c r="O6" t="s">
        <v>652</v>
      </c>
      <c r="P6" t="s">
        <v>666</v>
      </c>
      <c r="Q6" t="s">
        <v>704</v>
      </c>
      <c r="R6" t="s">
        <v>707</v>
      </c>
      <c r="S6" t="s">
        <v>716</v>
      </c>
      <c r="T6" t="s">
        <v>728</v>
      </c>
      <c r="U6" t="s">
        <v>738</v>
      </c>
      <c r="V6" s="8">
        <v>663.03</v>
      </c>
      <c r="W6" s="8">
        <v>813.51</v>
      </c>
      <c r="X6" s="8">
        <f t="shared" si="1"/>
        <v>815.10700000000008</v>
      </c>
      <c r="Y6" s="8">
        <f t="shared" si="2"/>
        <v>1620.05</v>
      </c>
      <c r="AA6">
        <v>0.10199999999999999</v>
      </c>
      <c r="AB6">
        <f>IF(Table1[[#This Row],[DiscountPct]]&gt;0.2,1,0)</f>
        <v>0</v>
      </c>
      <c r="AC6" s="6">
        <v>15</v>
      </c>
      <c r="AD6" s="8">
        <f>Table1[[#This Row],[UnitPrice]]*Table1[[#This Row],[Quantity]]</f>
        <v>12202.65</v>
      </c>
      <c r="AE6" s="8">
        <f>Table1[[#This Row],[UnitCost]]*Table1[[#This Row],[Quantity]]</f>
        <v>9945.4499999999989</v>
      </c>
      <c r="AF6" s="8">
        <f>Table1[[#This Row],[GrossRevenue]]-Table1[[#This Row],[CostOfGoods]]</f>
        <v>2257.2000000000007</v>
      </c>
      <c r="AG6" s="8">
        <f>IF(Table1[[#This Row],[GrossRevenue]]=0,0,Table1[[#This Row],[GrossProfit]]/Table1[[#This Row],[GrossRevenue]])</f>
        <v>0.1849762141829849</v>
      </c>
    </row>
    <row r="7" spans="1:33" x14ac:dyDescent="0.45">
      <c r="A7" t="s">
        <v>20</v>
      </c>
      <c r="B7">
        <v>1</v>
      </c>
      <c r="C7" s="3">
        <v>44928</v>
      </c>
      <c r="D7" s="6">
        <f>YEAR(Table1[[#This Row],[OrderDate]]) * 100 + MONTH(Table1[[#This Row],[OrderDate]])</f>
        <v>202301</v>
      </c>
      <c r="E7" s="6">
        <f>_xlfn.MINIFS(Table1[OrderMonthKey],Table1[Country],Table1[[#This Row],[Country]])</f>
        <v>202301</v>
      </c>
      <c r="F7" s="6">
        <f>Table1[[#This Row],[CountryFirstMonthKey]]</f>
        <v>202301</v>
      </c>
      <c r="G7" s="6">
        <f>12*(INT(Table1[[#This Row],[OrderMonthKey]]/100)-INT(Table1[[#This Row],[CohortMonthKey]]/100)) + (MOD(Table1[[#This Row],[OrderMonthKey]],100)-MOD(Table1[[#This Row],[CohortMonthKey]],100))</f>
        <v>0</v>
      </c>
      <c r="H7" s="3" t="str">
        <f>TEXT(Table1[[#This Row],[OrderDate]],"MMM-YYYY")</f>
        <v>Jan-2023</v>
      </c>
      <c r="I7" s="3" t="str">
        <f t="shared" si="0"/>
        <v>Q4-2023</v>
      </c>
      <c r="J7" s="26" t="str">
        <f>IF(Table1[[#This Row],[LeadTimeDays]]&lt;=7,"Yes","No")</f>
        <v>Yes</v>
      </c>
      <c r="K7" s="6">
        <f>_xlfn.DAYS(Table1[[#This Row],[CorrectedRequiredDate]],Table1[[#This Row],[OrderDate]])</f>
        <v>3</v>
      </c>
      <c r="L7" s="3">
        <f>IF(Table1[[#This Row],[RequiredDate]]&lt;Table1[[#This Row],[OrderDate]],Table1[[#This Row],[OrderDate]],Table1[[#This Row],[RequiredDate]])</f>
        <v>44931</v>
      </c>
      <c r="M7" s="3">
        <v>44931</v>
      </c>
      <c r="N7" t="s">
        <v>648</v>
      </c>
      <c r="O7" t="s">
        <v>653</v>
      </c>
      <c r="P7" t="s">
        <v>667</v>
      </c>
      <c r="Q7" t="s">
        <v>701</v>
      </c>
      <c r="R7" t="s">
        <v>710</v>
      </c>
      <c r="S7" t="s">
        <v>717</v>
      </c>
      <c r="T7" t="s">
        <v>731</v>
      </c>
      <c r="U7" t="s">
        <v>739</v>
      </c>
      <c r="V7" s="8">
        <v>315.87</v>
      </c>
      <c r="W7" s="8">
        <v>591.67999999999995</v>
      </c>
      <c r="X7" s="8">
        <f t="shared" si="1"/>
        <v>815.10700000000008</v>
      </c>
      <c r="Y7" s="8">
        <f t="shared" si="2"/>
        <v>1620.05</v>
      </c>
      <c r="Z7" s="8" t="str">
        <f>IF(W6 &lt;= X5, "Low",IF(W6 &lt;= Y6, "Medium", "High"))</f>
        <v>Low</v>
      </c>
      <c r="AA7">
        <v>0</v>
      </c>
      <c r="AB7">
        <f>IF(Table1[[#This Row],[DiscountPct]]&gt;0.2,1,0)</f>
        <v>0</v>
      </c>
      <c r="AC7" s="6">
        <v>7</v>
      </c>
      <c r="AD7" s="8">
        <f>Table1[[#This Row],[UnitPrice]]*Table1[[#This Row],[Quantity]]</f>
        <v>4141.7599999999993</v>
      </c>
      <c r="AE7" s="8">
        <f>Table1[[#This Row],[UnitCost]]*Table1[[#This Row],[Quantity]]</f>
        <v>2211.09</v>
      </c>
      <c r="AF7" s="8">
        <f>Table1[[#This Row],[GrossRevenue]]-Table1[[#This Row],[CostOfGoods]]</f>
        <v>1930.6699999999992</v>
      </c>
      <c r="AG7" s="9">
        <f>IF(Table1[[#This Row],[GrossRevenue]]=0,0,Table1[[#This Row],[GrossProfit]]/Table1[[#This Row],[GrossRevenue]])</f>
        <v>0.46614724175229844</v>
      </c>
    </row>
    <row r="8" spans="1:33" x14ac:dyDescent="0.45">
      <c r="A8" t="s">
        <v>21</v>
      </c>
      <c r="B8">
        <v>1</v>
      </c>
      <c r="C8" s="3">
        <v>45653</v>
      </c>
      <c r="D8" s="6">
        <f>YEAR(Table1[[#This Row],[OrderDate]]) * 100 + MONTH(Table1[[#This Row],[OrderDate]])</f>
        <v>202412</v>
      </c>
      <c r="E8" s="6">
        <f>_xlfn.MINIFS(Table1[OrderMonthKey],Table1[Country],Table1[[#This Row],[Country]])</f>
        <v>202302</v>
      </c>
      <c r="F8" s="6">
        <f>Table1[[#This Row],[CountryFirstMonthKey]]</f>
        <v>202302</v>
      </c>
      <c r="G8" s="6">
        <f>12*(INT(Table1[[#This Row],[OrderMonthKey]]/100)-INT(Table1[[#This Row],[CohortMonthKey]]/100)) + (MOD(Table1[[#This Row],[OrderMonthKey]],100)-MOD(Table1[[#This Row],[CohortMonthKey]],100))</f>
        <v>22</v>
      </c>
      <c r="H8" s="3" t="str">
        <f>TEXT(Table1[[#This Row],[OrderDate]],"MMM-YYYY")</f>
        <v>Dec-2024</v>
      </c>
      <c r="I8" s="3" t="str">
        <f t="shared" si="0"/>
        <v>Q1-2023</v>
      </c>
      <c r="J8" s="26" t="str">
        <f>IF(Table1[[#This Row],[LeadTimeDays]]&lt;=7,"Yes","No")</f>
        <v>No</v>
      </c>
      <c r="K8" s="6">
        <f>_xlfn.DAYS(Table1[[#This Row],[CorrectedRequiredDate]],Table1[[#This Row],[OrderDate]])</f>
        <v>18</v>
      </c>
      <c r="L8" s="3">
        <f>IF(Table1[[#This Row],[RequiredDate]]&lt;Table1[[#This Row],[OrderDate]],Table1[[#This Row],[OrderDate]],Table1[[#This Row],[RequiredDate]])</f>
        <v>45671</v>
      </c>
      <c r="M8" s="3">
        <v>45671</v>
      </c>
      <c r="N8" t="s">
        <v>647</v>
      </c>
      <c r="O8" t="s">
        <v>654</v>
      </c>
      <c r="P8" t="s">
        <v>668</v>
      </c>
      <c r="Q8" t="s">
        <v>705</v>
      </c>
      <c r="R8" t="s">
        <v>709</v>
      </c>
      <c r="S8" t="s">
        <v>718</v>
      </c>
      <c r="T8" t="s">
        <v>732</v>
      </c>
      <c r="U8" t="s">
        <v>740</v>
      </c>
      <c r="V8" s="8">
        <v>586.07000000000005</v>
      </c>
      <c r="W8" s="8">
        <v>845.97</v>
      </c>
      <c r="X8" s="8">
        <f t="shared" si="1"/>
        <v>815.10700000000008</v>
      </c>
      <c r="Y8" s="8">
        <f t="shared" si="2"/>
        <v>1620.05</v>
      </c>
      <c r="Z8" s="8" t="str">
        <f>IF(W7 &lt;= X6, "Low",IF(W7 &lt;= Y7, "Medium", "High"))</f>
        <v>Low</v>
      </c>
      <c r="AA8">
        <v>0.14699999999999999</v>
      </c>
      <c r="AB8">
        <f>IF(Table1[[#This Row],[DiscountPct]]&gt;0.2,1,0)</f>
        <v>0</v>
      </c>
      <c r="AC8" s="6">
        <v>4</v>
      </c>
      <c r="AD8" s="8">
        <f>Table1[[#This Row],[UnitPrice]]*Table1[[#This Row],[Quantity]]</f>
        <v>3383.88</v>
      </c>
      <c r="AE8" s="8">
        <f>Table1[[#This Row],[UnitCost]]*Table1[[#This Row],[Quantity]]</f>
        <v>2344.2800000000002</v>
      </c>
      <c r="AF8" s="8">
        <f>Table1[[#This Row],[GrossRevenue]]-Table1[[#This Row],[CostOfGoods]]</f>
        <v>1039.5999999999999</v>
      </c>
      <c r="AG8" s="9">
        <f>IF(Table1[[#This Row],[GrossRevenue]]=0,0,Table1[[#This Row],[GrossProfit]]/Table1[[#This Row],[GrossRevenue]])</f>
        <v>0.30722129626346084</v>
      </c>
    </row>
    <row r="9" spans="1:33" x14ac:dyDescent="0.45">
      <c r="A9" t="s">
        <v>22</v>
      </c>
      <c r="B9">
        <v>1</v>
      </c>
      <c r="C9" s="3">
        <v>44941</v>
      </c>
      <c r="D9" s="6">
        <f>YEAR(Table1[[#This Row],[OrderDate]]) * 100 + MONTH(Table1[[#This Row],[OrderDate]])</f>
        <v>202301</v>
      </c>
      <c r="E9" s="6">
        <f>_xlfn.MINIFS(Table1[OrderMonthKey],Table1[Country],Table1[[#This Row],[Country]])</f>
        <v>202301</v>
      </c>
      <c r="F9" s="6">
        <f>Table1[[#This Row],[CountryFirstMonthKey]]</f>
        <v>202301</v>
      </c>
      <c r="G9" s="6">
        <f>12*(INT(Table1[[#This Row],[OrderMonthKey]]/100)-INT(Table1[[#This Row],[CohortMonthKey]]/100)) + (MOD(Table1[[#This Row],[OrderMonthKey]],100)-MOD(Table1[[#This Row],[CohortMonthKey]],100))</f>
        <v>0</v>
      </c>
      <c r="H9" s="3" t="str">
        <f>TEXT(Table1[[#This Row],[OrderDate]],"MMM-YYYY")</f>
        <v>Jan-2023</v>
      </c>
      <c r="I9" s="3" t="str">
        <f t="shared" si="0"/>
        <v>Q4-2024</v>
      </c>
      <c r="J9" s="26" t="str">
        <f>IF(Table1[[#This Row],[LeadTimeDays]]&lt;=7,"Yes","No")</f>
        <v>Yes</v>
      </c>
      <c r="K9" s="6">
        <f>_xlfn.DAYS(Table1[[#This Row],[CorrectedRequiredDate]],Table1[[#This Row],[OrderDate]])</f>
        <v>0</v>
      </c>
      <c r="L9" s="3">
        <f>IF(Table1[[#This Row],[RequiredDate]]&lt;Table1[[#This Row],[OrderDate]],Table1[[#This Row],[OrderDate]],Table1[[#This Row],[RequiredDate]])</f>
        <v>44941</v>
      </c>
      <c r="M9" s="3">
        <v>44939</v>
      </c>
      <c r="N9" t="s">
        <v>646</v>
      </c>
      <c r="O9" t="s">
        <v>651</v>
      </c>
      <c r="P9" t="s">
        <v>669</v>
      </c>
      <c r="Q9" t="s">
        <v>702</v>
      </c>
      <c r="R9" t="s">
        <v>708</v>
      </c>
      <c r="S9" t="s">
        <v>719</v>
      </c>
      <c r="T9" t="s">
        <v>728</v>
      </c>
      <c r="U9" t="s">
        <v>741</v>
      </c>
      <c r="V9" s="8">
        <v>28.38</v>
      </c>
      <c r="W9" s="8">
        <v>47.22</v>
      </c>
      <c r="X9" s="8">
        <f t="shared" si="1"/>
        <v>815.10700000000008</v>
      </c>
      <c r="Y9" s="8">
        <f t="shared" si="2"/>
        <v>1620.05</v>
      </c>
      <c r="Z9" s="8" t="str">
        <f>IF(W8 &lt;= X7, "Low",IF(W8 &lt;= Y8, "Medium", "High"))</f>
        <v>Medium</v>
      </c>
      <c r="AA9">
        <v>0.19400000000000001</v>
      </c>
      <c r="AB9">
        <f>IF(Table1[[#This Row],[DiscountPct]]&gt;0.2,1,0)</f>
        <v>0</v>
      </c>
      <c r="AC9" s="6">
        <v>18</v>
      </c>
      <c r="AD9" s="8">
        <f>Table1[[#This Row],[UnitPrice]]*Table1[[#This Row],[Quantity]]</f>
        <v>849.96</v>
      </c>
      <c r="AE9" s="8">
        <f>Table1[[#This Row],[UnitCost]]*Table1[[#This Row],[Quantity]]</f>
        <v>510.84</v>
      </c>
      <c r="AF9" s="8">
        <f>Table1[[#This Row],[GrossRevenue]]-Table1[[#This Row],[CostOfGoods]]</f>
        <v>339.12000000000006</v>
      </c>
      <c r="AG9" s="9">
        <f>IF(Table1[[#This Row],[GrossRevenue]]=0,0,Table1[[#This Row],[GrossProfit]]/Table1[[#This Row],[GrossRevenue]])</f>
        <v>0.39898348157560359</v>
      </c>
    </row>
    <row r="10" spans="1:33" x14ac:dyDescent="0.45">
      <c r="A10" t="s">
        <v>23</v>
      </c>
      <c r="B10">
        <v>1</v>
      </c>
      <c r="C10" s="3">
        <v>45416</v>
      </c>
      <c r="D10" s="6">
        <f>YEAR(Table1[[#This Row],[OrderDate]]) * 100 + MONTH(Table1[[#This Row],[OrderDate]])</f>
        <v>202405</v>
      </c>
      <c r="E10" s="6">
        <f>_xlfn.MINIFS(Table1[OrderMonthKey],Table1[Country],Table1[[#This Row],[Country]])</f>
        <v>202301</v>
      </c>
      <c r="F10" s="6">
        <f>Table1[[#This Row],[CountryFirstMonthKey]]</f>
        <v>202301</v>
      </c>
      <c r="G10" s="6">
        <f>12*(INT(Table1[[#This Row],[OrderMonthKey]]/100)-INT(Table1[[#This Row],[CohortMonthKey]]/100)) + (MOD(Table1[[#This Row],[OrderMonthKey]],100)-MOD(Table1[[#This Row],[CohortMonthKey]],100))</f>
        <v>16</v>
      </c>
      <c r="H10" s="3" t="str">
        <f>TEXT(Table1[[#This Row],[OrderDate]],"MMM-YYYY")</f>
        <v>May-2024</v>
      </c>
      <c r="I10" s="3" t="str">
        <f t="shared" si="0"/>
        <v>Q1-2023</v>
      </c>
      <c r="J10" s="26" t="str">
        <f>IF(Table1[[#This Row],[LeadTimeDays]]&lt;=7,"Yes","No")</f>
        <v>No</v>
      </c>
      <c r="K10" s="6">
        <f>_xlfn.DAYS(Table1[[#This Row],[CorrectedRequiredDate]],Table1[[#This Row],[OrderDate]])</f>
        <v>25</v>
      </c>
      <c r="L10" s="3">
        <f>IF(Table1[[#This Row],[RequiredDate]]&lt;Table1[[#This Row],[OrderDate]],Table1[[#This Row],[OrderDate]],Table1[[#This Row],[RequiredDate]])</f>
        <v>45441</v>
      </c>
      <c r="M10" s="3">
        <v>45441</v>
      </c>
      <c r="N10" t="s">
        <v>646</v>
      </c>
      <c r="O10" t="s">
        <v>651</v>
      </c>
      <c r="P10" t="s">
        <v>669</v>
      </c>
      <c r="Q10" t="s">
        <v>703</v>
      </c>
      <c r="R10" t="s">
        <v>709</v>
      </c>
      <c r="S10" t="s">
        <v>719</v>
      </c>
      <c r="T10" t="s">
        <v>732</v>
      </c>
      <c r="U10" t="s">
        <v>742</v>
      </c>
      <c r="V10" s="8">
        <v>1295.3399999999999</v>
      </c>
      <c r="W10" s="8">
        <v>2530.81</v>
      </c>
      <c r="X10" s="8">
        <f t="shared" si="1"/>
        <v>815.10700000000008</v>
      </c>
      <c r="Y10" s="8">
        <f t="shared" si="2"/>
        <v>1620.05</v>
      </c>
      <c r="Z10" s="8" t="str">
        <f>IF(W9 &lt;= X8, "Low",IF(W9 &lt;= Y9, "Medium", "High"))</f>
        <v>Low</v>
      </c>
      <c r="AA10">
        <v>3.1E-2</v>
      </c>
      <c r="AB10">
        <f>IF(Table1[[#This Row],[DiscountPct]]&gt;0.2,1,0)</f>
        <v>0</v>
      </c>
      <c r="AC10" s="6">
        <v>6</v>
      </c>
      <c r="AD10" s="8">
        <f>Table1[[#This Row],[UnitPrice]]*Table1[[#This Row],[Quantity]]</f>
        <v>15184.86</v>
      </c>
      <c r="AE10" s="8">
        <f>Table1[[#This Row],[UnitCost]]*Table1[[#This Row],[Quantity]]</f>
        <v>7772.0399999999991</v>
      </c>
      <c r="AF10" s="8">
        <f>Table1[[#This Row],[GrossRevenue]]-Table1[[#This Row],[CostOfGoods]]</f>
        <v>7412.8200000000015</v>
      </c>
      <c r="AG10" s="9">
        <f>IF(Table1[[#This Row],[GrossRevenue]]=0,0,Table1[[#This Row],[GrossProfit]]/Table1[[#This Row],[GrossRevenue]])</f>
        <v>0.48817177109304932</v>
      </c>
    </row>
    <row r="11" spans="1:33" x14ac:dyDescent="0.45">
      <c r="A11" t="s">
        <v>24</v>
      </c>
      <c r="B11">
        <v>1</v>
      </c>
      <c r="C11" s="3">
        <v>45798</v>
      </c>
      <c r="D11" s="6">
        <f>YEAR(Table1[[#This Row],[OrderDate]]) * 100 + MONTH(Table1[[#This Row],[OrderDate]])</f>
        <v>202505</v>
      </c>
      <c r="E11" s="6">
        <f>_xlfn.MINIFS(Table1[OrderMonthKey],Table1[Country],Table1[[#This Row],[Country]])</f>
        <v>202301</v>
      </c>
      <c r="F11" s="6">
        <f>Table1[[#This Row],[CountryFirstMonthKey]]</f>
        <v>202301</v>
      </c>
      <c r="G11" s="6">
        <f>12*(INT(Table1[[#This Row],[OrderMonthKey]]/100)-INT(Table1[[#This Row],[CohortMonthKey]]/100)) + (MOD(Table1[[#This Row],[OrderMonthKey]],100)-MOD(Table1[[#This Row],[CohortMonthKey]],100))</f>
        <v>28</v>
      </c>
      <c r="H11" s="3" t="str">
        <f>TEXT(Table1[[#This Row],[OrderDate]],"MMM-YYYY")</f>
        <v>May-2025</v>
      </c>
      <c r="I11" s="3" t="str">
        <f t="shared" si="0"/>
        <v>Q2-2024</v>
      </c>
      <c r="J11" s="26" t="str">
        <f>IF(Table1[[#This Row],[LeadTimeDays]]&lt;=7,"Yes","No")</f>
        <v>No</v>
      </c>
      <c r="K11" s="6">
        <f>_xlfn.DAYS(Table1[[#This Row],[CorrectedRequiredDate]],Table1[[#This Row],[OrderDate]])</f>
        <v>19</v>
      </c>
      <c r="L11" s="3">
        <f>IF(Table1[[#This Row],[RequiredDate]]&lt;Table1[[#This Row],[OrderDate]],Table1[[#This Row],[OrderDate]],Table1[[#This Row],[RequiredDate]])</f>
        <v>45817</v>
      </c>
      <c r="M11" s="3">
        <v>45817</v>
      </c>
      <c r="N11" t="s">
        <v>648</v>
      </c>
      <c r="O11" t="s">
        <v>655</v>
      </c>
      <c r="P11" t="s">
        <v>670</v>
      </c>
      <c r="Q11" t="s">
        <v>703</v>
      </c>
      <c r="R11" t="s">
        <v>708</v>
      </c>
      <c r="S11" t="s">
        <v>720</v>
      </c>
      <c r="T11" t="s">
        <v>727</v>
      </c>
      <c r="U11" t="s">
        <v>743</v>
      </c>
      <c r="V11" s="8">
        <v>1331.38</v>
      </c>
      <c r="W11" s="8">
        <v>2309.56</v>
      </c>
      <c r="X11" s="8">
        <f t="shared" si="1"/>
        <v>815.10700000000008</v>
      </c>
      <c r="Y11" s="8">
        <f t="shared" si="2"/>
        <v>1620.05</v>
      </c>
      <c r="Z11" s="8" t="str">
        <f>IF(W10 &lt;= X9, "Low",IF(W10 &lt;= Y10, "Medium", "High"))</f>
        <v>High</v>
      </c>
      <c r="AA11">
        <v>0.14899999999999999</v>
      </c>
      <c r="AB11">
        <f>IF(Table1[[#This Row],[DiscountPct]]&gt;0.2,1,0)</f>
        <v>0</v>
      </c>
      <c r="AC11" s="6">
        <v>31</v>
      </c>
      <c r="AD11" s="8">
        <f>Table1[[#This Row],[UnitPrice]]*Table1[[#This Row],[Quantity]]</f>
        <v>71596.36</v>
      </c>
      <c r="AE11" s="8">
        <f>Table1[[#This Row],[UnitCost]]*Table1[[#This Row],[Quantity]]</f>
        <v>41272.780000000006</v>
      </c>
      <c r="AF11" s="8">
        <f>Table1[[#This Row],[GrossRevenue]]-Table1[[#This Row],[CostOfGoods]]</f>
        <v>30323.579999999994</v>
      </c>
      <c r="AG11" s="9">
        <f>IF(Table1[[#This Row],[GrossRevenue]]=0,0,Table1[[#This Row],[GrossProfit]]/Table1[[#This Row],[GrossRevenue]])</f>
        <v>0.42353521882956052</v>
      </c>
    </row>
    <row r="12" spans="1:33" hidden="1" x14ac:dyDescent="0.45">
      <c r="A12" t="s">
        <v>25</v>
      </c>
      <c r="C12" s="3">
        <v>45319</v>
      </c>
      <c r="D12" s="3">
        <f>YEAR(Table1[[#This Row],[OrderDate]]) * 100 + MONTH(Table1[[#This Row],[OrderDate]])</f>
        <v>202401</v>
      </c>
      <c r="E12" s="3">
        <f>_xlfn.MINIFS(Table1[OrderMonthKey],Table1[Country],Table1[[#This Row],[Country]])</f>
        <v>202301</v>
      </c>
      <c r="F12" s="3">
        <f>Table1[[#This Row],[CountryFirstMonthKey]]</f>
        <v>202301</v>
      </c>
      <c r="G12" s="3">
        <f>12*(INT(Table1[[#This Row],[OrderMonthKey]]/100)-INT(Table1[[#This Row],[CohortMonthKey]]/100)) + (MOD(Table1[[#This Row],[OrderMonthKey]],100)-MOD(Table1[[#This Row],[CohortMonthKey]],100))</f>
        <v>12</v>
      </c>
      <c r="H12" s="3" t="str">
        <f>TEXT(Table1[[#This Row],[OrderDate]],"MMM-YYYY")</f>
        <v>Jan-2024</v>
      </c>
      <c r="I12" s="3" t="str">
        <f t="shared" si="0"/>
        <v>Q2-2025</v>
      </c>
      <c r="J12" s="3" t="str">
        <f>IF(Table1[[#This Row],[LeadTimeDays]]&lt;=7,"Yes","No")</f>
        <v>No</v>
      </c>
      <c r="K12" s="3">
        <f>_xlfn.DAYS(Table1[[#This Row],[CorrectedRequiredDate]],Table1[[#This Row],[OrderDate]])</f>
        <v>12</v>
      </c>
      <c r="L12" s="3">
        <f>IF(Table1[[#This Row],[RequiredDate]]&lt;Table1[[#This Row],[OrderDate]],Table1[[#This Row],[OrderDate]],Table1[[#This Row],[RequiredDate]])</f>
        <v>45331</v>
      </c>
      <c r="M12" s="3">
        <v>45331</v>
      </c>
      <c r="N12" t="s">
        <v>649</v>
      </c>
      <c r="O12" t="s">
        <v>656</v>
      </c>
      <c r="P12" t="s">
        <v>671</v>
      </c>
      <c r="Q12" t="s">
        <v>701</v>
      </c>
      <c r="R12" t="s">
        <v>708</v>
      </c>
      <c r="S12" t="s">
        <v>715</v>
      </c>
      <c r="T12" t="s">
        <v>733</v>
      </c>
      <c r="U12" t="s">
        <v>744</v>
      </c>
      <c r="V12" s="8">
        <v>644.16999999999996</v>
      </c>
      <c r="W12" s="8">
        <v>700.12</v>
      </c>
      <c r="X12" s="8">
        <f t="shared" si="1"/>
        <v>815.10700000000008</v>
      </c>
      <c r="Y12" s="8">
        <f t="shared" si="2"/>
        <v>1620.05</v>
      </c>
      <c r="AA12">
        <v>6.0000000000000001E-3</v>
      </c>
      <c r="AB12">
        <f>IF(Table1[[#This Row],[DiscountPct]]&gt;0.2,1,0)</f>
        <v>0</v>
      </c>
      <c r="AC12" s="6">
        <v>23</v>
      </c>
      <c r="AD12" s="8">
        <f>Table1[[#This Row],[UnitPrice]]*Table1[[#This Row],[Quantity]]</f>
        <v>16102.76</v>
      </c>
      <c r="AE12" s="8">
        <f>Table1[[#This Row],[UnitCost]]*Table1[[#This Row],[Quantity]]</f>
        <v>14815.91</v>
      </c>
      <c r="AF12" s="8">
        <f>Table1[[#This Row],[GrossRevenue]]-Table1[[#This Row],[CostOfGoods]]</f>
        <v>1286.8500000000004</v>
      </c>
      <c r="AG12" s="8">
        <f>IF(Table1[[#This Row],[GrossRevenue]]=0,0,Table1[[#This Row],[GrossProfit]]/Table1[[#This Row],[GrossRevenue]])</f>
        <v>7.9914871736273804E-2</v>
      </c>
    </row>
    <row r="13" spans="1:33" hidden="1" x14ac:dyDescent="0.45">
      <c r="A13" t="s">
        <v>26</v>
      </c>
      <c r="C13" s="3">
        <v>45660</v>
      </c>
      <c r="D13" s="3">
        <f>YEAR(Table1[[#This Row],[OrderDate]]) * 100 + MONTH(Table1[[#This Row],[OrderDate]])</f>
        <v>202501</v>
      </c>
      <c r="E13" s="3">
        <f>_xlfn.MINIFS(Table1[OrderMonthKey],Table1[Country],Table1[[#This Row],[Country]])</f>
        <v>202303</v>
      </c>
      <c r="F13" s="3">
        <f>Table1[[#This Row],[CountryFirstMonthKey]]</f>
        <v>202303</v>
      </c>
      <c r="G13" s="3">
        <f>12*(INT(Table1[[#This Row],[OrderMonthKey]]/100)-INT(Table1[[#This Row],[CohortMonthKey]]/100)) + (MOD(Table1[[#This Row],[OrderMonthKey]],100)-MOD(Table1[[#This Row],[CohortMonthKey]],100))</f>
        <v>22</v>
      </c>
      <c r="H13" s="3" t="str">
        <f>TEXT(Table1[[#This Row],[OrderDate]],"MMM-YYYY")</f>
        <v>Jan-2025</v>
      </c>
      <c r="I13" s="3" t="str">
        <f t="shared" si="0"/>
        <v>Q1-2024</v>
      </c>
      <c r="J13" s="3" t="str">
        <f>IF(Table1[[#This Row],[LeadTimeDays]]&lt;=7,"Yes","No")</f>
        <v>No</v>
      </c>
      <c r="K13" s="3">
        <f>_xlfn.DAYS(Table1[[#This Row],[CorrectedRequiredDate]],Table1[[#This Row],[OrderDate]])</f>
        <v>20</v>
      </c>
      <c r="L13" s="3">
        <f>IF(Table1[[#This Row],[RequiredDate]]&lt;Table1[[#This Row],[OrderDate]],Table1[[#This Row],[OrderDate]],Table1[[#This Row],[RequiredDate]])</f>
        <v>45680</v>
      </c>
      <c r="M13" s="3">
        <v>45680</v>
      </c>
      <c r="N13" t="s">
        <v>647</v>
      </c>
      <c r="O13" t="s">
        <v>652</v>
      </c>
      <c r="P13" t="s">
        <v>666</v>
      </c>
      <c r="Q13" t="s">
        <v>701</v>
      </c>
      <c r="R13" t="s">
        <v>710</v>
      </c>
      <c r="S13" t="s">
        <v>721</v>
      </c>
      <c r="T13" t="s">
        <v>730</v>
      </c>
      <c r="U13" t="s">
        <v>745</v>
      </c>
      <c r="V13" s="8">
        <v>908.6</v>
      </c>
      <c r="W13" s="8">
        <v>691.37</v>
      </c>
      <c r="X13" s="8">
        <f t="shared" si="1"/>
        <v>815.10700000000008</v>
      </c>
      <c r="Y13" s="8">
        <f t="shared" si="2"/>
        <v>1620.05</v>
      </c>
      <c r="AA13">
        <v>0.25</v>
      </c>
      <c r="AB13">
        <f>IF(Table1[[#This Row],[DiscountPct]]&gt;0.2,1,0)</f>
        <v>1</v>
      </c>
      <c r="AC13" s="6">
        <v>20</v>
      </c>
      <c r="AD13" s="8">
        <f>Table1[[#This Row],[UnitPrice]]*Table1[[#This Row],[Quantity]]</f>
        <v>13827.4</v>
      </c>
      <c r="AE13" s="8">
        <f>Table1[[#This Row],[UnitCost]]*Table1[[#This Row],[Quantity]]</f>
        <v>18172</v>
      </c>
      <c r="AF13" s="8">
        <f>Table1[[#This Row],[GrossRevenue]]-Table1[[#This Row],[CostOfGoods]]</f>
        <v>-4344.6000000000004</v>
      </c>
      <c r="AG13" s="8">
        <f>IF(Table1[[#This Row],[GrossRevenue]]=0,0,Table1[[#This Row],[GrossProfit]]/Table1[[#This Row],[GrossRevenue]])</f>
        <v>-0.31420223613983833</v>
      </c>
    </row>
    <row r="14" spans="1:33" x14ac:dyDescent="0.45">
      <c r="A14" t="s">
        <v>27</v>
      </c>
      <c r="B14">
        <v>1</v>
      </c>
      <c r="C14" s="3">
        <v>45722</v>
      </c>
      <c r="D14" s="6">
        <f>YEAR(Table1[[#This Row],[OrderDate]]) * 100 + MONTH(Table1[[#This Row],[OrderDate]])</f>
        <v>202503</v>
      </c>
      <c r="E14" s="6">
        <f>_xlfn.MINIFS(Table1[OrderMonthKey],Table1[Country],Table1[[#This Row],[Country]])</f>
        <v>202301</v>
      </c>
      <c r="F14" s="6">
        <f>Table1[[#This Row],[CountryFirstMonthKey]]</f>
        <v>202301</v>
      </c>
      <c r="G14" s="6">
        <f>12*(INT(Table1[[#This Row],[OrderMonthKey]]/100)-INT(Table1[[#This Row],[CohortMonthKey]]/100)) + (MOD(Table1[[#This Row],[OrderMonthKey]],100)-MOD(Table1[[#This Row],[CohortMonthKey]],100))</f>
        <v>26</v>
      </c>
      <c r="H14" s="3" t="str">
        <f>TEXT(Table1[[#This Row],[OrderDate]],"MMM-YYYY")</f>
        <v>Mar-2025</v>
      </c>
      <c r="I14" s="3" t="str">
        <f t="shared" si="0"/>
        <v>Q1-2025</v>
      </c>
      <c r="J14" s="26" t="str">
        <f>IF(Table1[[#This Row],[LeadTimeDays]]&lt;=7,"Yes","No")</f>
        <v>No</v>
      </c>
      <c r="K14" s="6">
        <f>_xlfn.DAYS(Table1[[#This Row],[CorrectedRequiredDate]],Table1[[#This Row],[OrderDate]])</f>
        <v>25</v>
      </c>
      <c r="L14" s="3">
        <f>IF(Table1[[#This Row],[RequiredDate]]&lt;Table1[[#This Row],[OrderDate]],Table1[[#This Row],[OrderDate]],Table1[[#This Row],[RequiredDate]])</f>
        <v>45747</v>
      </c>
      <c r="M14" s="3">
        <v>45747</v>
      </c>
      <c r="N14" t="s">
        <v>648</v>
      </c>
      <c r="O14" t="s">
        <v>655</v>
      </c>
      <c r="P14" t="s">
        <v>672</v>
      </c>
      <c r="Q14" t="s">
        <v>703</v>
      </c>
      <c r="R14" t="s">
        <v>708</v>
      </c>
      <c r="S14" t="s">
        <v>713</v>
      </c>
      <c r="T14" t="s">
        <v>727</v>
      </c>
      <c r="U14" t="s">
        <v>746</v>
      </c>
      <c r="V14" s="8">
        <v>331.57</v>
      </c>
      <c r="W14" s="8">
        <v>548.4</v>
      </c>
      <c r="X14" s="8">
        <f t="shared" si="1"/>
        <v>815.10700000000008</v>
      </c>
      <c r="Y14" s="8">
        <f t="shared" si="2"/>
        <v>1620.05</v>
      </c>
      <c r="Z14" s="8" t="str">
        <f>IF(W13 &lt;= X12, "Low",IF(W13 &lt;= Y13, "Medium", "High"))</f>
        <v>Low</v>
      </c>
      <c r="AA14">
        <v>9.4E-2</v>
      </c>
      <c r="AB14">
        <f>IF(Table1[[#This Row],[DiscountPct]]&gt;0.2,1,0)</f>
        <v>0</v>
      </c>
      <c r="AC14" s="6">
        <v>10</v>
      </c>
      <c r="AD14" s="8">
        <f>Table1[[#This Row],[UnitPrice]]*Table1[[#This Row],[Quantity]]</f>
        <v>5484</v>
      </c>
      <c r="AE14" s="8">
        <f>Table1[[#This Row],[UnitCost]]*Table1[[#This Row],[Quantity]]</f>
        <v>3315.7</v>
      </c>
      <c r="AF14" s="8">
        <f>Table1[[#This Row],[GrossRevenue]]-Table1[[#This Row],[CostOfGoods]]</f>
        <v>2168.3000000000002</v>
      </c>
      <c r="AG14" s="9">
        <f>IF(Table1[[#This Row],[GrossRevenue]]=0,0,Table1[[#This Row],[GrossProfit]]/Table1[[#This Row],[GrossRevenue]])</f>
        <v>0.39538657913931441</v>
      </c>
    </row>
    <row r="15" spans="1:33" hidden="1" x14ac:dyDescent="0.45">
      <c r="A15" t="s">
        <v>28</v>
      </c>
      <c r="C15" s="3">
        <v>45311</v>
      </c>
      <c r="D15" s="3">
        <f>YEAR(Table1[[#This Row],[OrderDate]]) * 100 + MONTH(Table1[[#This Row],[OrderDate]])</f>
        <v>202401</v>
      </c>
      <c r="E15" s="3">
        <f>_xlfn.MINIFS(Table1[OrderMonthKey],Table1[Country],Table1[[#This Row],[Country]])</f>
        <v>202301</v>
      </c>
      <c r="F15" s="3">
        <f>Table1[[#This Row],[CountryFirstMonthKey]]</f>
        <v>202301</v>
      </c>
      <c r="G15" s="3">
        <f>12*(INT(Table1[[#This Row],[OrderMonthKey]]/100)-INT(Table1[[#This Row],[CohortMonthKey]]/100)) + (MOD(Table1[[#This Row],[OrderMonthKey]],100)-MOD(Table1[[#This Row],[CohortMonthKey]],100))</f>
        <v>12</v>
      </c>
      <c r="H15" s="3" t="str">
        <f>TEXT(Table1[[#This Row],[OrderDate]],"MMM-YYYY")</f>
        <v>Jan-2024</v>
      </c>
      <c r="I15" s="3" t="str">
        <f t="shared" si="0"/>
        <v>Q1-2025</v>
      </c>
      <c r="J15" s="3" t="str">
        <f>IF(Table1[[#This Row],[LeadTimeDays]]&lt;=7,"Yes","No")</f>
        <v>No</v>
      </c>
      <c r="K15" s="3">
        <f>_xlfn.DAYS(Table1[[#This Row],[CorrectedRequiredDate]],Table1[[#This Row],[OrderDate]])</f>
        <v>24</v>
      </c>
      <c r="L15" s="3">
        <f>IF(Table1[[#This Row],[RequiredDate]]&lt;Table1[[#This Row],[OrderDate]],Table1[[#This Row],[OrderDate]],Table1[[#This Row],[RequiredDate]])</f>
        <v>45335</v>
      </c>
      <c r="M15" s="3">
        <v>45335</v>
      </c>
      <c r="N15" t="s">
        <v>649</v>
      </c>
      <c r="O15" t="s">
        <v>657</v>
      </c>
      <c r="P15" t="s">
        <v>673</v>
      </c>
      <c r="Q15" t="s">
        <v>701</v>
      </c>
      <c r="R15" t="s">
        <v>707</v>
      </c>
      <c r="S15" t="s">
        <v>722</v>
      </c>
      <c r="T15" t="s">
        <v>728</v>
      </c>
      <c r="U15" t="s">
        <v>747</v>
      </c>
      <c r="V15" s="8">
        <v>643.53</v>
      </c>
      <c r="W15" s="8">
        <v>1439.01</v>
      </c>
      <c r="X15" s="8">
        <f t="shared" si="1"/>
        <v>815.10700000000008</v>
      </c>
      <c r="Y15" s="8">
        <f t="shared" si="2"/>
        <v>1620.05</v>
      </c>
      <c r="AA15">
        <v>0</v>
      </c>
      <c r="AB15">
        <f>IF(Table1[[#This Row],[DiscountPct]]&gt;0.2,1,0)</f>
        <v>0</v>
      </c>
      <c r="AC15" s="6">
        <v>15</v>
      </c>
      <c r="AD15" s="8">
        <f>Table1[[#This Row],[UnitPrice]]*Table1[[#This Row],[Quantity]]</f>
        <v>21585.15</v>
      </c>
      <c r="AE15" s="8">
        <f>Table1[[#This Row],[UnitCost]]*Table1[[#This Row],[Quantity]]</f>
        <v>9652.9499999999989</v>
      </c>
      <c r="AF15" s="8">
        <f>Table1[[#This Row],[GrossRevenue]]-Table1[[#This Row],[CostOfGoods]]</f>
        <v>11932.200000000003</v>
      </c>
      <c r="AG15" s="8">
        <f>IF(Table1[[#This Row],[GrossRevenue]]=0,0,Table1[[#This Row],[GrossProfit]]/Table1[[#This Row],[GrossRevenue]])</f>
        <v>0.55279671440782208</v>
      </c>
    </row>
    <row r="16" spans="1:33" x14ac:dyDescent="0.45">
      <c r="A16" t="s">
        <v>29</v>
      </c>
      <c r="B16">
        <v>1</v>
      </c>
      <c r="C16" s="3">
        <v>45901</v>
      </c>
      <c r="D16" s="6">
        <f>YEAR(Table1[[#This Row],[OrderDate]]) * 100 + MONTH(Table1[[#This Row],[OrderDate]])</f>
        <v>202509</v>
      </c>
      <c r="E16" s="6">
        <f>_xlfn.MINIFS(Table1[OrderMonthKey],Table1[Country],Table1[[#This Row],[Country]])</f>
        <v>202301</v>
      </c>
      <c r="F16" s="6">
        <f>Table1[[#This Row],[CountryFirstMonthKey]]</f>
        <v>202301</v>
      </c>
      <c r="G16" s="6">
        <f>12*(INT(Table1[[#This Row],[OrderMonthKey]]/100)-INT(Table1[[#This Row],[CohortMonthKey]]/100)) + (MOD(Table1[[#This Row],[OrderMonthKey]],100)-MOD(Table1[[#This Row],[CohortMonthKey]],100))</f>
        <v>32</v>
      </c>
      <c r="H16" s="3" t="str">
        <f>TEXT(Table1[[#This Row],[OrderDate]],"MMM-YYYY")</f>
        <v>Sep-2025</v>
      </c>
      <c r="I16" s="3" t="str">
        <f t="shared" si="0"/>
        <v>Q1-2024</v>
      </c>
      <c r="J16" s="26" t="str">
        <f>IF(Table1[[#This Row],[LeadTimeDays]]&lt;=7,"Yes","No")</f>
        <v>No</v>
      </c>
      <c r="K16" s="6">
        <f>_xlfn.DAYS(Table1[[#This Row],[CorrectedRequiredDate]],Table1[[#This Row],[OrderDate]])</f>
        <v>29</v>
      </c>
      <c r="L16" s="3">
        <f>IF(Table1[[#This Row],[RequiredDate]]&lt;Table1[[#This Row],[OrderDate]],Table1[[#This Row],[OrderDate]],Table1[[#This Row],[RequiredDate]])</f>
        <v>45930</v>
      </c>
      <c r="M16" s="3">
        <v>45930</v>
      </c>
      <c r="N16" t="s">
        <v>648</v>
      </c>
      <c r="O16" t="s">
        <v>655</v>
      </c>
      <c r="P16" t="s">
        <v>672</v>
      </c>
      <c r="Q16" t="s">
        <v>702</v>
      </c>
      <c r="R16" t="s">
        <v>707</v>
      </c>
      <c r="S16" t="s">
        <v>723</v>
      </c>
      <c r="T16" t="s">
        <v>733</v>
      </c>
      <c r="U16" t="s">
        <v>748</v>
      </c>
      <c r="V16" s="8">
        <v>780.59</v>
      </c>
      <c r="W16" s="8">
        <v>631.57000000000005</v>
      </c>
      <c r="X16" s="8">
        <f t="shared" si="1"/>
        <v>815.10700000000008</v>
      </c>
      <c r="Y16" s="8">
        <f t="shared" si="2"/>
        <v>1620.05</v>
      </c>
      <c r="Z16" s="8" t="str">
        <f>IF(W15 &lt;= X14, "Low",IF(W15 &lt;= Y15, "Medium", "High"))</f>
        <v>Medium</v>
      </c>
      <c r="AA16">
        <v>0</v>
      </c>
      <c r="AB16">
        <f>IF(Table1[[#This Row],[DiscountPct]]&gt;0.2,1,0)</f>
        <v>0</v>
      </c>
      <c r="AC16" s="6">
        <v>12</v>
      </c>
      <c r="AD16" s="8">
        <f>Table1[[#This Row],[UnitPrice]]*Table1[[#This Row],[Quantity]]</f>
        <v>7578.84</v>
      </c>
      <c r="AE16" s="8">
        <f>Table1[[#This Row],[UnitCost]]*Table1[[#This Row],[Quantity]]</f>
        <v>9367.08</v>
      </c>
      <c r="AF16" s="8">
        <f>Table1[[#This Row],[GrossRevenue]]-Table1[[#This Row],[CostOfGoods]]</f>
        <v>-1788.2399999999998</v>
      </c>
      <c r="AG16" s="9">
        <f>IF(Table1[[#This Row],[GrossRevenue]]=0,0,Table1[[#This Row],[GrossProfit]]/Table1[[#This Row],[GrossRevenue]])</f>
        <v>-0.23595167598207639</v>
      </c>
    </row>
    <row r="17" spans="1:33" hidden="1" x14ac:dyDescent="0.45">
      <c r="A17" t="s">
        <v>30</v>
      </c>
      <c r="C17" s="3">
        <v>45039</v>
      </c>
      <c r="D17" s="3">
        <f>YEAR(Table1[[#This Row],[OrderDate]]) * 100 + MONTH(Table1[[#This Row],[OrderDate]])</f>
        <v>202304</v>
      </c>
      <c r="E17" s="3">
        <f>_xlfn.MINIFS(Table1[OrderMonthKey],Table1[Country],Table1[[#This Row],[Country]])</f>
        <v>202301</v>
      </c>
      <c r="F17" s="3">
        <f>Table1[[#This Row],[CountryFirstMonthKey]]</f>
        <v>202301</v>
      </c>
      <c r="G17" s="3">
        <f>12*(INT(Table1[[#This Row],[OrderMonthKey]]/100)-INT(Table1[[#This Row],[CohortMonthKey]]/100)) + (MOD(Table1[[#This Row],[OrderMonthKey]],100)-MOD(Table1[[#This Row],[CohortMonthKey]],100))</f>
        <v>3</v>
      </c>
      <c r="H17" s="3" t="str">
        <f>TEXT(Table1[[#This Row],[OrderDate]],"MMM-YYYY")</f>
        <v>Apr-2023</v>
      </c>
      <c r="I17" s="3" t="str">
        <f t="shared" si="0"/>
        <v>Q3-2025</v>
      </c>
      <c r="J17" s="3" t="str">
        <f>IF(Table1[[#This Row],[LeadTimeDays]]&lt;=7,"Yes","No")</f>
        <v>Yes</v>
      </c>
      <c r="K17" s="3">
        <f>_xlfn.DAYS(Table1[[#This Row],[CorrectedRequiredDate]],Table1[[#This Row],[OrderDate]])</f>
        <v>0</v>
      </c>
      <c r="L17" s="3">
        <f>IF(Table1[[#This Row],[RequiredDate]]&lt;Table1[[#This Row],[OrderDate]],Table1[[#This Row],[OrderDate]],Table1[[#This Row],[RequiredDate]])</f>
        <v>45039</v>
      </c>
      <c r="M17" s="3">
        <v>45038</v>
      </c>
      <c r="N17" t="s">
        <v>646</v>
      </c>
      <c r="O17" t="s">
        <v>650</v>
      </c>
      <c r="P17" t="s">
        <v>664</v>
      </c>
      <c r="Q17" t="s">
        <v>705</v>
      </c>
      <c r="R17" t="s">
        <v>711</v>
      </c>
      <c r="S17" t="s">
        <v>718</v>
      </c>
      <c r="T17" t="s">
        <v>731</v>
      </c>
      <c r="U17" t="s">
        <v>749</v>
      </c>
      <c r="V17" s="8">
        <v>756.51</v>
      </c>
      <c r="W17" s="8">
        <v>850.8</v>
      </c>
      <c r="X17" s="8">
        <f t="shared" si="1"/>
        <v>815.10700000000008</v>
      </c>
      <c r="Y17" s="8">
        <f t="shared" si="2"/>
        <v>1620.05</v>
      </c>
      <c r="AA17">
        <v>7.3999999999999996E-2</v>
      </c>
      <c r="AB17">
        <f>IF(Table1[[#This Row],[DiscountPct]]&gt;0.2,1,0)</f>
        <v>0</v>
      </c>
      <c r="AC17" s="6">
        <v>9</v>
      </c>
      <c r="AD17" s="8">
        <f>Table1[[#This Row],[UnitPrice]]*Table1[[#This Row],[Quantity]]</f>
        <v>7657.2</v>
      </c>
      <c r="AE17" s="8">
        <f>Table1[[#This Row],[UnitCost]]*Table1[[#This Row],[Quantity]]</f>
        <v>6808.59</v>
      </c>
      <c r="AF17" s="8">
        <f>Table1[[#This Row],[GrossRevenue]]-Table1[[#This Row],[CostOfGoods]]</f>
        <v>848.60999999999967</v>
      </c>
      <c r="AG17" s="8">
        <f>IF(Table1[[#This Row],[GrossRevenue]]=0,0,Table1[[#This Row],[GrossProfit]]/Table1[[#This Row],[GrossRevenue]])</f>
        <v>0.11082510578279263</v>
      </c>
    </row>
    <row r="18" spans="1:33" hidden="1" x14ac:dyDescent="0.45">
      <c r="A18" t="s">
        <v>31</v>
      </c>
      <c r="C18" s="3">
        <v>45636</v>
      </c>
      <c r="D18" s="3">
        <f>YEAR(Table1[[#This Row],[OrderDate]]) * 100 + MONTH(Table1[[#This Row],[OrderDate]])</f>
        <v>202412</v>
      </c>
      <c r="E18" s="3">
        <f>_xlfn.MINIFS(Table1[OrderMonthKey],Table1[Country],Table1[[#This Row],[Country]])</f>
        <v>202301</v>
      </c>
      <c r="F18" s="3">
        <f>Table1[[#This Row],[CountryFirstMonthKey]]</f>
        <v>202301</v>
      </c>
      <c r="G18" s="3">
        <f>12*(INT(Table1[[#This Row],[OrderMonthKey]]/100)-INT(Table1[[#This Row],[CohortMonthKey]]/100)) + (MOD(Table1[[#This Row],[OrderMonthKey]],100)-MOD(Table1[[#This Row],[CohortMonthKey]],100))</f>
        <v>23</v>
      </c>
      <c r="H18" s="3" t="str">
        <f>TEXT(Table1[[#This Row],[OrderDate]],"MMM-YYYY")</f>
        <v>Dec-2024</v>
      </c>
      <c r="I18" s="3" t="str">
        <f t="shared" si="0"/>
        <v>Q2-2023</v>
      </c>
      <c r="J18" s="3" t="str">
        <f>IF(Table1[[#This Row],[LeadTimeDays]]&lt;=7,"Yes","No")</f>
        <v>No</v>
      </c>
      <c r="K18" s="3">
        <f>_xlfn.DAYS(Table1[[#This Row],[CorrectedRequiredDate]],Table1[[#This Row],[OrderDate]])</f>
        <v>29</v>
      </c>
      <c r="L18" s="3">
        <f>IF(Table1[[#This Row],[RequiredDate]]&lt;Table1[[#This Row],[OrderDate]],Table1[[#This Row],[OrderDate]],Table1[[#This Row],[RequiredDate]])</f>
        <v>45665</v>
      </c>
      <c r="M18" s="3">
        <v>45665</v>
      </c>
      <c r="N18" t="s">
        <v>649</v>
      </c>
      <c r="O18" t="s">
        <v>657</v>
      </c>
      <c r="P18" t="s">
        <v>673</v>
      </c>
      <c r="Q18" t="s">
        <v>705</v>
      </c>
      <c r="R18" t="s">
        <v>707</v>
      </c>
      <c r="S18" t="s">
        <v>723</v>
      </c>
      <c r="T18" t="s">
        <v>728</v>
      </c>
      <c r="U18" t="s">
        <v>750</v>
      </c>
      <c r="V18" s="8">
        <v>891.08</v>
      </c>
      <c r="W18" s="8">
        <v>1040.0999999999999</v>
      </c>
      <c r="X18" s="8">
        <f t="shared" si="1"/>
        <v>815.10700000000008</v>
      </c>
      <c r="Y18" s="8">
        <f t="shared" si="2"/>
        <v>1620.05</v>
      </c>
      <c r="AA18">
        <v>0.109</v>
      </c>
      <c r="AB18">
        <f>IF(Table1[[#This Row],[DiscountPct]]&gt;0.2,1,0)</f>
        <v>0</v>
      </c>
      <c r="AC18" s="6">
        <v>28</v>
      </c>
      <c r="AD18" s="8">
        <f>Table1[[#This Row],[UnitPrice]]*Table1[[#This Row],[Quantity]]</f>
        <v>29122.799999999996</v>
      </c>
      <c r="AE18" s="8">
        <f>Table1[[#This Row],[UnitCost]]*Table1[[#This Row],[Quantity]]</f>
        <v>24950.240000000002</v>
      </c>
      <c r="AF18" s="8">
        <f>Table1[[#This Row],[GrossRevenue]]-Table1[[#This Row],[CostOfGoods]]</f>
        <v>4172.559999999994</v>
      </c>
      <c r="AG18" s="8">
        <f>IF(Table1[[#This Row],[GrossRevenue]]=0,0,Table1[[#This Row],[GrossProfit]]/Table1[[#This Row],[GrossRevenue]])</f>
        <v>0.14327468512642996</v>
      </c>
    </row>
    <row r="19" spans="1:33" hidden="1" x14ac:dyDescent="0.45">
      <c r="A19" t="s">
        <v>32</v>
      </c>
      <c r="C19" s="3">
        <v>45908</v>
      </c>
      <c r="D19" s="3">
        <f>YEAR(Table1[[#This Row],[OrderDate]]) * 100 + MONTH(Table1[[#This Row],[OrderDate]])</f>
        <v>202509</v>
      </c>
      <c r="E19" s="3">
        <f>_xlfn.MINIFS(Table1[OrderMonthKey],Table1[Country],Table1[[#This Row],[Country]])</f>
        <v>202303</v>
      </c>
      <c r="F19" s="3">
        <f>Table1[[#This Row],[CountryFirstMonthKey]]</f>
        <v>202303</v>
      </c>
      <c r="G19" s="3">
        <f>12*(INT(Table1[[#This Row],[OrderMonthKey]]/100)-INT(Table1[[#This Row],[CohortMonthKey]]/100)) + (MOD(Table1[[#This Row],[OrderMonthKey]],100)-MOD(Table1[[#This Row],[CohortMonthKey]],100))</f>
        <v>30</v>
      </c>
      <c r="H19" s="3" t="str">
        <f>TEXT(Table1[[#This Row],[OrderDate]],"MMM-YYYY")</f>
        <v>Sep-2025</v>
      </c>
      <c r="I19" s="3" t="str">
        <f t="shared" si="0"/>
        <v>Q4-2024</v>
      </c>
      <c r="J19" s="3" t="str">
        <f>IF(Table1[[#This Row],[LeadTimeDays]]&lt;=7,"Yes","No")</f>
        <v>No</v>
      </c>
      <c r="K19" s="3">
        <f>_xlfn.DAYS(Table1[[#This Row],[CorrectedRequiredDate]],Table1[[#This Row],[OrderDate]])</f>
        <v>8</v>
      </c>
      <c r="L19" s="3">
        <f>IF(Table1[[#This Row],[RequiredDate]]&lt;Table1[[#This Row],[OrderDate]],Table1[[#This Row],[OrderDate]],Table1[[#This Row],[RequiredDate]])</f>
        <v>45916</v>
      </c>
      <c r="M19" s="3">
        <v>45916</v>
      </c>
      <c r="N19" t="s">
        <v>647</v>
      </c>
      <c r="O19" t="s">
        <v>652</v>
      </c>
      <c r="P19" t="s">
        <v>666</v>
      </c>
      <c r="Q19" t="s">
        <v>701</v>
      </c>
      <c r="R19" t="s">
        <v>710</v>
      </c>
      <c r="S19" t="s">
        <v>712</v>
      </c>
      <c r="T19" t="s">
        <v>730</v>
      </c>
      <c r="U19" t="s">
        <v>751</v>
      </c>
      <c r="V19" s="8">
        <v>1225.57</v>
      </c>
      <c r="W19" s="8">
        <v>2705.57</v>
      </c>
      <c r="X19" s="8">
        <f t="shared" si="1"/>
        <v>815.10700000000008</v>
      </c>
      <c r="Y19" s="8">
        <f t="shared" si="2"/>
        <v>1620.05</v>
      </c>
      <c r="AA19">
        <v>0.183</v>
      </c>
      <c r="AB19">
        <f>IF(Table1[[#This Row],[DiscountPct]]&gt;0.2,1,0)</f>
        <v>0</v>
      </c>
      <c r="AC19" s="6">
        <v>16</v>
      </c>
      <c r="AD19" s="8">
        <f>Table1[[#This Row],[UnitPrice]]*Table1[[#This Row],[Quantity]]</f>
        <v>43289.120000000003</v>
      </c>
      <c r="AE19" s="8">
        <f>Table1[[#This Row],[UnitCost]]*Table1[[#This Row],[Quantity]]</f>
        <v>19609.12</v>
      </c>
      <c r="AF19" s="8">
        <f>Table1[[#This Row],[GrossRevenue]]-Table1[[#This Row],[CostOfGoods]]</f>
        <v>23680.000000000004</v>
      </c>
      <c r="AG19" s="8">
        <f>IF(Table1[[#This Row],[GrossRevenue]]=0,0,Table1[[#This Row],[GrossProfit]]/Table1[[#This Row],[GrossRevenue]])</f>
        <v>0.54701966683545433</v>
      </c>
    </row>
    <row r="20" spans="1:33" x14ac:dyDescent="0.45">
      <c r="A20" t="s">
        <v>33</v>
      </c>
      <c r="B20">
        <v>1</v>
      </c>
      <c r="C20" s="3">
        <v>45858</v>
      </c>
      <c r="D20" s="6">
        <f>YEAR(Table1[[#This Row],[OrderDate]]) * 100 + MONTH(Table1[[#This Row],[OrderDate]])</f>
        <v>202507</v>
      </c>
      <c r="E20" s="6">
        <f>_xlfn.MINIFS(Table1[OrderMonthKey],Table1[Country],Table1[[#This Row],[Country]])</f>
        <v>202301</v>
      </c>
      <c r="F20" s="6">
        <f>Table1[[#This Row],[CountryFirstMonthKey]]</f>
        <v>202301</v>
      </c>
      <c r="G20" s="6">
        <f>12*(INT(Table1[[#This Row],[OrderMonthKey]]/100)-INT(Table1[[#This Row],[CohortMonthKey]]/100)) + (MOD(Table1[[#This Row],[OrderMonthKey]],100)-MOD(Table1[[#This Row],[CohortMonthKey]],100))</f>
        <v>30</v>
      </c>
      <c r="H20" s="3" t="str">
        <f>TEXT(Table1[[#This Row],[OrderDate]],"MMM-YYYY")</f>
        <v>Jul-2025</v>
      </c>
      <c r="I20" s="3" t="str">
        <f t="shared" si="0"/>
        <v>Q3-2025</v>
      </c>
      <c r="J20" s="26" t="str">
        <f>IF(Table1[[#This Row],[LeadTimeDays]]&lt;=7,"Yes","No")</f>
        <v>No</v>
      </c>
      <c r="K20" s="6">
        <f>_xlfn.DAYS(Table1[[#This Row],[CorrectedRequiredDate]],Table1[[#This Row],[OrderDate]])</f>
        <v>16</v>
      </c>
      <c r="L20" s="3">
        <f>IF(Table1[[#This Row],[RequiredDate]]&lt;Table1[[#This Row],[OrderDate]],Table1[[#This Row],[OrderDate]],Table1[[#This Row],[RequiredDate]])</f>
        <v>45874</v>
      </c>
      <c r="M20" s="3">
        <v>45874</v>
      </c>
      <c r="N20" t="s">
        <v>648</v>
      </c>
      <c r="O20" t="s">
        <v>655</v>
      </c>
      <c r="P20" t="s">
        <v>672</v>
      </c>
      <c r="Q20" t="s">
        <v>706</v>
      </c>
      <c r="R20" t="s">
        <v>709</v>
      </c>
      <c r="S20" t="s">
        <v>715</v>
      </c>
      <c r="T20" t="s">
        <v>733</v>
      </c>
      <c r="U20" t="s">
        <v>752</v>
      </c>
      <c r="V20" s="8">
        <v>1068.17</v>
      </c>
      <c r="W20" s="8">
        <v>2375.37</v>
      </c>
      <c r="X20" s="8">
        <f t="shared" si="1"/>
        <v>815.10700000000008</v>
      </c>
      <c r="Y20" s="8">
        <f t="shared" si="2"/>
        <v>1620.05</v>
      </c>
      <c r="Z20" s="8" t="str">
        <f>IF(W19 &lt;= X18, "Low",IF(W19 &lt;= Y19, "Medium", "High"))</f>
        <v>High</v>
      </c>
      <c r="AA20">
        <v>0.109</v>
      </c>
      <c r="AB20">
        <f>IF(Table1[[#This Row],[DiscountPct]]&gt;0.2,1,0)</f>
        <v>0</v>
      </c>
      <c r="AC20" s="6">
        <v>18</v>
      </c>
      <c r="AD20" s="8">
        <f>Table1[[#This Row],[UnitPrice]]*Table1[[#This Row],[Quantity]]</f>
        <v>42756.659999999996</v>
      </c>
      <c r="AE20" s="8">
        <f>Table1[[#This Row],[UnitCost]]*Table1[[#This Row],[Quantity]]</f>
        <v>19227.060000000001</v>
      </c>
      <c r="AF20" s="8">
        <f>Table1[[#This Row],[GrossRevenue]]-Table1[[#This Row],[CostOfGoods]]</f>
        <v>23529.599999999995</v>
      </c>
      <c r="AG20" s="9">
        <f>IF(Table1[[#This Row],[GrossRevenue]]=0,0,Table1[[#This Row],[GrossProfit]]/Table1[[#This Row],[GrossRevenue]])</f>
        <v>0.55031426683000961</v>
      </c>
    </row>
    <row r="21" spans="1:33" x14ac:dyDescent="0.45">
      <c r="A21" t="s">
        <v>34</v>
      </c>
      <c r="B21">
        <v>1</v>
      </c>
      <c r="C21" s="3">
        <v>45798</v>
      </c>
      <c r="D21" s="6">
        <f>YEAR(Table1[[#This Row],[OrderDate]]) * 100 + MONTH(Table1[[#This Row],[OrderDate]])</f>
        <v>202505</v>
      </c>
      <c r="E21" s="6">
        <f>_xlfn.MINIFS(Table1[OrderMonthKey],Table1[Country],Table1[[#This Row],[Country]])</f>
        <v>202301</v>
      </c>
      <c r="F21" s="6">
        <f>Table1[[#This Row],[CountryFirstMonthKey]]</f>
        <v>202301</v>
      </c>
      <c r="G21" s="6">
        <f>12*(INT(Table1[[#This Row],[OrderMonthKey]]/100)-INT(Table1[[#This Row],[CohortMonthKey]]/100)) + (MOD(Table1[[#This Row],[OrderMonthKey]],100)-MOD(Table1[[#This Row],[CohortMonthKey]],100))</f>
        <v>28</v>
      </c>
      <c r="H21" s="3" t="str">
        <f>TEXT(Table1[[#This Row],[OrderDate]],"MMM-YYYY")</f>
        <v>May-2025</v>
      </c>
      <c r="I21" s="3" t="str">
        <f t="shared" si="0"/>
        <v>Q3-2025</v>
      </c>
      <c r="J21" s="26" t="str">
        <f>IF(Table1[[#This Row],[LeadTimeDays]]&lt;=7,"Yes","No")</f>
        <v>Yes</v>
      </c>
      <c r="K21" s="6">
        <f>_xlfn.DAYS(Table1[[#This Row],[CorrectedRequiredDate]],Table1[[#This Row],[OrderDate]])</f>
        <v>0</v>
      </c>
      <c r="L21" s="3">
        <f>IF(Table1[[#This Row],[RequiredDate]]&lt;Table1[[#This Row],[OrderDate]],Table1[[#This Row],[OrderDate]],Table1[[#This Row],[RequiredDate]])</f>
        <v>45798</v>
      </c>
      <c r="M21" s="3">
        <v>45796</v>
      </c>
      <c r="N21" t="s">
        <v>649</v>
      </c>
      <c r="O21" t="s">
        <v>658</v>
      </c>
      <c r="P21" t="s">
        <v>674</v>
      </c>
      <c r="Q21" t="s">
        <v>706</v>
      </c>
      <c r="R21" t="s">
        <v>708</v>
      </c>
      <c r="S21" t="s">
        <v>724</v>
      </c>
      <c r="T21" t="s">
        <v>731</v>
      </c>
      <c r="U21" t="s">
        <v>753</v>
      </c>
      <c r="V21" s="8">
        <v>1015.16</v>
      </c>
      <c r="W21" s="8">
        <v>2148.14</v>
      </c>
      <c r="X21" s="8">
        <f t="shared" si="1"/>
        <v>815.10700000000008</v>
      </c>
      <c r="Y21" s="8">
        <f t="shared" si="2"/>
        <v>1620.05</v>
      </c>
      <c r="Z21" s="8" t="str">
        <f>IF(W20 &lt;= X19, "Low",IF(W20 &lt;= Y20, "Medium", "High"))</f>
        <v>High</v>
      </c>
      <c r="AA21">
        <v>3.7999999999999999E-2</v>
      </c>
      <c r="AB21">
        <f>IF(Table1[[#This Row],[DiscountPct]]&gt;0.2,1,0)</f>
        <v>0</v>
      </c>
      <c r="AC21" s="6">
        <v>19</v>
      </c>
      <c r="AD21" s="8">
        <f>Table1[[#This Row],[UnitPrice]]*Table1[[#This Row],[Quantity]]</f>
        <v>40814.659999999996</v>
      </c>
      <c r="AE21" s="8">
        <f>Table1[[#This Row],[UnitCost]]*Table1[[#This Row],[Quantity]]</f>
        <v>19288.04</v>
      </c>
      <c r="AF21" s="8">
        <f>Table1[[#This Row],[GrossRevenue]]-Table1[[#This Row],[CostOfGoods]]</f>
        <v>21526.619999999995</v>
      </c>
      <c r="AG21" s="9">
        <f>IF(Table1[[#This Row],[GrossRevenue]]=0,0,Table1[[#This Row],[GrossProfit]]/Table1[[#This Row],[GrossRevenue]])</f>
        <v>0.52742372471067989</v>
      </c>
    </row>
    <row r="22" spans="1:33" hidden="1" x14ac:dyDescent="0.45">
      <c r="A22" t="s">
        <v>35</v>
      </c>
      <c r="C22" s="3">
        <v>45498</v>
      </c>
      <c r="D22" s="3">
        <f>YEAR(Table1[[#This Row],[OrderDate]]) * 100 + MONTH(Table1[[#This Row],[OrderDate]])</f>
        <v>202407</v>
      </c>
      <c r="E22" s="3">
        <f>_xlfn.MINIFS(Table1[OrderMonthKey],Table1[Country],Table1[[#This Row],[Country]])</f>
        <v>202301</v>
      </c>
      <c r="F22" s="3">
        <f>Table1[[#This Row],[CountryFirstMonthKey]]</f>
        <v>202301</v>
      </c>
      <c r="G22" s="3">
        <f>12*(INT(Table1[[#This Row],[OrderMonthKey]]/100)-INT(Table1[[#This Row],[CohortMonthKey]]/100)) + (MOD(Table1[[#This Row],[OrderMonthKey]],100)-MOD(Table1[[#This Row],[CohortMonthKey]],100))</f>
        <v>18</v>
      </c>
      <c r="H22" s="3" t="str">
        <f>TEXT(Table1[[#This Row],[OrderDate]],"MMM-YYYY")</f>
        <v>Jul-2024</v>
      </c>
      <c r="I22" s="3" t="str">
        <f t="shared" si="0"/>
        <v>Q2-2025</v>
      </c>
      <c r="J22" s="3" t="str">
        <f>IF(Table1[[#This Row],[LeadTimeDays]]&lt;=7,"Yes","No")</f>
        <v>Yes</v>
      </c>
      <c r="K22" s="3">
        <f>_xlfn.DAYS(Table1[[#This Row],[CorrectedRequiredDate]],Table1[[#This Row],[OrderDate]])</f>
        <v>0</v>
      </c>
      <c r="L22" s="3">
        <f>IF(Table1[[#This Row],[RequiredDate]]&lt;Table1[[#This Row],[OrderDate]],Table1[[#This Row],[OrderDate]],Table1[[#This Row],[RequiredDate]])</f>
        <v>45498</v>
      </c>
      <c r="M22" s="3">
        <v>45497</v>
      </c>
      <c r="N22" t="s">
        <v>646</v>
      </c>
      <c r="O22" t="s">
        <v>650</v>
      </c>
      <c r="P22" t="s">
        <v>675</v>
      </c>
      <c r="Q22" t="s">
        <v>703</v>
      </c>
      <c r="R22" t="s">
        <v>711</v>
      </c>
      <c r="S22" t="s">
        <v>713</v>
      </c>
      <c r="T22" t="s">
        <v>731</v>
      </c>
      <c r="U22" t="s">
        <v>754</v>
      </c>
      <c r="V22" s="8">
        <v>1494.4</v>
      </c>
      <c r="W22" s="8">
        <v>3661.07</v>
      </c>
      <c r="X22" s="8">
        <f t="shared" si="1"/>
        <v>815.10700000000008</v>
      </c>
      <c r="Y22" s="8">
        <f t="shared" si="2"/>
        <v>1620.05</v>
      </c>
      <c r="AA22">
        <v>7.1999999999999995E-2</v>
      </c>
      <c r="AB22">
        <f>IF(Table1[[#This Row],[DiscountPct]]&gt;0.2,1,0)</f>
        <v>0</v>
      </c>
      <c r="AC22" s="6">
        <v>7</v>
      </c>
      <c r="AD22" s="8">
        <f>Table1[[#This Row],[UnitPrice]]*Table1[[#This Row],[Quantity]]</f>
        <v>25627.49</v>
      </c>
      <c r="AE22" s="8">
        <f>Table1[[#This Row],[UnitCost]]*Table1[[#This Row],[Quantity]]</f>
        <v>10460.800000000001</v>
      </c>
      <c r="AF22" s="8">
        <f>Table1[[#This Row],[GrossRevenue]]-Table1[[#This Row],[CostOfGoods]]</f>
        <v>15166.69</v>
      </c>
      <c r="AG22" s="8">
        <f>IF(Table1[[#This Row],[GrossRevenue]]=0,0,Table1[[#This Row],[GrossProfit]]/Table1[[#This Row],[GrossRevenue]])</f>
        <v>0.59181332233472728</v>
      </c>
    </row>
    <row r="23" spans="1:33" x14ac:dyDescent="0.45">
      <c r="A23" t="s">
        <v>36</v>
      </c>
      <c r="B23">
        <v>1</v>
      </c>
      <c r="C23" s="3">
        <v>45057</v>
      </c>
      <c r="D23" s="6">
        <f>YEAR(Table1[[#This Row],[OrderDate]]) * 100 + MONTH(Table1[[#This Row],[OrderDate]])</f>
        <v>202305</v>
      </c>
      <c r="E23" s="6">
        <f>_xlfn.MINIFS(Table1[OrderMonthKey],Table1[Country],Table1[[#This Row],[Country]])</f>
        <v>202301</v>
      </c>
      <c r="F23" s="6">
        <f>Table1[[#This Row],[CountryFirstMonthKey]]</f>
        <v>202301</v>
      </c>
      <c r="G23" s="6">
        <f>12*(INT(Table1[[#This Row],[OrderMonthKey]]/100)-INT(Table1[[#This Row],[CohortMonthKey]]/100)) + (MOD(Table1[[#This Row],[OrderMonthKey]],100)-MOD(Table1[[#This Row],[CohortMonthKey]],100))</f>
        <v>4</v>
      </c>
      <c r="H23" s="3" t="str">
        <f>TEXT(Table1[[#This Row],[OrderDate]],"MMM-YYYY")</f>
        <v>May-2023</v>
      </c>
      <c r="I23" s="3" t="str">
        <f t="shared" si="0"/>
        <v>Q3-2024</v>
      </c>
      <c r="J23" s="26" t="str">
        <f>IF(Table1[[#This Row],[LeadTimeDays]]&lt;=7,"Yes","No")</f>
        <v>No</v>
      </c>
      <c r="K23" s="6">
        <f>_xlfn.DAYS(Table1[[#This Row],[CorrectedRequiredDate]],Table1[[#This Row],[OrderDate]])</f>
        <v>17</v>
      </c>
      <c r="L23" s="3">
        <f>IF(Table1[[#This Row],[RequiredDate]]&lt;Table1[[#This Row],[OrderDate]],Table1[[#This Row],[OrderDate]],Table1[[#This Row],[RequiredDate]])</f>
        <v>45074</v>
      </c>
      <c r="M23" s="3">
        <v>45074</v>
      </c>
      <c r="N23" t="s">
        <v>647</v>
      </c>
      <c r="O23" t="s">
        <v>659</v>
      </c>
      <c r="P23" t="s">
        <v>676</v>
      </c>
      <c r="Q23" t="s">
        <v>706</v>
      </c>
      <c r="R23" t="s">
        <v>709</v>
      </c>
      <c r="S23" t="s">
        <v>718</v>
      </c>
      <c r="T23" t="s">
        <v>729</v>
      </c>
      <c r="U23" t="s">
        <v>755</v>
      </c>
      <c r="V23" s="8">
        <v>1331.19</v>
      </c>
      <c r="W23" s="8">
        <v>2903.09</v>
      </c>
      <c r="X23" s="8">
        <f t="shared" si="1"/>
        <v>815.10700000000008</v>
      </c>
      <c r="Y23" s="8">
        <f t="shared" si="2"/>
        <v>1620.05</v>
      </c>
      <c r="Z23" s="8" t="str">
        <f>IF(W22 &lt;= X21, "Low",IF(W22 &lt;= Y22, "Medium", "High"))</f>
        <v>High</v>
      </c>
      <c r="AA23">
        <v>0.14299999999999999</v>
      </c>
      <c r="AB23">
        <f>IF(Table1[[#This Row],[DiscountPct]]&gt;0.2,1,0)</f>
        <v>0</v>
      </c>
      <c r="AC23" s="6">
        <v>8</v>
      </c>
      <c r="AD23" s="8">
        <f>Table1[[#This Row],[UnitPrice]]*Table1[[#This Row],[Quantity]]</f>
        <v>23224.720000000001</v>
      </c>
      <c r="AE23" s="8">
        <f>Table1[[#This Row],[UnitCost]]*Table1[[#This Row],[Quantity]]</f>
        <v>10649.52</v>
      </c>
      <c r="AF23" s="8">
        <f>Table1[[#This Row],[GrossRevenue]]-Table1[[#This Row],[CostOfGoods]]</f>
        <v>12575.2</v>
      </c>
      <c r="AG23" s="9">
        <f>IF(Table1[[#This Row],[GrossRevenue]]=0,0,Table1[[#This Row],[GrossProfit]]/Table1[[#This Row],[GrossRevenue]])</f>
        <v>0.5414575504031911</v>
      </c>
    </row>
    <row r="24" spans="1:33" x14ac:dyDescent="0.45">
      <c r="A24" t="s">
        <v>37</v>
      </c>
      <c r="B24">
        <v>1</v>
      </c>
      <c r="C24" s="3">
        <v>45822</v>
      </c>
      <c r="D24" s="6">
        <f>YEAR(Table1[[#This Row],[OrderDate]]) * 100 + MONTH(Table1[[#This Row],[OrderDate]])</f>
        <v>202506</v>
      </c>
      <c r="E24" s="6">
        <f>_xlfn.MINIFS(Table1[OrderMonthKey],Table1[Country],Table1[[#This Row],[Country]])</f>
        <v>202301</v>
      </c>
      <c r="F24" s="6">
        <f>Table1[[#This Row],[CountryFirstMonthKey]]</f>
        <v>202301</v>
      </c>
      <c r="G24" s="6">
        <f>12*(INT(Table1[[#This Row],[OrderMonthKey]]/100)-INT(Table1[[#This Row],[CohortMonthKey]]/100)) + (MOD(Table1[[#This Row],[OrderMonthKey]],100)-MOD(Table1[[#This Row],[CohortMonthKey]],100))</f>
        <v>29</v>
      </c>
      <c r="H24" s="3" t="str">
        <f>TEXT(Table1[[#This Row],[OrderDate]],"MMM-YYYY")</f>
        <v>Jun-2025</v>
      </c>
      <c r="I24" s="3" t="str">
        <f t="shared" si="0"/>
        <v>Q2-2023</v>
      </c>
      <c r="J24" s="26" t="str">
        <f>IF(Table1[[#This Row],[LeadTimeDays]]&lt;=7,"Yes","No")</f>
        <v>No</v>
      </c>
      <c r="K24" s="6">
        <f>_xlfn.DAYS(Table1[[#This Row],[CorrectedRequiredDate]],Table1[[#This Row],[OrderDate]])</f>
        <v>15</v>
      </c>
      <c r="L24" s="3">
        <f>IF(Table1[[#This Row],[RequiredDate]]&lt;Table1[[#This Row],[OrderDate]],Table1[[#This Row],[OrderDate]],Table1[[#This Row],[RequiredDate]])</f>
        <v>45837</v>
      </c>
      <c r="M24" s="3">
        <v>45837</v>
      </c>
      <c r="N24" t="s">
        <v>646</v>
      </c>
      <c r="O24" t="s">
        <v>651</v>
      </c>
      <c r="P24" t="s">
        <v>663</v>
      </c>
      <c r="Q24" t="s">
        <v>704</v>
      </c>
      <c r="R24" t="s">
        <v>709</v>
      </c>
      <c r="S24" t="s">
        <v>724</v>
      </c>
      <c r="T24" t="s">
        <v>733</v>
      </c>
      <c r="U24" t="s">
        <v>756</v>
      </c>
      <c r="V24" s="8">
        <v>730.99</v>
      </c>
      <c r="W24" s="8">
        <v>1242.8399999999999</v>
      </c>
      <c r="X24" s="8">
        <f t="shared" si="1"/>
        <v>815.10700000000008</v>
      </c>
      <c r="Y24" s="8">
        <f t="shared" si="2"/>
        <v>1620.05</v>
      </c>
      <c r="Z24" s="8" t="str">
        <f>IF(W23 &lt;= X22, "Low",IF(W23 &lt;= Y23, "Medium", "High"))</f>
        <v>High</v>
      </c>
      <c r="AA24">
        <v>0.12</v>
      </c>
      <c r="AB24">
        <f>IF(Table1[[#This Row],[DiscountPct]]&gt;0.2,1,0)</f>
        <v>0</v>
      </c>
      <c r="AC24" s="6">
        <v>10</v>
      </c>
      <c r="AD24" s="8">
        <f>Table1[[#This Row],[UnitPrice]]*Table1[[#This Row],[Quantity]]</f>
        <v>12428.4</v>
      </c>
      <c r="AE24" s="8">
        <f>Table1[[#This Row],[UnitCost]]*Table1[[#This Row],[Quantity]]</f>
        <v>7309.9</v>
      </c>
      <c r="AF24" s="8">
        <f>Table1[[#This Row],[GrossRevenue]]-Table1[[#This Row],[CostOfGoods]]</f>
        <v>5118.5</v>
      </c>
      <c r="AG24" s="9">
        <f>IF(Table1[[#This Row],[GrossRevenue]]=0,0,Table1[[#This Row],[GrossProfit]]/Table1[[#This Row],[GrossRevenue]])</f>
        <v>0.41183901387145572</v>
      </c>
    </row>
    <row r="25" spans="1:33" hidden="1" x14ac:dyDescent="0.45">
      <c r="A25" t="s">
        <v>38</v>
      </c>
      <c r="C25" s="3">
        <v>45430</v>
      </c>
      <c r="D25" s="3">
        <f>YEAR(Table1[[#This Row],[OrderDate]]) * 100 + MONTH(Table1[[#This Row],[OrderDate]])</f>
        <v>202405</v>
      </c>
      <c r="E25" s="3">
        <f>_xlfn.MINIFS(Table1[OrderMonthKey],Table1[Country],Table1[[#This Row],[Country]])</f>
        <v>202301</v>
      </c>
      <c r="F25" s="3">
        <f>Table1[[#This Row],[CountryFirstMonthKey]]</f>
        <v>202301</v>
      </c>
      <c r="G25" s="3">
        <f>12*(INT(Table1[[#This Row],[OrderMonthKey]]/100)-INT(Table1[[#This Row],[CohortMonthKey]]/100)) + (MOD(Table1[[#This Row],[OrderMonthKey]],100)-MOD(Table1[[#This Row],[CohortMonthKey]],100))</f>
        <v>16</v>
      </c>
      <c r="H25" s="3" t="str">
        <f>TEXT(Table1[[#This Row],[OrderDate]],"MMM-YYYY")</f>
        <v>May-2024</v>
      </c>
      <c r="I25" s="3" t="str">
        <f t="shared" si="0"/>
        <v>Q2-2025</v>
      </c>
      <c r="J25" s="3" t="str">
        <f>IF(Table1[[#This Row],[LeadTimeDays]]&lt;=7,"Yes","No")</f>
        <v>Yes</v>
      </c>
      <c r="K25" s="3">
        <f>_xlfn.DAYS(Table1[[#This Row],[CorrectedRequiredDate]],Table1[[#This Row],[OrderDate]])</f>
        <v>5</v>
      </c>
      <c r="L25" s="3">
        <f>IF(Table1[[#This Row],[RequiredDate]]&lt;Table1[[#This Row],[OrderDate]],Table1[[#This Row],[OrderDate]],Table1[[#This Row],[RequiredDate]])</f>
        <v>45435</v>
      </c>
      <c r="M25" s="3">
        <v>45435</v>
      </c>
      <c r="N25" t="s">
        <v>648</v>
      </c>
      <c r="O25" t="s">
        <v>660</v>
      </c>
      <c r="P25" t="s">
        <v>677</v>
      </c>
      <c r="Q25" t="s">
        <v>706</v>
      </c>
      <c r="R25" t="s">
        <v>707</v>
      </c>
      <c r="S25" t="s">
        <v>722</v>
      </c>
      <c r="T25" t="s">
        <v>731</v>
      </c>
      <c r="U25" t="s">
        <v>757</v>
      </c>
      <c r="V25" s="8">
        <v>1274.5899999999999</v>
      </c>
      <c r="W25" s="8">
        <v>2553.69</v>
      </c>
      <c r="X25" s="8">
        <f t="shared" si="1"/>
        <v>815.10700000000008</v>
      </c>
      <c r="Y25" s="8">
        <f t="shared" si="2"/>
        <v>1620.05</v>
      </c>
      <c r="AA25">
        <v>0.01</v>
      </c>
      <c r="AB25">
        <f>IF(Table1[[#This Row],[DiscountPct]]&gt;0.2,1,0)</f>
        <v>0</v>
      </c>
      <c r="AC25" s="6">
        <v>8</v>
      </c>
      <c r="AD25" s="8">
        <f>Table1[[#This Row],[UnitPrice]]*Table1[[#This Row],[Quantity]]</f>
        <v>20429.52</v>
      </c>
      <c r="AE25" s="8">
        <f>Table1[[#This Row],[UnitCost]]*Table1[[#This Row],[Quantity]]</f>
        <v>10196.719999999999</v>
      </c>
      <c r="AF25" s="8">
        <f>Table1[[#This Row],[GrossRevenue]]-Table1[[#This Row],[CostOfGoods]]</f>
        <v>10232.800000000001</v>
      </c>
      <c r="AG25" s="8">
        <f>IF(Table1[[#This Row],[GrossRevenue]]=0,0,Table1[[#This Row],[GrossProfit]]/Table1[[#This Row],[GrossRevenue]])</f>
        <v>0.50088303592056993</v>
      </c>
    </row>
    <row r="26" spans="1:33" x14ac:dyDescent="0.45">
      <c r="A26" t="s">
        <v>39</v>
      </c>
      <c r="B26">
        <v>1</v>
      </c>
      <c r="C26" s="3">
        <v>44964</v>
      </c>
      <c r="D26" s="6">
        <f>YEAR(Table1[[#This Row],[OrderDate]]) * 100 + MONTH(Table1[[#This Row],[OrderDate]])</f>
        <v>202302</v>
      </c>
      <c r="E26" s="6">
        <f>_xlfn.MINIFS(Table1[OrderMonthKey],Table1[Country],Table1[[#This Row],[Country]])</f>
        <v>202301</v>
      </c>
      <c r="F26" s="6">
        <f>Table1[[#This Row],[CountryFirstMonthKey]]</f>
        <v>202301</v>
      </c>
      <c r="G26" s="6">
        <f>12*(INT(Table1[[#This Row],[OrderMonthKey]]/100)-INT(Table1[[#This Row],[CohortMonthKey]]/100)) + (MOD(Table1[[#This Row],[OrderMonthKey]],100)-MOD(Table1[[#This Row],[CohortMonthKey]],100))</f>
        <v>1</v>
      </c>
      <c r="H26" s="3" t="str">
        <f>TEXT(Table1[[#This Row],[OrderDate]],"MMM-YYYY")</f>
        <v>Feb-2023</v>
      </c>
      <c r="I26" s="3" t="str">
        <f t="shared" si="0"/>
        <v>Q2-2024</v>
      </c>
      <c r="J26" s="26" t="str">
        <f>IF(Table1[[#This Row],[LeadTimeDays]]&lt;=7,"Yes","No")</f>
        <v>Yes</v>
      </c>
      <c r="K26" s="6">
        <f>_xlfn.DAYS(Table1[[#This Row],[CorrectedRequiredDate]],Table1[[#This Row],[OrderDate]])</f>
        <v>5</v>
      </c>
      <c r="L26" s="3">
        <f>IF(Table1[[#This Row],[RequiredDate]]&lt;Table1[[#This Row],[OrderDate]],Table1[[#This Row],[OrderDate]],Table1[[#This Row],[RequiredDate]])</f>
        <v>44969</v>
      </c>
      <c r="M26" s="3">
        <v>44969</v>
      </c>
      <c r="N26" t="s">
        <v>648</v>
      </c>
      <c r="O26" t="s">
        <v>655</v>
      </c>
      <c r="P26" t="s">
        <v>670</v>
      </c>
      <c r="Q26" t="s">
        <v>702</v>
      </c>
      <c r="R26" t="s">
        <v>708</v>
      </c>
      <c r="S26" t="s">
        <v>725</v>
      </c>
      <c r="T26" t="s">
        <v>727</v>
      </c>
      <c r="U26" t="s">
        <v>758</v>
      </c>
      <c r="V26" s="8">
        <v>948.55</v>
      </c>
      <c r="W26" s="8">
        <v>2089.16</v>
      </c>
      <c r="X26" s="8">
        <f t="shared" si="1"/>
        <v>815.10700000000008</v>
      </c>
      <c r="Y26" s="8">
        <f t="shared" si="2"/>
        <v>1620.05</v>
      </c>
      <c r="Z26" s="8" t="str">
        <f>IF(W25 &lt;= X24, "Low",IF(W25 &lt;= Y25, "Medium", "High"))</f>
        <v>High</v>
      </c>
      <c r="AA26">
        <v>7.0000000000000001E-3</v>
      </c>
      <c r="AB26">
        <f>IF(Table1[[#This Row],[DiscountPct]]&gt;0.2,1,0)</f>
        <v>0</v>
      </c>
      <c r="AC26" s="6">
        <v>12</v>
      </c>
      <c r="AD26" s="8">
        <f>Table1[[#This Row],[UnitPrice]]*Table1[[#This Row],[Quantity]]</f>
        <v>25069.919999999998</v>
      </c>
      <c r="AE26" s="8">
        <f>Table1[[#This Row],[UnitCost]]*Table1[[#This Row],[Quantity]]</f>
        <v>11382.599999999999</v>
      </c>
      <c r="AF26" s="8">
        <f>Table1[[#This Row],[GrossRevenue]]-Table1[[#This Row],[CostOfGoods]]</f>
        <v>13687.32</v>
      </c>
      <c r="AG26" s="9">
        <f>IF(Table1[[#This Row],[GrossRevenue]]=0,0,Table1[[#This Row],[GrossProfit]]/Table1[[#This Row],[GrossRevenue]])</f>
        <v>0.54596584273104987</v>
      </c>
    </row>
    <row r="27" spans="1:33" x14ac:dyDescent="0.45">
      <c r="A27" t="s">
        <v>40</v>
      </c>
      <c r="B27">
        <v>1</v>
      </c>
      <c r="C27" s="3">
        <v>45473</v>
      </c>
      <c r="D27" s="6">
        <f>YEAR(Table1[[#This Row],[OrderDate]]) * 100 + MONTH(Table1[[#This Row],[OrderDate]])</f>
        <v>202406</v>
      </c>
      <c r="E27" s="6">
        <f>_xlfn.MINIFS(Table1[OrderMonthKey],Table1[Country],Table1[[#This Row],[Country]])</f>
        <v>202301</v>
      </c>
      <c r="F27" s="6">
        <f>Table1[[#This Row],[CountryFirstMonthKey]]</f>
        <v>202301</v>
      </c>
      <c r="G27" s="6">
        <f>12*(INT(Table1[[#This Row],[OrderMonthKey]]/100)-INT(Table1[[#This Row],[CohortMonthKey]]/100)) + (MOD(Table1[[#This Row],[OrderMonthKey]],100)-MOD(Table1[[#This Row],[CohortMonthKey]],100))</f>
        <v>17</v>
      </c>
      <c r="H27" s="3" t="str">
        <f>TEXT(Table1[[#This Row],[OrderDate]],"MMM-YYYY")</f>
        <v>Jun-2024</v>
      </c>
      <c r="I27" s="3" t="str">
        <f t="shared" si="0"/>
        <v>Q1-2023</v>
      </c>
      <c r="J27" s="26" t="str">
        <f>IF(Table1[[#This Row],[LeadTimeDays]]&lt;=7,"Yes","No")</f>
        <v>No</v>
      </c>
      <c r="K27" s="6">
        <f>_xlfn.DAYS(Table1[[#This Row],[CorrectedRequiredDate]],Table1[[#This Row],[OrderDate]])</f>
        <v>14</v>
      </c>
      <c r="L27" s="3">
        <f>IF(Table1[[#This Row],[RequiredDate]]&lt;Table1[[#This Row],[OrderDate]],Table1[[#This Row],[OrderDate]],Table1[[#This Row],[RequiredDate]])</f>
        <v>45487</v>
      </c>
      <c r="M27" s="3">
        <v>45487</v>
      </c>
      <c r="N27" t="s">
        <v>648</v>
      </c>
      <c r="O27" t="s">
        <v>655</v>
      </c>
      <c r="P27" t="s">
        <v>672</v>
      </c>
      <c r="Q27" t="s">
        <v>702</v>
      </c>
      <c r="R27" t="s">
        <v>707</v>
      </c>
      <c r="S27" t="s">
        <v>712</v>
      </c>
      <c r="T27" t="s">
        <v>733</v>
      </c>
      <c r="U27" t="s">
        <v>759</v>
      </c>
      <c r="V27" s="8">
        <v>1491.85</v>
      </c>
      <c r="W27" s="8">
        <v>2583.02</v>
      </c>
      <c r="X27" s="8">
        <f t="shared" si="1"/>
        <v>815.10700000000008</v>
      </c>
      <c r="Y27" s="8">
        <f t="shared" si="2"/>
        <v>1620.05</v>
      </c>
      <c r="Z27" s="8" t="str">
        <f>IF(W26 &lt;= X25, "Low",IF(W26 &lt;= Y26, "Medium", "High"))</f>
        <v>High</v>
      </c>
      <c r="AA27">
        <v>0.16800000000000001</v>
      </c>
      <c r="AB27">
        <f>IF(Table1[[#This Row],[DiscountPct]]&gt;0.2,1,0)</f>
        <v>0</v>
      </c>
      <c r="AC27" s="6">
        <v>4</v>
      </c>
      <c r="AD27" s="8">
        <f>Table1[[#This Row],[UnitPrice]]*Table1[[#This Row],[Quantity]]</f>
        <v>10332.08</v>
      </c>
      <c r="AE27" s="8">
        <f>Table1[[#This Row],[UnitCost]]*Table1[[#This Row],[Quantity]]</f>
        <v>5967.4</v>
      </c>
      <c r="AF27" s="8">
        <f>Table1[[#This Row],[GrossRevenue]]-Table1[[#This Row],[CostOfGoods]]</f>
        <v>4364.68</v>
      </c>
      <c r="AG27" s="9">
        <f>IF(Table1[[#This Row],[GrossRevenue]]=0,0,Table1[[#This Row],[GrossProfit]]/Table1[[#This Row],[GrossRevenue]])</f>
        <v>0.42243962493515347</v>
      </c>
    </row>
    <row r="28" spans="1:33" hidden="1" x14ac:dyDescent="0.45">
      <c r="A28" t="s">
        <v>41</v>
      </c>
      <c r="C28" s="3">
        <v>45626</v>
      </c>
      <c r="D28" s="3">
        <f>YEAR(Table1[[#This Row],[OrderDate]]) * 100 + MONTH(Table1[[#This Row],[OrderDate]])</f>
        <v>202411</v>
      </c>
      <c r="E28" s="3">
        <f>_xlfn.MINIFS(Table1[OrderMonthKey],Table1[Country],Table1[[#This Row],[Country]])</f>
        <v>202301</v>
      </c>
      <c r="F28" s="3">
        <f>Table1[[#This Row],[CountryFirstMonthKey]]</f>
        <v>202301</v>
      </c>
      <c r="G28" s="3">
        <f>12*(INT(Table1[[#This Row],[OrderMonthKey]]/100)-INT(Table1[[#This Row],[CohortMonthKey]]/100)) + (MOD(Table1[[#This Row],[OrderMonthKey]],100)-MOD(Table1[[#This Row],[CohortMonthKey]],100))</f>
        <v>22</v>
      </c>
      <c r="H28" s="3" t="str">
        <f>TEXT(Table1[[#This Row],[OrderDate]],"MMM-YYYY")</f>
        <v>Nov-2024</v>
      </c>
      <c r="I28" s="3" t="str">
        <f t="shared" si="0"/>
        <v>Q2-2024</v>
      </c>
      <c r="J28" s="3" t="str">
        <f>IF(Table1[[#This Row],[LeadTimeDays]]&lt;=7,"Yes","No")</f>
        <v>No</v>
      </c>
      <c r="K28" s="3">
        <f>_xlfn.DAYS(Table1[[#This Row],[CorrectedRequiredDate]],Table1[[#This Row],[OrderDate]])</f>
        <v>30</v>
      </c>
      <c r="L28" s="3">
        <f>IF(Table1[[#This Row],[RequiredDate]]&lt;Table1[[#This Row],[OrderDate]],Table1[[#This Row],[OrderDate]],Table1[[#This Row],[RequiredDate]])</f>
        <v>45656</v>
      </c>
      <c r="M28" s="3">
        <v>45656</v>
      </c>
      <c r="N28" t="s">
        <v>649</v>
      </c>
      <c r="O28" t="s">
        <v>657</v>
      </c>
      <c r="P28" t="s">
        <v>673</v>
      </c>
      <c r="Q28" t="s">
        <v>704</v>
      </c>
      <c r="R28" t="s">
        <v>709</v>
      </c>
      <c r="S28" t="s">
        <v>721</v>
      </c>
      <c r="T28" t="s">
        <v>728</v>
      </c>
      <c r="U28" t="s">
        <v>760</v>
      </c>
      <c r="V28" s="8">
        <v>117.64</v>
      </c>
      <c r="W28" s="8">
        <v>175.67</v>
      </c>
      <c r="X28" s="8">
        <f t="shared" si="1"/>
        <v>815.10700000000008</v>
      </c>
      <c r="Y28" s="8">
        <f t="shared" si="2"/>
        <v>1620.05</v>
      </c>
      <c r="AA28">
        <v>0</v>
      </c>
      <c r="AB28">
        <f>IF(Table1[[#This Row],[DiscountPct]]&gt;0.2,1,0)</f>
        <v>0</v>
      </c>
      <c r="AC28" s="6">
        <v>10</v>
      </c>
      <c r="AD28" s="8">
        <f>Table1[[#This Row],[UnitPrice]]*Table1[[#This Row],[Quantity]]</f>
        <v>1756.6999999999998</v>
      </c>
      <c r="AE28" s="8">
        <f>Table1[[#This Row],[UnitCost]]*Table1[[#This Row],[Quantity]]</f>
        <v>1176.4000000000001</v>
      </c>
      <c r="AF28" s="8">
        <f>Table1[[#This Row],[GrossRevenue]]-Table1[[#This Row],[CostOfGoods]]</f>
        <v>580.29999999999973</v>
      </c>
      <c r="AG28" s="8">
        <f>IF(Table1[[#This Row],[GrossRevenue]]=0,0,Table1[[#This Row],[GrossProfit]]/Table1[[#This Row],[GrossRevenue]])</f>
        <v>0.33033528775545046</v>
      </c>
    </row>
    <row r="29" spans="1:33" hidden="1" x14ac:dyDescent="0.45">
      <c r="A29" t="s">
        <v>42</v>
      </c>
      <c r="C29" s="3">
        <v>45492</v>
      </c>
      <c r="D29" s="3">
        <f>YEAR(Table1[[#This Row],[OrderDate]]) * 100 + MONTH(Table1[[#This Row],[OrderDate]])</f>
        <v>202407</v>
      </c>
      <c r="E29" s="3">
        <f>_xlfn.MINIFS(Table1[OrderMonthKey],Table1[Country],Table1[[#This Row],[Country]])</f>
        <v>202301</v>
      </c>
      <c r="F29" s="3">
        <f>Table1[[#This Row],[CountryFirstMonthKey]]</f>
        <v>202301</v>
      </c>
      <c r="G29" s="3">
        <f>12*(INT(Table1[[#This Row],[OrderMonthKey]]/100)-INT(Table1[[#This Row],[CohortMonthKey]]/100)) + (MOD(Table1[[#This Row],[OrderMonthKey]],100)-MOD(Table1[[#This Row],[CohortMonthKey]],100))</f>
        <v>18</v>
      </c>
      <c r="H29" s="3" t="str">
        <f>TEXT(Table1[[#This Row],[OrderDate]],"MMM-YYYY")</f>
        <v>Jul-2024</v>
      </c>
      <c r="I29" s="3" t="str">
        <f t="shared" si="0"/>
        <v>Q4-2024</v>
      </c>
      <c r="J29" s="3" t="str">
        <f>IF(Table1[[#This Row],[LeadTimeDays]]&lt;=7,"Yes","No")</f>
        <v>Yes</v>
      </c>
      <c r="K29" s="3">
        <f>_xlfn.DAYS(Table1[[#This Row],[CorrectedRequiredDate]],Table1[[#This Row],[OrderDate]])</f>
        <v>0</v>
      </c>
      <c r="L29" s="3">
        <f>IF(Table1[[#This Row],[RequiredDate]]&lt;Table1[[#This Row],[OrderDate]],Table1[[#This Row],[OrderDate]],Table1[[#This Row],[RequiredDate]])</f>
        <v>45492</v>
      </c>
      <c r="M29" s="3">
        <v>45492</v>
      </c>
      <c r="N29" t="s">
        <v>646</v>
      </c>
      <c r="O29" t="s">
        <v>650</v>
      </c>
      <c r="P29" t="s">
        <v>662</v>
      </c>
      <c r="Q29" t="s">
        <v>705</v>
      </c>
      <c r="R29" t="s">
        <v>707</v>
      </c>
      <c r="S29" t="s">
        <v>720</v>
      </c>
      <c r="T29" t="s">
        <v>730</v>
      </c>
      <c r="U29" t="s">
        <v>761</v>
      </c>
      <c r="V29" s="8">
        <v>857.24</v>
      </c>
      <c r="W29" s="8">
        <v>758.23</v>
      </c>
      <c r="X29" s="8">
        <f t="shared" si="1"/>
        <v>815.10700000000008</v>
      </c>
      <c r="Y29" s="8">
        <f t="shared" si="2"/>
        <v>1620.05</v>
      </c>
      <c r="AA29">
        <v>0.125</v>
      </c>
      <c r="AB29">
        <f>IF(Table1[[#This Row],[DiscountPct]]&gt;0.2,1,0)</f>
        <v>0</v>
      </c>
      <c r="AC29" s="6">
        <v>6</v>
      </c>
      <c r="AD29" s="8">
        <f>Table1[[#This Row],[UnitPrice]]*Table1[[#This Row],[Quantity]]</f>
        <v>4549.38</v>
      </c>
      <c r="AE29" s="8">
        <f>Table1[[#This Row],[UnitCost]]*Table1[[#This Row],[Quantity]]</f>
        <v>5143.4400000000005</v>
      </c>
      <c r="AF29" s="8">
        <f>Table1[[#This Row],[GrossRevenue]]-Table1[[#This Row],[CostOfGoods]]</f>
        <v>-594.0600000000004</v>
      </c>
      <c r="AG29" s="8">
        <f>IF(Table1[[#This Row],[GrossRevenue]]=0,0,Table1[[#This Row],[GrossProfit]]/Table1[[#This Row],[GrossRevenue]])</f>
        <v>-0.13058043074001302</v>
      </c>
    </row>
    <row r="30" spans="1:33" hidden="1" x14ac:dyDescent="0.45">
      <c r="A30" t="s">
        <v>43</v>
      </c>
      <c r="C30" s="3">
        <v>45030</v>
      </c>
      <c r="D30" s="3">
        <f>YEAR(Table1[[#This Row],[OrderDate]]) * 100 + MONTH(Table1[[#This Row],[OrderDate]])</f>
        <v>202304</v>
      </c>
      <c r="E30" s="3">
        <f>_xlfn.MINIFS(Table1[OrderMonthKey],Table1[Country],Table1[[#This Row],[Country]])</f>
        <v>202301</v>
      </c>
      <c r="F30" s="3">
        <f>Table1[[#This Row],[CountryFirstMonthKey]]</f>
        <v>202301</v>
      </c>
      <c r="G30" s="3">
        <f>12*(INT(Table1[[#This Row],[OrderMonthKey]]/100)-INT(Table1[[#This Row],[CohortMonthKey]]/100)) + (MOD(Table1[[#This Row],[OrderMonthKey]],100)-MOD(Table1[[#This Row],[CohortMonthKey]],100))</f>
        <v>3</v>
      </c>
      <c r="H30" s="3" t="str">
        <f>TEXT(Table1[[#This Row],[OrderDate]],"MMM-YYYY")</f>
        <v>Apr-2023</v>
      </c>
      <c r="I30" s="3" t="str">
        <f t="shared" si="0"/>
        <v>Q3-2024</v>
      </c>
      <c r="J30" s="3" t="str">
        <f>IF(Table1[[#This Row],[LeadTimeDays]]&lt;=7,"Yes","No")</f>
        <v>No</v>
      </c>
      <c r="K30" s="3">
        <f>_xlfn.DAYS(Table1[[#This Row],[CorrectedRequiredDate]],Table1[[#This Row],[OrderDate]])</f>
        <v>30</v>
      </c>
      <c r="L30" s="3">
        <f>IF(Table1[[#This Row],[RequiredDate]]&lt;Table1[[#This Row],[OrderDate]],Table1[[#This Row],[OrderDate]],Table1[[#This Row],[RequiredDate]])</f>
        <v>45060</v>
      </c>
      <c r="M30" s="3">
        <v>45060</v>
      </c>
      <c r="N30" t="s">
        <v>646</v>
      </c>
      <c r="O30" t="s">
        <v>650</v>
      </c>
      <c r="P30" t="s">
        <v>678</v>
      </c>
      <c r="Q30" t="s">
        <v>704</v>
      </c>
      <c r="R30" t="s">
        <v>709</v>
      </c>
      <c r="S30" t="s">
        <v>724</v>
      </c>
      <c r="T30" t="s">
        <v>730</v>
      </c>
      <c r="U30" t="s">
        <v>762</v>
      </c>
      <c r="V30" s="8">
        <v>209.25</v>
      </c>
      <c r="W30" s="8">
        <v>434.8</v>
      </c>
      <c r="X30" s="8">
        <f t="shared" si="1"/>
        <v>815.10700000000008</v>
      </c>
      <c r="Y30" s="8">
        <f t="shared" si="2"/>
        <v>1620.05</v>
      </c>
      <c r="AA30">
        <v>0</v>
      </c>
      <c r="AB30">
        <f>IF(Table1[[#This Row],[DiscountPct]]&gt;0.2,1,0)</f>
        <v>0</v>
      </c>
      <c r="AC30" s="6">
        <v>9</v>
      </c>
      <c r="AD30" s="8">
        <f>Table1[[#This Row],[UnitPrice]]*Table1[[#This Row],[Quantity]]</f>
        <v>3913.2000000000003</v>
      </c>
      <c r="AE30" s="8">
        <f>Table1[[#This Row],[UnitCost]]*Table1[[#This Row],[Quantity]]</f>
        <v>1883.25</v>
      </c>
      <c r="AF30" s="8">
        <f>Table1[[#This Row],[GrossRevenue]]-Table1[[#This Row],[CostOfGoods]]</f>
        <v>2029.9500000000003</v>
      </c>
      <c r="AG30" s="8">
        <f>IF(Table1[[#This Row],[GrossRevenue]]=0,0,Table1[[#This Row],[GrossProfit]]/Table1[[#This Row],[GrossRevenue]])</f>
        <v>0.51874425022999082</v>
      </c>
    </row>
    <row r="31" spans="1:33" hidden="1" x14ac:dyDescent="0.45">
      <c r="A31" t="s">
        <v>44</v>
      </c>
      <c r="C31" s="3">
        <v>45754</v>
      </c>
      <c r="D31" s="3">
        <f>YEAR(Table1[[#This Row],[OrderDate]]) * 100 + MONTH(Table1[[#This Row],[OrderDate]])</f>
        <v>202504</v>
      </c>
      <c r="E31" s="3">
        <f>_xlfn.MINIFS(Table1[OrderMonthKey],Table1[Country],Table1[[#This Row],[Country]])</f>
        <v>202301</v>
      </c>
      <c r="F31" s="3">
        <f>Table1[[#This Row],[CountryFirstMonthKey]]</f>
        <v>202301</v>
      </c>
      <c r="G31" s="3">
        <f>12*(INT(Table1[[#This Row],[OrderMonthKey]]/100)-INT(Table1[[#This Row],[CohortMonthKey]]/100)) + (MOD(Table1[[#This Row],[OrderMonthKey]],100)-MOD(Table1[[#This Row],[CohortMonthKey]],100))</f>
        <v>27</v>
      </c>
      <c r="H31" s="3" t="str">
        <f>TEXT(Table1[[#This Row],[OrderDate]],"MMM-YYYY")</f>
        <v>Apr-2025</v>
      </c>
      <c r="I31" s="3" t="str">
        <f t="shared" si="0"/>
        <v>Q2-2023</v>
      </c>
      <c r="J31" s="3" t="str">
        <f>IF(Table1[[#This Row],[LeadTimeDays]]&lt;=7,"Yes","No")</f>
        <v>Yes</v>
      </c>
      <c r="K31" s="3">
        <f>_xlfn.DAYS(Table1[[#This Row],[CorrectedRequiredDate]],Table1[[#This Row],[OrderDate]])</f>
        <v>4</v>
      </c>
      <c r="L31" s="3">
        <f>IF(Table1[[#This Row],[RequiredDate]]&lt;Table1[[#This Row],[OrderDate]],Table1[[#This Row],[OrderDate]],Table1[[#This Row],[RequiredDate]])</f>
        <v>45758</v>
      </c>
      <c r="M31" s="3">
        <v>45758</v>
      </c>
      <c r="N31" t="s">
        <v>649</v>
      </c>
      <c r="O31" t="s">
        <v>657</v>
      </c>
      <c r="P31" t="s">
        <v>679</v>
      </c>
      <c r="Q31" t="s">
        <v>702</v>
      </c>
      <c r="R31" t="s">
        <v>707</v>
      </c>
      <c r="S31" t="s">
        <v>718</v>
      </c>
      <c r="T31" t="s">
        <v>729</v>
      </c>
      <c r="U31" t="s">
        <v>763</v>
      </c>
      <c r="V31" s="8">
        <v>754.77</v>
      </c>
      <c r="W31" s="8">
        <v>1666.18</v>
      </c>
      <c r="X31" s="8">
        <f t="shared" si="1"/>
        <v>815.10700000000008</v>
      </c>
      <c r="Y31" s="8">
        <f t="shared" si="2"/>
        <v>1620.05</v>
      </c>
      <c r="AA31">
        <v>0.13900000000000001</v>
      </c>
      <c r="AB31">
        <f>IF(Table1[[#This Row],[DiscountPct]]&gt;0.2,1,0)</f>
        <v>0</v>
      </c>
      <c r="AC31" s="6">
        <v>14</v>
      </c>
      <c r="AD31" s="8">
        <f>Table1[[#This Row],[UnitPrice]]*Table1[[#This Row],[Quantity]]</f>
        <v>23326.52</v>
      </c>
      <c r="AE31" s="8">
        <f>Table1[[#This Row],[UnitCost]]*Table1[[#This Row],[Quantity]]</f>
        <v>10566.779999999999</v>
      </c>
      <c r="AF31" s="8">
        <f>Table1[[#This Row],[GrossRevenue]]-Table1[[#This Row],[CostOfGoods]]</f>
        <v>12759.740000000002</v>
      </c>
      <c r="AG31" s="8">
        <f>IF(Table1[[#This Row],[GrossRevenue]]=0,0,Table1[[#This Row],[GrossProfit]]/Table1[[#This Row],[GrossRevenue]])</f>
        <v>0.5470057256718962</v>
      </c>
    </row>
    <row r="32" spans="1:33" x14ac:dyDescent="0.45">
      <c r="A32" t="s">
        <v>45</v>
      </c>
      <c r="B32">
        <v>1</v>
      </c>
      <c r="C32" s="3">
        <v>45653</v>
      </c>
      <c r="D32" s="6">
        <f>YEAR(Table1[[#This Row],[OrderDate]]) * 100 + MONTH(Table1[[#This Row],[OrderDate]])</f>
        <v>202412</v>
      </c>
      <c r="E32" s="6">
        <f>_xlfn.MINIFS(Table1[OrderMonthKey],Table1[Country],Table1[[#This Row],[Country]])</f>
        <v>202302</v>
      </c>
      <c r="F32" s="6">
        <f>Table1[[#This Row],[CountryFirstMonthKey]]</f>
        <v>202302</v>
      </c>
      <c r="G32" s="6">
        <f>12*(INT(Table1[[#This Row],[OrderMonthKey]]/100)-INT(Table1[[#This Row],[CohortMonthKey]]/100)) + (MOD(Table1[[#This Row],[OrderMonthKey]],100)-MOD(Table1[[#This Row],[CohortMonthKey]],100))</f>
        <v>22</v>
      </c>
      <c r="H32" s="3" t="str">
        <f>TEXT(Table1[[#This Row],[OrderDate]],"MMM-YYYY")</f>
        <v>Dec-2024</v>
      </c>
      <c r="I32" s="3" t="str">
        <f t="shared" si="0"/>
        <v>Q2-2025</v>
      </c>
      <c r="J32" s="26" t="str">
        <f>IF(Table1[[#This Row],[LeadTimeDays]]&lt;=7,"Yes","No")</f>
        <v>No</v>
      </c>
      <c r="K32" s="6">
        <f>_xlfn.DAYS(Table1[[#This Row],[CorrectedRequiredDate]],Table1[[#This Row],[OrderDate]])</f>
        <v>19</v>
      </c>
      <c r="L32" s="3">
        <f>IF(Table1[[#This Row],[RequiredDate]]&lt;Table1[[#This Row],[OrderDate]],Table1[[#This Row],[OrderDate]],Table1[[#This Row],[RequiredDate]])</f>
        <v>45672</v>
      </c>
      <c r="M32" s="3">
        <v>45672</v>
      </c>
      <c r="N32" t="s">
        <v>647</v>
      </c>
      <c r="O32" t="s">
        <v>654</v>
      </c>
      <c r="P32" t="s">
        <v>680</v>
      </c>
      <c r="Q32" t="s">
        <v>703</v>
      </c>
      <c r="R32" t="s">
        <v>710</v>
      </c>
      <c r="S32" t="s">
        <v>715</v>
      </c>
      <c r="T32" t="s">
        <v>727</v>
      </c>
      <c r="U32" t="s">
        <v>764</v>
      </c>
      <c r="V32" s="8">
        <v>495.59</v>
      </c>
      <c r="W32" s="8">
        <v>631.78</v>
      </c>
      <c r="X32" s="8">
        <f t="shared" si="1"/>
        <v>815.10700000000008</v>
      </c>
      <c r="Y32" s="8">
        <f t="shared" si="2"/>
        <v>1620.05</v>
      </c>
      <c r="Z32" s="8" t="str">
        <f>IF(W31 &lt;= X30, "Low",IF(W31 &lt;= Y31, "Medium", "High"))</f>
        <v>High</v>
      </c>
      <c r="AA32">
        <v>8.6999999999999994E-2</v>
      </c>
      <c r="AB32">
        <f>IF(Table1[[#This Row],[DiscountPct]]&gt;0.2,1,0)</f>
        <v>0</v>
      </c>
      <c r="AC32" s="6">
        <v>17</v>
      </c>
      <c r="AD32" s="8">
        <f>Table1[[#This Row],[UnitPrice]]*Table1[[#This Row],[Quantity]]</f>
        <v>10740.26</v>
      </c>
      <c r="AE32" s="8">
        <f>Table1[[#This Row],[UnitCost]]*Table1[[#This Row],[Quantity]]</f>
        <v>8425.0299999999988</v>
      </c>
      <c r="AF32" s="8">
        <f>Table1[[#This Row],[GrossRevenue]]-Table1[[#This Row],[CostOfGoods]]</f>
        <v>2315.2300000000014</v>
      </c>
      <c r="AG32" s="9">
        <f>IF(Table1[[#This Row],[GrossRevenue]]=0,0,Table1[[#This Row],[GrossProfit]]/Table1[[#This Row],[GrossRevenue]])</f>
        <v>0.21556554496818525</v>
      </c>
    </row>
    <row r="33" spans="1:33" x14ac:dyDescent="0.45">
      <c r="A33" t="s">
        <v>46</v>
      </c>
      <c r="B33">
        <v>1</v>
      </c>
      <c r="C33" s="3">
        <v>44980</v>
      </c>
      <c r="D33" s="6">
        <f>YEAR(Table1[[#This Row],[OrderDate]]) * 100 + MONTH(Table1[[#This Row],[OrderDate]])</f>
        <v>202302</v>
      </c>
      <c r="E33" s="6">
        <f>_xlfn.MINIFS(Table1[OrderMonthKey],Table1[Country],Table1[[#This Row],[Country]])</f>
        <v>202301</v>
      </c>
      <c r="F33" s="6">
        <f>Table1[[#This Row],[CountryFirstMonthKey]]</f>
        <v>202301</v>
      </c>
      <c r="G33" s="6">
        <f>12*(INT(Table1[[#This Row],[OrderMonthKey]]/100)-INT(Table1[[#This Row],[CohortMonthKey]]/100)) + (MOD(Table1[[#This Row],[OrderMonthKey]],100)-MOD(Table1[[#This Row],[CohortMonthKey]],100))</f>
        <v>1</v>
      </c>
      <c r="H33" s="3" t="str">
        <f>TEXT(Table1[[#This Row],[OrderDate]],"MMM-YYYY")</f>
        <v>Feb-2023</v>
      </c>
      <c r="I33" s="3" t="str">
        <f t="shared" si="0"/>
        <v>Q4-2024</v>
      </c>
      <c r="J33" s="26" t="str">
        <f>IF(Table1[[#This Row],[LeadTimeDays]]&lt;=7,"Yes","No")</f>
        <v>No</v>
      </c>
      <c r="K33" s="6">
        <f>_xlfn.DAYS(Table1[[#This Row],[CorrectedRequiredDate]],Table1[[#This Row],[OrderDate]])</f>
        <v>30</v>
      </c>
      <c r="L33" s="3">
        <f>IF(Table1[[#This Row],[RequiredDate]]&lt;Table1[[#This Row],[OrderDate]],Table1[[#This Row],[OrderDate]],Table1[[#This Row],[RequiredDate]])</f>
        <v>45010</v>
      </c>
      <c r="M33" s="3">
        <v>45010</v>
      </c>
      <c r="N33" t="s">
        <v>648</v>
      </c>
      <c r="O33" t="s">
        <v>653</v>
      </c>
      <c r="P33" t="s">
        <v>681</v>
      </c>
      <c r="Q33" t="s">
        <v>706</v>
      </c>
      <c r="R33" t="s">
        <v>708</v>
      </c>
      <c r="S33" t="s">
        <v>726</v>
      </c>
      <c r="T33" t="s">
        <v>730</v>
      </c>
      <c r="U33" t="s">
        <v>765</v>
      </c>
      <c r="V33" s="8">
        <v>1242.6600000000001</v>
      </c>
      <c r="W33" s="8">
        <v>1794.07</v>
      </c>
      <c r="X33" s="8">
        <f t="shared" si="1"/>
        <v>815.10700000000008</v>
      </c>
      <c r="Y33" s="8">
        <f t="shared" si="2"/>
        <v>1620.05</v>
      </c>
      <c r="Z33" s="8" t="str">
        <f>IF(W32 &lt;= X31, "Low",IF(W32 &lt;= Y32, "Medium", "High"))</f>
        <v>Low</v>
      </c>
      <c r="AA33">
        <v>8.8999999999999996E-2</v>
      </c>
      <c r="AB33">
        <f>IF(Table1[[#This Row],[DiscountPct]]&gt;0.2,1,0)</f>
        <v>0</v>
      </c>
      <c r="AC33" s="6">
        <v>16</v>
      </c>
      <c r="AD33" s="8">
        <f>Table1[[#This Row],[UnitPrice]]*Table1[[#This Row],[Quantity]]</f>
        <v>28705.119999999999</v>
      </c>
      <c r="AE33" s="8">
        <f>Table1[[#This Row],[UnitCost]]*Table1[[#This Row],[Quantity]]</f>
        <v>19882.560000000001</v>
      </c>
      <c r="AF33" s="8">
        <f>Table1[[#This Row],[GrossRevenue]]-Table1[[#This Row],[CostOfGoods]]</f>
        <v>8822.5599999999977</v>
      </c>
      <c r="AG33" s="9">
        <f>IF(Table1[[#This Row],[GrossRevenue]]=0,0,Table1[[#This Row],[GrossProfit]]/Table1[[#This Row],[GrossRevenue]])</f>
        <v>0.30735144113663337</v>
      </c>
    </row>
    <row r="34" spans="1:33" hidden="1" x14ac:dyDescent="0.45">
      <c r="A34" t="s">
        <v>47</v>
      </c>
      <c r="C34" s="3">
        <v>45862</v>
      </c>
      <c r="D34" s="3">
        <f>YEAR(Table1[[#This Row],[OrderDate]]) * 100 + MONTH(Table1[[#This Row],[OrderDate]])</f>
        <v>202507</v>
      </c>
      <c r="E34" s="3">
        <f>_xlfn.MINIFS(Table1[OrderMonthKey],Table1[Country],Table1[[#This Row],[Country]])</f>
        <v>202301</v>
      </c>
      <c r="F34" s="3">
        <f>Table1[[#This Row],[CountryFirstMonthKey]]</f>
        <v>202301</v>
      </c>
      <c r="G34" s="3">
        <f>12*(INT(Table1[[#This Row],[OrderMonthKey]]/100)-INT(Table1[[#This Row],[CohortMonthKey]]/100)) + (MOD(Table1[[#This Row],[OrderMonthKey]],100)-MOD(Table1[[#This Row],[CohortMonthKey]],100))</f>
        <v>30</v>
      </c>
      <c r="H34" s="3" t="str">
        <f>TEXT(Table1[[#This Row],[OrderDate]],"MMM-YYYY")</f>
        <v>Jul-2025</v>
      </c>
      <c r="I34" s="3" t="str">
        <f t="shared" si="0"/>
        <v>Q1-2023</v>
      </c>
      <c r="J34" s="3" t="str">
        <f>IF(Table1[[#This Row],[LeadTimeDays]]&lt;=7,"Yes","No")</f>
        <v>No</v>
      </c>
      <c r="K34" s="3">
        <f>_xlfn.DAYS(Table1[[#This Row],[CorrectedRequiredDate]],Table1[[#This Row],[OrderDate]])</f>
        <v>13</v>
      </c>
      <c r="L34" s="3">
        <f>IF(Table1[[#This Row],[RequiredDate]]&lt;Table1[[#This Row],[OrderDate]],Table1[[#This Row],[OrderDate]],Table1[[#This Row],[RequiredDate]])</f>
        <v>45875</v>
      </c>
      <c r="M34" s="3">
        <v>45875</v>
      </c>
      <c r="N34" t="s">
        <v>646</v>
      </c>
      <c r="O34" t="s">
        <v>661</v>
      </c>
      <c r="P34" t="s">
        <v>682</v>
      </c>
      <c r="Q34" t="s">
        <v>702</v>
      </c>
      <c r="R34" t="s">
        <v>709</v>
      </c>
      <c r="S34" t="s">
        <v>726</v>
      </c>
      <c r="T34" t="s">
        <v>729</v>
      </c>
      <c r="U34" t="s">
        <v>766</v>
      </c>
      <c r="V34" s="8">
        <v>1463.9</v>
      </c>
      <c r="W34" s="8">
        <v>2633.02</v>
      </c>
      <c r="X34" s="8">
        <f t="shared" si="1"/>
        <v>815.10700000000008</v>
      </c>
      <c r="Y34" s="8">
        <f t="shared" si="2"/>
        <v>1620.05</v>
      </c>
      <c r="AA34">
        <v>8.4000000000000005E-2</v>
      </c>
      <c r="AB34">
        <f>IF(Table1[[#This Row],[DiscountPct]]&gt;0.2,1,0)</f>
        <v>0</v>
      </c>
      <c r="AC34" s="6">
        <v>4</v>
      </c>
      <c r="AD34" s="8">
        <f>Table1[[#This Row],[UnitPrice]]*Table1[[#This Row],[Quantity]]</f>
        <v>10532.08</v>
      </c>
      <c r="AE34" s="8">
        <f>Table1[[#This Row],[UnitCost]]*Table1[[#This Row],[Quantity]]</f>
        <v>5855.6</v>
      </c>
      <c r="AF34" s="8">
        <f>Table1[[#This Row],[GrossRevenue]]-Table1[[#This Row],[CostOfGoods]]</f>
        <v>4676.4799999999996</v>
      </c>
      <c r="AG34" s="8">
        <f>IF(Table1[[#This Row],[GrossRevenue]]=0,0,Table1[[#This Row],[GrossProfit]]/Table1[[#This Row],[GrossRevenue]])</f>
        <v>0.44402245330457035</v>
      </c>
    </row>
    <row r="35" spans="1:33" x14ac:dyDescent="0.45">
      <c r="A35" t="s">
        <v>48</v>
      </c>
      <c r="B35">
        <v>1</v>
      </c>
      <c r="C35" s="3">
        <v>45400</v>
      </c>
      <c r="D35" s="6">
        <f>YEAR(Table1[[#This Row],[OrderDate]]) * 100 + MONTH(Table1[[#This Row],[OrderDate]])</f>
        <v>202404</v>
      </c>
      <c r="E35" s="6">
        <f>_xlfn.MINIFS(Table1[OrderMonthKey],Table1[Country],Table1[[#This Row],[Country]])</f>
        <v>202301</v>
      </c>
      <c r="F35" s="6">
        <f>Table1[[#This Row],[CountryFirstMonthKey]]</f>
        <v>202301</v>
      </c>
      <c r="G35" s="6">
        <f>12*(INT(Table1[[#This Row],[OrderMonthKey]]/100)-INT(Table1[[#This Row],[CohortMonthKey]]/100)) + (MOD(Table1[[#This Row],[OrderMonthKey]],100)-MOD(Table1[[#This Row],[CohortMonthKey]],100))</f>
        <v>15</v>
      </c>
      <c r="H35" s="3" t="str">
        <f>TEXT(Table1[[#This Row],[OrderDate]],"MMM-YYYY")</f>
        <v>Apr-2024</v>
      </c>
      <c r="I35" s="3" t="str">
        <f t="shared" si="0"/>
        <v>Q3-2025</v>
      </c>
      <c r="J35" s="26" t="str">
        <f>IF(Table1[[#This Row],[LeadTimeDays]]&lt;=7,"Yes","No")</f>
        <v>No</v>
      </c>
      <c r="K35" s="6">
        <f>_xlfn.DAYS(Table1[[#This Row],[CorrectedRequiredDate]],Table1[[#This Row],[OrderDate]])</f>
        <v>20</v>
      </c>
      <c r="L35" s="3">
        <f>IF(Table1[[#This Row],[RequiredDate]]&lt;Table1[[#This Row],[OrderDate]],Table1[[#This Row],[OrderDate]],Table1[[#This Row],[RequiredDate]])</f>
        <v>45420</v>
      </c>
      <c r="M35" s="3">
        <v>45420</v>
      </c>
      <c r="N35" t="s">
        <v>649</v>
      </c>
      <c r="O35" t="s">
        <v>658</v>
      </c>
      <c r="P35" t="s">
        <v>683</v>
      </c>
      <c r="Q35" t="s">
        <v>703</v>
      </c>
      <c r="R35" t="s">
        <v>708</v>
      </c>
      <c r="S35" t="s">
        <v>726</v>
      </c>
      <c r="T35" t="s">
        <v>731</v>
      </c>
      <c r="U35" t="s">
        <v>767</v>
      </c>
      <c r="V35" s="8">
        <v>645.33000000000004</v>
      </c>
      <c r="W35" s="8">
        <v>1321.85</v>
      </c>
      <c r="X35" s="8">
        <f t="shared" si="1"/>
        <v>815.10700000000008</v>
      </c>
      <c r="Y35" s="8">
        <f t="shared" si="2"/>
        <v>1620.05</v>
      </c>
      <c r="Z35" s="8" t="str">
        <f>IF(W34 &lt;= X33, "Low",IF(W34 &lt;= Y34, "Medium", "High"))</f>
        <v>High</v>
      </c>
      <c r="AA35">
        <v>0</v>
      </c>
      <c r="AB35">
        <f>IF(Table1[[#This Row],[DiscountPct]]&gt;0.2,1,0)</f>
        <v>0</v>
      </c>
      <c r="AC35" s="6">
        <v>10</v>
      </c>
      <c r="AD35" s="8">
        <f>Table1[[#This Row],[UnitPrice]]*Table1[[#This Row],[Quantity]]</f>
        <v>13218.5</v>
      </c>
      <c r="AE35" s="8">
        <f>Table1[[#This Row],[UnitCost]]*Table1[[#This Row],[Quantity]]</f>
        <v>6453.3</v>
      </c>
      <c r="AF35" s="8">
        <f>Table1[[#This Row],[GrossRevenue]]-Table1[[#This Row],[CostOfGoods]]</f>
        <v>6765.2</v>
      </c>
      <c r="AG35" s="9">
        <f>IF(Table1[[#This Row],[GrossRevenue]]=0,0,Table1[[#This Row],[GrossProfit]]/Table1[[#This Row],[GrossRevenue]])</f>
        <v>0.51179785906116426</v>
      </c>
    </row>
    <row r="36" spans="1:33" hidden="1" x14ac:dyDescent="0.45">
      <c r="A36" t="s">
        <v>49</v>
      </c>
      <c r="C36" s="3">
        <v>45527</v>
      </c>
      <c r="D36" s="3">
        <f>YEAR(Table1[[#This Row],[OrderDate]]) * 100 + MONTH(Table1[[#This Row],[OrderDate]])</f>
        <v>202408</v>
      </c>
      <c r="E36" s="3">
        <f>_xlfn.MINIFS(Table1[OrderMonthKey],Table1[Country],Table1[[#This Row],[Country]])</f>
        <v>202301</v>
      </c>
      <c r="F36" s="3">
        <f>Table1[[#This Row],[CountryFirstMonthKey]]</f>
        <v>202301</v>
      </c>
      <c r="G36" s="3">
        <f>12*(INT(Table1[[#This Row],[OrderMonthKey]]/100)-INT(Table1[[#This Row],[CohortMonthKey]]/100)) + (MOD(Table1[[#This Row],[OrderMonthKey]],100)-MOD(Table1[[#This Row],[CohortMonthKey]],100))</f>
        <v>19</v>
      </c>
      <c r="H36" s="3" t="str">
        <f>TEXT(Table1[[#This Row],[OrderDate]],"MMM-YYYY")</f>
        <v>Aug-2024</v>
      </c>
      <c r="I36" s="3" t="str">
        <f t="shared" si="0"/>
        <v>Q2-2024</v>
      </c>
      <c r="J36" s="3" t="str">
        <f>IF(Table1[[#This Row],[LeadTimeDays]]&lt;=7,"Yes","No")</f>
        <v>Yes</v>
      </c>
      <c r="K36" s="3">
        <f>_xlfn.DAYS(Table1[[#This Row],[CorrectedRequiredDate]],Table1[[#This Row],[OrderDate]])</f>
        <v>0</v>
      </c>
      <c r="L36" s="3">
        <f>IF(Table1[[#This Row],[RequiredDate]]&lt;Table1[[#This Row],[OrderDate]],Table1[[#This Row],[OrderDate]],Table1[[#This Row],[RequiredDate]])</f>
        <v>45527</v>
      </c>
      <c r="M36" s="3">
        <v>45525</v>
      </c>
      <c r="N36" t="s">
        <v>646</v>
      </c>
      <c r="O36" t="s">
        <v>661</v>
      </c>
      <c r="P36" t="s">
        <v>682</v>
      </c>
      <c r="Q36" t="s">
        <v>702</v>
      </c>
      <c r="R36" t="s">
        <v>707</v>
      </c>
      <c r="S36" t="s">
        <v>718</v>
      </c>
      <c r="T36" t="s">
        <v>727</v>
      </c>
      <c r="U36" t="s">
        <v>768</v>
      </c>
      <c r="V36" s="8">
        <v>1432.52</v>
      </c>
      <c r="W36" s="8">
        <v>3036.87</v>
      </c>
      <c r="X36" s="8">
        <f t="shared" si="1"/>
        <v>815.10700000000008</v>
      </c>
      <c r="Y36" s="8">
        <f t="shared" si="2"/>
        <v>1620.05</v>
      </c>
      <c r="AA36">
        <v>0</v>
      </c>
      <c r="AB36">
        <f>IF(Table1[[#This Row],[DiscountPct]]&gt;0.2,1,0)</f>
        <v>0</v>
      </c>
      <c r="AC36" s="6">
        <v>9</v>
      </c>
      <c r="AD36" s="8">
        <f>Table1[[#This Row],[UnitPrice]]*Table1[[#This Row],[Quantity]]</f>
        <v>27331.829999999998</v>
      </c>
      <c r="AE36" s="8">
        <f>Table1[[#This Row],[UnitCost]]*Table1[[#This Row],[Quantity]]</f>
        <v>12892.68</v>
      </c>
      <c r="AF36" s="8">
        <f>Table1[[#This Row],[GrossRevenue]]-Table1[[#This Row],[CostOfGoods]]</f>
        <v>14439.149999999998</v>
      </c>
      <c r="AG36" s="8">
        <f>IF(Table1[[#This Row],[GrossRevenue]]=0,0,Table1[[#This Row],[GrossProfit]]/Table1[[#This Row],[GrossRevenue]])</f>
        <v>0.52829064135112791</v>
      </c>
    </row>
    <row r="37" spans="1:33" x14ac:dyDescent="0.45">
      <c r="A37" t="s">
        <v>50</v>
      </c>
      <c r="B37">
        <v>1</v>
      </c>
      <c r="C37" s="3">
        <v>45012</v>
      </c>
      <c r="D37" s="6">
        <f>YEAR(Table1[[#This Row],[OrderDate]]) * 100 + MONTH(Table1[[#This Row],[OrderDate]])</f>
        <v>202303</v>
      </c>
      <c r="E37" s="6">
        <f>_xlfn.MINIFS(Table1[OrderMonthKey],Table1[Country],Table1[[#This Row],[Country]])</f>
        <v>202302</v>
      </c>
      <c r="F37" s="6">
        <f>Table1[[#This Row],[CountryFirstMonthKey]]</f>
        <v>202302</v>
      </c>
      <c r="G37" s="6">
        <f>12*(INT(Table1[[#This Row],[OrderMonthKey]]/100)-INT(Table1[[#This Row],[CohortMonthKey]]/100)) + (MOD(Table1[[#This Row],[OrderMonthKey]],100)-MOD(Table1[[#This Row],[CohortMonthKey]],100))</f>
        <v>1</v>
      </c>
      <c r="H37" s="3" t="str">
        <f>TEXT(Table1[[#This Row],[OrderDate]],"MMM-YYYY")</f>
        <v>Mar-2023</v>
      </c>
      <c r="I37" s="3" t="str">
        <f t="shared" si="0"/>
        <v>Q3-2024</v>
      </c>
      <c r="J37" s="26" t="str">
        <f>IF(Table1[[#This Row],[LeadTimeDays]]&lt;=7,"Yes","No")</f>
        <v>No</v>
      </c>
      <c r="K37" s="6">
        <f>_xlfn.DAYS(Table1[[#This Row],[CorrectedRequiredDate]],Table1[[#This Row],[OrderDate]])</f>
        <v>26</v>
      </c>
      <c r="L37" s="3">
        <f>IF(Table1[[#This Row],[RequiredDate]]&lt;Table1[[#This Row],[OrderDate]],Table1[[#This Row],[OrderDate]],Table1[[#This Row],[RequiredDate]])</f>
        <v>45038</v>
      </c>
      <c r="M37" s="3">
        <v>45038</v>
      </c>
      <c r="N37" t="s">
        <v>647</v>
      </c>
      <c r="O37" t="s">
        <v>654</v>
      </c>
      <c r="P37" t="s">
        <v>680</v>
      </c>
      <c r="Q37" t="s">
        <v>703</v>
      </c>
      <c r="R37" t="s">
        <v>709</v>
      </c>
      <c r="S37" t="s">
        <v>713</v>
      </c>
      <c r="T37" t="s">
        <v>728</v>
      </c>
      <c r="U37" t="s">
        <v>769</v>
      </c>
      <c r="V37" s="8">
        <v>178.53</v>
      </c>
      <c r="W37" s="8">
        <v>199.37</v>
      </c>
      <c r="X37" s="8">
        <f t="shared" si="1"/>
        <v>815.10700000000008</v>
      </c>
      <c r="Y37" s="8">
        <f t="shared" si="2"/>
        <v>1620.05</v>
      </c>
      <c r="Z37" s="8" t="str">
        <f>IF(W36 &lt;= X35, "Low",IF(W36 &lt;= Y36, "Medium", "High"))</f>
        <v>High</v>
      </c>
      <c r="AA37">
        <v>0.10100000000000001</v>
      </c>
      <c r="AB37">
        <f>IF(Table1[[#This Row],[DiscountPct]]&gt;0.2,1,0)</f>
        <v>0</v>
      </c>
      <c r="AC37" s="6">
        <v>37</v>
      </c>
      <c r="AD37" s="8">
        <f>Table1[[#This Row],[UnitPrice]]*Table1[[#This Row],[Quantity]]</f>
        <v>7376.6900000000005</v>
      </c>
      <c r="AE37" s="8">
        <f>Table1[[#This Row],[UnitCost]]*Table1[[#This Row],[Quantity]]</f>
        <v>6605.61</v>
      </c>
      <c r="AF37" s="8">
        <f>Table1[[#This Row],[GrossRevenue]]-Table1[[#This Row],[CostOfGoods]]</f>
        <v>771.08000000000084</v>
      </c>
      <c r="AG37" s="9">
        <f>IF(Table1[[#This Row],[GrossRevenue]]=0,0,Table1[[#This Row],[GrossProfit]]/Table1[[#This Row],[GrossRevenue]])</f>
        <v>0.10452926719165381</v>
      </c>
    </row>
    <row r="38" spans="1:33" hidden="1" x14ac:dyDescent="0.45">
      <c r="A38" t="s">
        <v>51</v>
      </c>
      <c r="C38" s="3">
        <v>45358</v>
      </c>
      <c r="D38" s="3">
        <f>YEAR(Table1[[#This Row],[OrderDate]]) * 100 + MONTH(Table1[[#This Row],[OrderDate]])</f>
        <v>202403</v>
      </c>
      <c r="E38" s="3">
        <f>_xlfn.MINIFS(Table1[OrderMonthKey],Table1[Country],Table1[[#This Row],[Country]])</f>
        <v>202301</v>
      </c>
      <c r="F38" s="3">
        <f>Table1[[#This Row],[CountryFirstMonthKey]]</f>
        <v>202301</v>
      </c>
      <c r="G38" s="3">
        <f>12*(INT(Table1[[#This Row],[OrderMonthKey]]/100)-INT(Table1[[#This Row],[CohortMonthKey]]/100)) + (MOD(Table1[[#This Row],[OrderMonthKey]],100)-MOD(Table1[[#This Row],[CohortMonthKey]],100))</f>
        <v>14</v>
      </c>
      <c r="H38" s="3" t="str">
        <f>TEXT(Table1[[#This Row],[OrderDate]],"MMM-YYYY")</f>
        <v>Mar-2024</v>
      </c>
      <c r="I38" s="3" t="str">
        <f t="shared" si="0"/>
        <v>Q1-2023</v>
      </c>
      <c r="J38" s="3" t="str">
        <f>IF(Table1[[#This Row],[LeadTimeDays]]&lt;=7,"Yes","No")</f>
        <v>No</v>
      </c>
      <c r="K38" s="3">
        <f>_xlfn.DAYS(Table1[[#This Row],[CorrectedRequiredDate]],Table1[[#This Row],[OrderDate]])</f>
        <v>18</v>
      </c>
      <c r="L38" s="3">
        <f>IF(Table1[[#This Row],[RequiredDate]]&lt;Table1[[#This Row],[OrderDate]],Table1[[#This Row],[OrderDate]],Table1[[#This Row],[RequiredDate]])</f>
        <v>45376</v>
      </c>
      <c r="M38" s="3">
        <v>45376</v>
      </c>
      <c r="N38" t="s">
        <v>649</v>
      </c>
      <c r="O38" t="s">
        <v>656</v>
      </c>
      <c r="P38" t="s">
        <v>684</v>
      </c>
      <c r="Q38" t="s">
        <v>701</v>
      </c>
      <c r="R38" t="s">
        <v>708</v>
      </c>
      <c r="S38" t="s">
        <v>717</v>
      </c>
      <c r="T38" t="s">
        <v>727</v>
      </c>
      <c r="U38" t="s">
        <v>770</v>
      </c>
      <c r="V38" s="8">
        <v>712.84</v>
      </c>
      <c r="W38" s="8">
        <v>927.51</v>
      </c>
      <c r="X38" s="8">
        <f t="shared" si="1"/>
        <v>815.10700000000008</v>
      </c>
      <c r="Y38" s="8">
        <f t="shared" si="2"/>
        <v>1620.05</v>
      </c>
      <c r="AA38">
        <v>0.24299999999999999</v>
      </c>
      <c r="AB38">
        <f>IF(Table1[[#This Row],[DiscountPct]]&gt;0.2,1,0)</f>
        <v>1</v>
      </c>
      <c r="AC38" s="6">
        <v>27</v>
      </c>
      <c r="AD38" s="8">
        <f>Table1[[#This Row],[UnitPrice]]*Table1[[#This Row],[Quantity]]</f>
        <v>25042.77</v>
      </c>
      <c r="AE38" s="8">
        <f>Table1[[#This Row],[UnitCost]]*Table1[[#This Row],[Quantity]]</f>
        <v>19246.68</v>
      </c>
      <c r="AF38" s="8">
        <f>Table1[[#This Row],[GrossRevenue]]-Table1[[#This Row],[CostOfGoods]]</f>
        <v>5796.09</v>
      </c>
      <c r="AG38" s="8">
        <f>IF(Table1[[#This Row],[GrossRevenue]]=0,0,Table1[[#This Row],[GrossProfit]]/Table1[[#This Row],[GrossRevenue]])</f>
        <v>0.23144763937855117</v>
      </c>
    </row>
    <row r="39" spans="1:33" x14ac:dyDescent="0.45">
      <c r="A39" t="s">
        <v>52</v>
      </c>
      <c r="B39">
        <v>1</v>
      </c>
      <c r="C39" s="3">
        <v>45832</v>
      </c>
      <c r="D39" s="6">
        <f>YEAR(Table1[[#This Row],[OrderDate]]) * 100 + MONTH(Table1[[#This Row],[OrderDate]])</f>
        <v>202506</v>
      </c>
      <c r="E39" s="6">
        <f>_xlfn.MINIFS(Table1[OrderMonthKey],Table1[Country],Table1[[#This Row],[Country]])</f>
        <v>202301</v>
      </c>
      <c r="F39" s="6">
        <f>Table1[[#This Row],[CountryFirstMonthKey]]</f>
        <v>202301</v>
      </c>
      <c r="G39" s="6">
        <f>12*(INT(Table1[[#This Row],[OrderMonthKey]]/100)-INT(Table1[[#This Row],[CohortMonthKey]]/100)) + (MOD(Table1[[#This Row],[OrderMonthKey]],100)-MOD(Table1[[#This Row],[CohortMonthKey]],100))</f>
        <v>29</v>
      </c>
      <c r="H39" s="3" t="str">
        <f>TEXT(Table1[[#This Row],[OrderDate]],"MMM-YYYY")</f>
        <v>Jun-2025</v>
      </c>
      <c r="I39" s="3" t="str">
        <f t="shared" si="0"/>
        <v>Q1-2024</v>
      </c>
      <c r="J39" s="26" t="str">
        <f>IF(Table1[[#This Row],[LeadTimeDays]]&lt;=7,"Yes","No")</f>
        <v>No</v>
      </c>
      <c r="K39" s="6">
        <f>_xlfn.DAYS(Table1[[#This Row],[CorrectedRequiredDate]],Table1[[#This Row],[OrderDate]])</f>
        <v>16</v>
      </c>
      <c r="L39" s="3">
        <f>IF(Table1[[#This Row],[RequiredDate]]&lt;Table1[[#This Row],[OrderDate]],Table1[[#This Row],[OrderDate]],Table1[[#This Row],[RequiredDate]])</f>
        <v>45848</v>
      </c>
      <c r="M39" s="3">
        <v>45848</v>
      </c>
      <c r="N39" t="s">
        <v>647</v>
      </c>
      <c r="O39" t="s">
        <v>659</v>
      </c>
      <c r="P39" t="s">
        <v>685</v>
      </c>
      <c r="Q39" t="s">
        <v>706</v>
      </c>
      <c r="R39" t="s">
        <v>711</v>
      </c>
      <c r="S39" t="s">
        <v>725</v>
      </c>
      <c r="T39" t="s">
        <v>727</v>
      </c>
      <c r="U39" t="s">
        <v>771</v>
      </c>
      <c r="V39" s="8">
        <v>757.19</v>
      </c>
      <c r="W39" s="8">
        <v>1735.41</v>
      </c>
      <c r="X39" s="8">
        <f t="shared" si="1"/>
        <v>815.10700000000008</v>
      </c>
      <c r="Y39" s="8">
        <f t="shared" si="2"/>
        <v>1620.05</v>
      </c>
      <c r="Z39" s="8" t="str">
        <f>IF(W38 &lt;= X37, "Low",IF(W38 &lt;= Y38, "Medium", "High"))</f>
        <v>Medium</v>
      </c>
      <c r="AA39">
        <v>0.13600000000000001</v>
      </c>
      <c r="AB39">
        <f>IF(Table1[[#This Row],[DiscountPct]]&gt;0.2,1,0)</f>
        <v>0</v>
      </c>
      <c r="AC39" s="6">
        <v>8</v>
      </c>
      <c r="AD39" s="8">
        <f>Table1[[#This Row],[UnitPrice]]*Table1[[#This Row],[Quantity]]</f>
        <v>13883.28</v>
      </c>
      <c r="AE39" s="8">
        <f>Table1[[#This Row],[UnitCost]]*Table1[[#This Row],[Quantity]]</f>
        <v>6057.52</v>
      </c>
      <c r="AF39" s="8">
        <f>Table1[[#This Row],[GrossRevenue]]-Table1[[#This Row],[CostOfGoods]]</f>
        <v>7825.76</v>
      </c>
      <c r="AG39" s="9">
        <f>IF(Table1[[#This Row],[GrossRevenue]]=0,0,Table1[[#This Row],[GrossProfit]]/Table1[[#This Row],[GrossRevenue]])</f>
        <v>0.56368235748324602</v>
      </c>
    </row>
    <row r="40" spans="1:33" x14ac:dyDescent="0.45">
      <c r="A40" t="s">
        <v>53</v>
      </c>
      <c r="B40">
        <v>1</v>
      </c>
      <c r="C40" s="3">
        <v>45401</v>
      </c>
      <c r="D40" s="6">
        <f>YEAR(Table1[[#This Row],[OrderDate]]) * 100 + MONTH(Table1[[#This Row],[OrderDate]])</f>
        <v>202404</v>
      </c>
      <c r="E40" s="6">
        <f>_xlfn.MINIFS(Table1[OrderMonthKey],Table1[Country],Table1[[#This Row],[Country]])</f>
        <v>202301</v>
      </c>
      <c r="F40" s="6">
        <f>Table1[[#This Row],[CountryFirstMonthKey]]</f>
        <v>202301</v>
      </c>
      <c r="G40" s="6">
        <f>12*(INT(Table1[[#This Row],[OrderMonthKey]]/100)-INT(Table1[[#This Row],[CohortMonthKey]]/100)) + (MOD(Table1[[#This Row],[OrderMonthKey]],100)-MOD(Table1[[#This Row],[CohortMonthKey]],100))</f>
        <v>15</v>
      </c>
      <c r="H40" s="3" t="str">
        <f>TEXT(Table1[[#This Row],[OrderDate]],"MMM-YYYY")</f>
        <v>Apr-2024</v>
      </c>
      <c r="I40" s="3" t="str">
        <f t="shared" si="0"/>
        <v>Q2-2025</v>
      </c>
      <c r="J40" s="26" t="str">
        <f>IF(Table1[[#This Row],[LeadTimeDays]]&lt;=7,"Yes","No")</f>
        <v>No</v>
      </c>
      <c r="K40" s="6">
        <f>_xlfn.DAYS(Table1[[#This Row],[CorrectedRequiredDate]],Table1[[#This Row],[OrderDate]])</f>
        <v>17</v>
      </c>
      <c r="L40" s="3">
        <f>IF(Table1[[#This Row],[RequiredDate]]&lt;Table1[[#This Row],[OrderDate]],Table1[[#This Row],[OrderDate]],Table1[[#This Row],[RequiredDate]])</f>
        <v>45418</v>
      </c>
      <c r="M40" s="3">
        <v>45418</v>
      </c>
      <c r="N40" t="s">
        <v>646</v>
      </c>
      <c r="O40" t="s">
        <v>651</v>
      </c>
      <c r="P40" t="s">
        <v>663</v>
      </c>
      <c r="Q40" t="s">
        <v>703</v>
      </c>
      <c r="R40" t="s">
        <v>708</v>
      </c>
      <c r="S40" t="s">
        <v>720</v>
      </c>
      <c r="T40" t="s">
        <v>728</v>
      </c>
      <c r="U40" t="s">
        <v>772</v>
      </c>
      <c r="V40" s="8">
        <v>865.33</v>
      </c>
      <c r="W40" s="8">
        <v>1395.64</v>
      </c>
      <c r="X40" s="8">
        <f t="shared" si="1"/>
        <v>815.10700000000008</v>
      </c>
      <c r="Y40" s="8">
        <f t="shared" si="2"/>
        <v>1620.05</v>
      </c>
      <c r="Z40" s="8" t="str">
        <f>IF(W39 &lt;= X38, "Low",IF(W39 &lt;= Y39, "Medium", "High"))</f>
        <v>High</v>
      </c>
      <c r="AA40">
        <v>0.17499999999999999</v>
      </c>
      <c r="AB40">
        <f>IF(Table1[[#This Row],[DiscountPct]]&gt;0.2,1,0)</f>
        <v>0</v>
      </c>
      <c r="AC40" s="6">
        <v>13</v>
      </c>
      <c r="AD40" s="8">
        <f>Table1[[#This Row],[UnitPrice]]*Table1[[#This Row],[Quantity]]</f>
        <v>18143.32</v>
      </c>
      <c r="AE40" s="8">
        <f>Table1[[#This Row],[UnitCost]]*Table1[[#This Row],[Quantity]]</f>
        <v>11249.29</v>
      </c>
      <c r="AF40" s="8">
        <f>Table1[[#This Row],[GrossRevenue]]-Table1[[#This Row],[CostOfGoods]]</f>
        <v>6894.0299999999988</v>
      </c>
      <c r="AG40" s="9">
        <f>IF(Table1[[#This Row],[GrossRevenue]]=0,0,Table1[[#This Row],[GrossProfit]]/Table1[[#This Row],[GrossRevenue]])</f>
        <v>0.37997621163050638</v>
      </c>
    </row>
    <row r="41" spans="1:33" hidden="1" x14ac:dyDescent="0.45">
      <c r="A41" t="s">
        <v>54</v>
      </c>
      <c r="C41" s="3">
        <v>45094</v>
      </c>
      <c r="D41" s="3">
        <f>YEAR(Table1[[#This Row],[OrderDate]]) * 100 + MONTH(Table1[[#This Row],[OrderDate]])</f>
        <v>202306</v>
      </c>
      <c r="E41" s="3">
        <f>_xlfn.MINIFS(Table1[OrderMonthKey],Table1[Country],Table1[[#This Row],[Country]])</f>
        <v>202301</v>
      </c>
      <c r="F41" s="3">
        <f>Table1[[#This Row],[CountryFirstMonthKey]]</f>
        <v>202301</v>
      </c>
      <c r="G41" s="3">
        <f>12*(INT(Table1[[#This Row],[OrderMonthKey]]/100)-INT(Table1[[#This Row],[CohortMonthKey]]/100)) + (MOD(Table1[[#This Row],[OrderMonthKey]],100)-MOD(Table1[[#This Row],[CohortMonthKey]],100))</f>
        <v>5</v>
      </c>
      <c r="H41" s="3" t="str">
        <f>TEXT(Table1[[#This Row],[OrderDate]],"MMM-YYYY")</f>
        <v>Jun-2023</v>
      </c>
      <c r="I41" s="3" t="str">
        <f t="shared" si="0"/>
        <v>Q2-2024</v>
      </c>
      <c r="J41" s="3" t="str">
        <f>IF(Table1[[#This Row],[LeadTimeDays]]&lt;=7,"Yes","No")</f>
        <v>Yes</v>
      </c>
      <c r="K41" s="3">
        <f>_xlfn.DAYS(Table1[[#This Row],[CorrectedRequiredDate]],Table1[[#This Row],[OrderDate]])</f>
        <v>7</v>
      </c>
      <c r="L41" s="3">
        <f>IF(Table1[[#This Row],[RequiredDate]]&lt;Table1[[#This Row],[OrderDate]],Table1[[#This Row],[OrderDate]],Table1[[#This Row],[RequiredDate]])</f>
        <v>45101</v>
      </c>
      <c r="M41" s="3">
        <v>45101</v>
      </c>
      <c r="N41" t="s">
        <v>648</v>
      </c>
      <c r="O41" t="s">
        <v>660</v>
      </c>
      <c r="P41" t="s">
        <v>686</v>
      </c>
      <c r="Q41" t="s">
        <v>701</v>
      </c>
      <c r="R41" t="s">
        <v>707</v>
      </c>
      <c r="S41" t="s">
        <v>714</v>
      </c>
      <c r="T41" t="s">
        <v>728</v>
      </c>
      <c r="U41" t="s">
        <v>773</v>
      </c>
      <c r="V41" s="8">
        <v>313.99</v>
      </c>
      <c r="W41" s="8">
        <v>454.42</v>
      </c>
      <c r="X41" s="8">
        <f t="shared" si="1"/>
        <v>815.10700000000008</v>
      </c>
      <c r="Y41" s="8">
        <f t="shared" si="2"/>
        <v>1620.05</v>
      </c>
      <c r="AA41">
        <v>0.129</v>
      </c>
      <c r="AB41">
        <f>IF(Table1[[#This Row],[DiscountPct]]&gt;0.2,1,0)</f>
        <v>0</v>
      </c>
      <c r="AC41" s="6">
        <v>9</v>
      </c>
      <c r="AD41" s="8">
        <f>Table1[[#This Row],[UnitPrice]]*Table1[[#This Row],[Quantity]]</f>
        <v>4089.78</v>
      </c>
      <c r="AE41" s="8">
        <f>Table1[[#This Row],[UnitCost]]*Table1[[#This Row],[Quantity]]</f>
        <v>2825.91</v>
      </c>
      <c r="AF41" s="8">
        <f>Table1[[#This Row],[GrossRevenue]]-Table1[[#This Row],[CostOfGoods]]</f>
        <v>1263.8700000000003</v>
      </c>
      <c r="AG41" s="8">
        <f>IF(Table1[[#This Row],[GrossRevenue]]=0,0,Table1[[#This Row],[GrossProfit]]/Table1[[#This Row],[GrossRevenue]])</f>
        <v>0.30903129263676782</v>
      </c>
    </row>
    <row r="42" spans="1:33" hidden="1" x14ac:dyDescent="0.45">
      <c r="A42" t="s">
        <v>55</v>
      </c>
      <c r="C42" s="3">
        <v>45531</v>
      </c>
      <c r="D42" s="3">
        <f>YEAR(Table1[[#This Row],[OrderDate]]) * 100 + MONTH(Table1[[#This Row],[OrderDate]])</f>
        <v>202408</v>
      </c>
      <c r="E42" s="3">
        <f>_xlfn.MINIFS(Table1[OrderMonthKey],Table1[Country],Table1[[#This Row],[Country]])</f>
        <v>202301</v>
      </c>
      <c r="F42" s="3">
        <f>Table1[[#This Row],[CountryFirstMonthKey]]</f>
        <v>202301</v>
      </c>
      <c r="G42" s="3">
        <f>12*(INT(Table1[[#This Row],[OrderMonthKey]]/100)-INT(Table1[[#This Row],[CohortMonthKey]]/100)) + (MOD(Table1[[#This Row],[OrderMonthKey]],100)-MOD(Table1[[#This Row],[CohortMonthKey]],100))</f>
        <v>19</v>
      </c>
      <c r="H42" s="3" t="str">
        <f>TEXT(Table1[[#This Row],[OrderDate]],"MMM-YYYY")</f>
        <v>Aug-2024</v>
      </c>
      <c r="I42" s="3" t="str">
        <f t="shared" si="0"/>
        <v>Q2-2023</v>
      </c>
      <c r="J42" s="3" t="str">
        <f>IF(Table1[[#This Row],[LeadTimeDays]]&lt;=7,"Yes","No")</f>
        <v>No</v>
      </c>
      <c r="K42" s="3">
        <f>_xlfn.DAYS(Table1[[#This Row],[CorrectedRequiredDate]],Table1[[#This Row],[OrderDate]])</f>
        <v>23</v>
      </c>
      <c r="L42" s="3">
        <f>IF(Table1[[#This Row],[RequiredDate]]&lt;Table1[[#This Row],[OrderDate]],Table1[[#This Row],[OrderDate]],Table1[[#This Row],[RequiredDate]])</f>
        <v>45554</v>
      </c>
      <c r="M42" s="3">
        <v>45554</v>
      </c>
      <c r="N42" t="s">
        <v>649</v>
      </c>
      <c r="O42" t="s">
        <v>656</v>
      </c>
      <c r="P42" t="s">
        <v>671</v>
      </c>
      <c r="Q42" t="s">
        <v>705</v>
      </c>
      <c r="R42" t="s">
        <v>711</v>
      </c>
      <c r="S42" t="s">
        <v>726</v>
      </c>
      <c r="T42" t="s">
        <v>732</v>
      </c>
      <c r="U42" t="s">
        <v>774</v>
      </c>
      <c r="V42" s="8">
        <v>1024.01</v>
      </c>
      <c r="W42" s="8">
        <v>1580.97</v>
      </c>
      <c r="X42" s="8">
        <f t="shared" si="1"/>
        <v>815.10700000000008</v>
      </c>
      <c r="Y42" s="8">
        <f t="shared" si="2"/>
        <v>1620.05</v>
      </c>
      <c r="AA42">
        <v>3.6999999999999998E-2</v>
      </c>
      <c r="AB42">
        <f>IF(Table1[[#This Row],[DiscountPct]]&gt;0.2,1,0)</f>
        <v>0</v>
      </c>
      <c r="AC42" s="6">
        <v>27</v>
      </c>
      <c r="AD42" s="8">
        <f>Table1[[#This Row],[UnitPrice]]*Table1[[#This Row],[Quantity]]</f>
        <v>42686.19</v>
      </c>
      <c r="AE42" s="8">
        <f>Table1[[#This Row],[UnitCost]]*Table1[[#This Row],[Quantity]]</f>
        <v>27648.27</v>
      </c>
      <c r="AF42" s="8">
        <f>Table1[[#This Row],[GrossRevenue]]-Table1[[#This Row],[CostOfGoods]]</f>
        <v>15037.920000000002</v>
      </c>
      <c r="AG42" s="8">
        <f>IF(Table1[[#This Row],[GrossRevenue]]=0,0,Table1[[#This Row],[GrossProfit]]/Table1[[#This Row],[GrossRevenue]])</f>
        <v>0.35229004977956574</v>
      </c>
    </row>
    <row r="43" spans="1:33" hidden="1" x14ac:dyDescent="0.45">
      <c r="A43" t="s">
        <v>56</v>
      </c>
      <c r="C43" s="3">
        <v>45302</v>
      </c>
      <c r="D43" s="3">
        <f>YEAR(Table1[[#This Row],[OrderDate]]) * 100 + MONTH(Table1[[#This Row],[OrderDate]])</f>
        <v>202401</v>
      </c>
      <c r="E43" s="3">
        <f>_xlfn.MINIFS(Table1[OrderMonthKey],Table1[Country],Table1[[#This Row],[Country]])</f>
        <v>202301</v>
      </c>
      <c r="F43" s="3">
        <f>Table1[[#This Row],[CountryFirstMonthKey]]</f>
        <v>202301</v>
      </c>
      <c r="G43" s="3">
        <f>12*(INT(Table1[[#This Row],[OrderMonthKey]]/100)-INT(Table1[[#This Row],[CohortMonthKey]]/100)) + (MOD(Table1[[#This Row],[OrderMonthKey]],100)-MOD(Table1[[#This Row],[CohortMonthKey]],100))</f>
        <v>12</v>
      </c>
      <c r="H43" s="3" t="str">
        <f>TEXT(Table1[[#This Row],[OrderDate]],"MMM-YYYY")</f>
        <v>Jan-2024</v>
      </c>
      <c r="I43" s="3" t="str">
        <f t="shared" si="0"/>
        <v>Q3-2024</v>
      </c>
      <c r="J43" s="3" t="str">
        <f>IF(Table1[[#This Row],[LeadTimeDays]]&lt;=7,"Yes","No")</f>
        <v>No</v>
      </c>
      <c r="K43" s="3">
        <f>_xlfn.DAYS(Table1[[#This Row],[CorrectedRequiredDate]],Table1[[#This Row],[OrderDate]])</f>
        <v>22</v>
      </c>
      <c r="L43" s="3">
        <f>IF(Table1[[#This Row],[RequiredDate]]&lt;Table1[[#This Row],[OrderDate]],Table1[[#This Row],[OrderDate]],Table1[[#This Row],[RequiredDate]])</f>
        <v>45324</v>
      </c>
      <c r="M43" s="3">
        <v>45324</v>
      </c>
      <c r="N43" t="s">
        <v>646</v>
      </c>
      <c r="O43" t="s">
        <v>661</v>
      </c>
      <c r="P43" t="s">
        <v>687</v>
      </c>
      <c r="Q43" t="s">
        <v>704</v>
      </c>
      <c r="R43" t="s">
        <v>708</v>
      </c>
      <c r="S43" t="s">
        <v>723</v>
      </c>
      <c r="T43" t="s">
        <v>729</v>
      </c>
      <c r="U43" t="s">
        <v>775</v>
      </c>
      <c r="V43" s="8">
        <v>1206.2</v>
      </c>
      <c r="W43" s="8">
        <v>1759.79</v>
      </c>
      <c r="X43" s="8">
        <f t="shared" si="1"/>
        <v>815.10700000000008</v>
      </c>
      <c r="Y43" s="8">
        <f t="shared" si="2"/>
        <v>1620.05</v>
      </c>
      <c r="AA43">
        <v>0</v>
      </c>
      <c r="AB43">
        <f>IF(Table1[[#This Row],[DiscountPct]]&gt;0.2,1,0)</f>
        <v>0</v>
      </c>
      <c r="AC43" s="6">
        <v>6</v>
      </c>
      <c r="AD43" s="8">
        <f>Table1[[#This Row],[UnitPrice]]*Table1[[#This Row],[Quantity]]</f>
        <v>10558.74</v>
      </c>
      <c r="AE43" s="8">
        <f>Table1[[#This Row],[UnitCost]]*Table1[[#This Row],[Quantity]]</f>
        <v>7237.2000000000007</v>
      </c>
      <c r="AF43" s="8">
        <f>Table1[[#This Row],[GrossRevenue]]-Table1[[#This Row],[CostOfGoods]]</f>
        <v>3321.5399999999991</v>
      </c>
      <c r="AG43" s="8">
        <f>IF(Table1[[#This Row],[GrossRevenue]]=0,0,Table1[[#This Row],[GrossProfit]]/Table1[[#This Row],[GrossRevenue]])</f>
        <v>0.31457730751964713</v>
      </c>
    </row>
    <row r="44" spans="1:33" hidden="1" x14ac:dyDescent="0.45">
      <c r="A44" t="s">
        <v>57</v>
      </c>
      <c r="C44" s="3">
        <v>45590</v>
      </c>
      <c r="D44" s="3">
        <f>YEAR(Table1[[#This Row],[OrderDate]]) * 100 + MONTH(Table1[[#This Row],[OrderDate]])</f>
        <v>202410</v>
      </c>
      <c r="E44" s="3">
        <f>_xlfn.MINIFS(Table1[OrderMonthKey],Table1[Country],Table1[[#This Row],[Country]])</f>
        <v>202301</v>
      </c>
      <c r="F44" s="3">
        <f>Table1[[#This Row],[CountryFirstMonthKey]]</f>
        <v>202301</v>
      </c>
      <c r="G44" s="3">
        <f>12*(INT(Table1[[#This Row],[OrderMonthKey]]/100)-INT(Table1[[#This Row],[CohortMonthKey]]/100)) + (MOD(Table1[[#This Row],[OrderMonthKey]],100)-MOD(Table1[[#This Row],[CohortMonthKey]],100))</f>
        <v>21</v>
      </c>
      <c r="H44" s="3" t="str">
        <f>TEXT(Table1[[#This Row],[OrderDate]],"MMM-YYYY")</f>
        <v>Oct-2024</v>
      </c>
      <c r="I44" s="3" t="str">
        <f t="shared" si="0"/>
        <v>Q1-2024</v>
      </c>
      <c r="J44" s="3" t="str">
        <f>IF(Table1[[#This Row],[LeadTimeDays]]&lt;=7,"Yes","No")</f>
        <v>No</v>
      </c>
      <c r="K44" s="3">
        <f>_xlfn.DAYS(Table1[[#This Row],[CorrectedRequiredDate]],Table1[[#This Row],[OrderDate]])</f>
        <v>20</v>
      </c>
      <c r="L44" s="3">
        <f>IF(Table1[[#This Row],[RequiredDate]]&lt;Table1[[#This Row],[OrderDate]],Table1[[#This Row],[OrderDate]],Table1[[#This Row],[RequiredDate]])</f>
        <v>45610</v>
      </c>
      <c r="M44" s="3">
        <v>45610</v>
      </c>
      <c r="N44" t="s">
        <v>646</v>
      </c>
      <c r="O44" t="s">
        <v>650</v>
      </c>
      <c r="P44" t="s">
        <v>675</v>
      </c>
      <c r="Q44" t="s">
        <v>701</v>
      </c>
      <c r="R44" t="s">
        <v>711</v>
      </c>
      <c r="S44" t="s">
        <v>722</v>
      </c>
      <c r="T44" t="s">
        <v>728</v>
      </c>
      <c r="U44" t="s">
        <v>776</v>
      </c>
      <c r="V44" s="8">
        <v>1396.48</v>
      </c>
      <c r="W44" s="8">
        <v>3204.5</v>
      </c>
      <c r="X44" s="8">
        <f t="shared" si="1"/>
        <v>815.10700000000008</v>
      </c>
      <c r="Y44" s="8">
        <f t="shared" si="2"/>
        <v>1620.05</v>
      </c>
      <c r="AA44">
        <v>0.318</v>
      </c>
      <c r="AB44">
        <f>IF(Table1[[#This Row],[DiscountPct]]&gt;0.2,1,0)</f>
        <v>1</v>
      </c>
      <c r="AC44" s="6">
        <v>14</v>
      </c>
      <c r="AD44" s="8">
        <f>Table1[[#This Row],[UnitPrice]]*Table1[[#This Row],[Quantity]]</f>
        <v>44863</v>
      </c>
      <c r="AE44" s="8">
        <f>Table1[[#This Row],[UnitCost]]*Table1[[#This Row],[Quantity]]</f>
        <v>19550.72</v>
      </c>
      <c r="AF44" s="8">
        <f>Table1[[#This Row],[GrossRevenue]]-Table1[[#This Row],[CostOfGoods]]</f>
        <v>25312.28</v>
      </c>
      <c r="AG44" s="8">
        <f>IF(Table1[[#This Row],[GrossRevenue]]=0,0,Table1[[#This Row],[GrossProfit]]/Table1[[#This Row],[GrossRevenue]])</f>
        <v>0.56421282571383991</v>
      </c>
    </row>
    <row r="45" spans="1:33" hidden="1" x14ac:dyDescent="0.45">
      <c r="A45" t="s">
        <v>58</v>
      </c>
      <c r="C45" s="3">
        <v>45806</v>
      </c>
      <c r="D45" s="3">
        <f>YEAR(Table1[[#This Row],[OrderDate]]) * 100 + MONTH(Table1[[#This Row],[OrderDate]])</f>
        <v>202505</v>
      </c>
      <c r="E45" s="3">
        <f>_xlfn.MINIFS(Table1[OrderMonthKey],Table1[Country],Table1[[#This Row],[Country]])</f>
        <v>202301</v>
      </c>
      <c r="F45" s="3">
        <f>Table1[[#This Row],[CountryFirstMonthKey]]</f>
        <v>202301</v>
      </c>
      <c r="G45" s="3">
        <f>12*(INT(Table1[[#This Row],[OrderMonthKey]]/100)-INT(Table1[[#This Row],[CohortMonthKey]]/100)) + (MOD(Table1[[#This Row],[OrderMonthKey]],100)-MOD(Table1[[#This Row],[CohortMonthKey]],100))</f>
        <v>28</v>
      </c>
      <c r="H45" s="3" t="str">
        <f>TEXT(Table1[[#This Row],[OrderDate]],"MMM-YYYY")</f>
        <v>May-2025</v>
      </c>
      <c r="I45" s="3" t="str">
        <f t="shared" si="0"/>
        <v>Q4-2024</v>
      </c>
      <c r="J45" s="3" t="str">
        <f>IF(Table1[[#This Row],[LeadTimeDays]]&lt;=7,"Yes","No")</f>
        <v>No</v>
      </c>
      <c r="K45" s="3">
        <f>_xlfn.DAYS(Table1[[#This Row],[CorrectedRequiredDate]],Table1[[#This Row],[OrderDate]])</f>
        <v>22</v>
      </c>
      <c r="L45" s="3">
        <f>IF(Table1[[#This Row],[RequiredDate]]&lt;Table1[[#This Row],[OrderDate]],Table1[[#This Row],[OrderDate]],Table1[[#This Row],[RequiredDate]])</f>
        <v>45828</v>
      </c>
      <c r="M45" s="3">
        <v>45828</v>
      </c>
      <c r="N45" t="s">
        <v>649</v>
      </c>
      <c r="O45" t="s">
        <v>656</v>
      </c>
      <c r="P45" t="s">
        <v>671</v>
      </c>
      <c r="Q45" t="s">
        <v>701</v>
      </c>
      <c r="R45" t="s">
        <v>711</v>
      </c>
      <c r="S45" t="s">
        <v>720</v>
      </c>
      <c r="T45" t="s">
        <v>728</v>
      </c>
      <c r="U45" t="s">
        <v>777</v>
      </c>
      <c r="V45" s="8">
        <v>483.47</v>
      </c>
      <c r="W45" s="8">
        <v>1135.43</v>
      </c>
      <c r="X45" s="8">
        <f t="shared" si="1"/>
        <v>815.10700000000008</v>
      </c>
      <c r="Y45" s="8">
        <f t="shared" si="2"/>
        <v>1620.05</v>
      </c>
      <c r="AA45">
        <v>0.14599999999999999</v>
      </c>
      <c r="AB45">
        <f>IF(Table1[[#This Row],[DiscountPct]]&gt;0.2,1,0)</f>
        <v>0</v>
      </c>
      <c r="AC45" s="6">
        <v>11</v>
      </c>
      <c r="AD45" s="8">
        <f>Table1[[#This Row],[UnitPrice]]*Table1[[#This Row],[Quantity]]</f>
        <v>12489.730000000001</v>
      </c>
      <c r="AE45" s="8">
        <f>Table1[[#This Row],[UnitCost]]*Table1[[#This Row],[Quantity]]</f>
        <v>5318.17</v>
      </c>
      <c r="AF45" s="8">
        <f>Table1[[#This Row],[GrossRevenue]]-Table1[[#This Row],[CostOfGoods]]</f>
        <v>7171.5600000000013</v>
      </c>
      <c r="AG45" s="8">
        <f>IF(Table1[[#This Row],[GrossRevenue]]=0,0,Table1[[#This Row],[GrossProfit]]/Table1[[#This Row],[GrossRevenue]])</f>
        <v>0.57419655989360863</v>
      </c>
    </row>
    <row r="46" spans="1:33" x14ac:dyDescent="0.45">
      <c r="A46" t="s">
        <v>59</v>
      </c>
      <c r="B46">
        <v>1</v>
      </c>
      <c r="C46" s="3">
        <v>45432</v>
      </c>
      <c r="D46" s="6">
        <f>YEAR(Table1[[#This Row],[OrderDate]]) * 100 + MONTH(Table1[[#This Row],[OrderDate]])</f>
        <v>202405</v>
      </c>
      <c r="E46" s="6">
        <f>_xlfn.MINIFS(Table1[OrderMonthKey],Table1[Country],Table1[[#This Row],[Country]])</f>
        <v>202301</v>
      </c>
      <c r="F46" s="6">
        <f>Table1[[#This Row],[CountryFirstMonthKey]]</f>
        <v>202301</v>
      </c>
      <c r="G46" s="6">
        <f>12*(INT(Table1[[#This Row],[OrderMonthKey]]/100)-INT(Table1[[#This Row],[CohortMonthKey]]/100)) + (MOD(Table1[[#This Row],[OrderMonthKey]],100)-MOD(Table1[[#This Row],[CohortMonthKey]],100))</f>
        <v>16</v>
      </c>
      <c r="H46" s="3" t="str">
        <f>TEXT(Table1[[#This Row],[OrderDate]],"MMM-YYYY")</f>
        <v>May-2024</v>
      </c>
      <c r="I46" s="3" t="str">
        <f t="shared" si="0"/>
        <v>Q2-2025</v>
      </c>
      <c r="J46" s="26" t="str">
        <f>IF(Table1[[#This Row],[LeadTimeDays]]&lt;=7,"Yes","No")</f>
        <v>No</v>
      </c>
      <c r="K46" s="6">
        <f>_xlfn.DAYS(Table1[[#This Row],[CorrectedRequiredDate]],Table1[[#This Row],[OrderDate]])</f>
        <v>13</v>
      </c>
      <c r="L46" s="3">
        <f>IF(Table1[[#This Row],[RequiredDate]]&lt;Table1[[#This Row],[OrderDate]],Table1[[#This Row],[OrderDate]],Table1[[#This Row],[RequiredDate]])</f>
        <v>45445</v>
      </c>
      <c r="M46" s="3">
        <v>45445</v>
      </c>
      <c r="N46" t="s">
        <v>648</v>
      </c>
      <c r="O46" t="s">
        <v>653</v>
      </c>
      <c r="P46" t="s">
        <v>688</v>
      </c>
      <c r="Q46" t="s">
        <v>706</v>
      </c>
      <c r="R46" t="s">
        <v>709</v>
      </c>
      <c r="S46" t="s">
        <v>723</v>
      </c>
      <c r="T46" t="s">
        <v>727</v>
      </c>
      <c r="U46" t="s">
        <v>778</v>
      </c>
      <c r="V46" s="8">
        <v>675.43</v>
      </c>
      <c r="W46" s="8">
        <v>996.36</v>
      </c>
      <c r="X46" s="8">
        <f t="shared" si="1"/>
        <v>815.10700000000008</v>
      </c>
      <c r="Y46" s="8">
        <f t="shared" si="2"/>
        <v>1620.05</v>
      </c>
      <c r="Z46" s="8" t="str">
        <f>IF(W45 &lt;= X44, "Low",IF(W45 &lt;= Y45, "Medium", "High"))</f>
        <v>Medium</v>
      </c>
      <c r="AA46">
        <v>0.182</v>
      </c>
      <c r="AB46">
        <f>IF(Table1[[#This Row],[DiscountPct]]&gt;0.2,1,0)</f>
        <v>0</v>
      </c>
      <c r="AC46" s="6">
        <v>22</v>
      </c>
      <c r="AD46" s="8">
        <f>Table1[[#This Row],[UnitPrice]]*Table1[[#This Row],[Quantity]]</f>
        <v>21919.920000000002</v>
      </c>
      <c r="AE46" s="8">
        <f>Table1[[#This Row],[UnitCost]]*Table1[[#This Row],[Quantity]]</f>
        <v>14859.46</v>
      </c>
      <c r="AF46" s="8">
        <f>Table1[[#This Row],[GrossRevenue]]-Table1[[#This Row],[CostOfGoods]]</f>
        <v>7060.4600000000028</v>
      </c>
      <c r="AG46" s="9">
        <f>IF(Table1[[#This Row],[GrossRevenue]]=0,0,Table1[[#This Row],[GrossProfit]]/Table1[[#This Row],[GrossRevenue]])</f>
        <v>0.32210245292866041</v>
      </c>
    </row>
    <row r="47" spans="1:33" x14ac:dyDescent="0.45">
      <c r="A47" t="s">
        <v>60</v>
      </c>
      <c r="B47">
        <v>1</v>
      </c>
      <c r="C47" s="3">
        <v>45035</v>
      </c>
      <c r="D47" s="6">
        <f>YEAR(Table1[[#This Row],[OrderDate]]) * 100 + MONTH(Table1[[#This Row],[OrderDate]])</f>
        <v>202304</v>
      </c>
      <c r="E47" s="6">
        <f>_xlfn.MINIFS(Table1[OrderMonthKey],Table1[Country],Table1[[#This Row],[Country]])</f>
        <v>202302</v>
      </c>
      <c r="F47" s="6">
        <f>Table1[[#This Row],[CountryFirstMonthKey]]</f>
        <v>202302</v>
      </c>
      <c r="G47" s="6">
        <f>12*(INT(Table1[[#This Row],[OrderMonthKey]]/100)-INT(Table1[[#This Row],[CohortMonthKey]]/100)) + (MOD(Table1[[#This Row],[OrderMonthKey]],100)-MOD(Table1[[#This Row],[CohortMonthKey]],100))</f>
        <v>2</v>
      </c>
      <c r="H47" s="3" t="str">
        <f>TEXT(Table1[[#This Row],[OrderDate]],"MMM-YYYY")</f>
        <v>Apr-2023</v>
      </c>
      <c r="I47" s="3" t="str">
        <f t="shared" si="0"/>
        <v>Q2-2024</v>
      </c>
      <c r="J47" s="26" t="str">
        <f>IF(Table1[[#This Row],[LeadTimeDays]]&lt;=7,"Yes","No")</f>
        <v>No</v>
      </c>
      <c r="K47" s="6">
        <f>_xlfn.DAYS(Table1[[#This Row],[CorrectedRequiredDate]],Table1[[#This Row],[OrderDate]])</f>
        <v>11</v>
      </c>
      <c r="L47" s="3">
        <f>IF(Table1[[#This Row],[RequiredDate]]&lt;Table1[[#This Row],[OrderDate]],Table1[[#This Row],[OrderDate]],Table1[[#This Row],[RequiredDate]])</f>
        <v>45046</v>
      </c>
      <c r="M47" s="3">
        <v>45046</v>
      </c>
      <c r="N47" t="s">
        <v>647</v>
      </c>
      <c r="O47" t="s">
        <v>654</v>
      </c>
      <c r="P47" t="s">
        <v>680</v>
      </c>
      <c r="Q47" t="s">
        <v>705</v>
      </c>
      <c r="R47" t="s">
        <v>707</v>
      </c>
      <c r="S47" t="s">
        <v>720</v>
      </c>
      <c r="T47" t="s">
        <v>729</v>
      </c>
      <c r="U47" t="s">
        <v>779</v>
      </c>
      <c r="V47" s="8">
        <v>826.55</v>
      </c>
      <c r="W47" s="8">
        <v>1397.05</v>
      </c>
      <c r="X47" s="8">
        <f t="shared" si="1"/>
        <v>815.10700000000008</v>
      </c>
      <c r="Y47" s="8">
        <f t="shared" si="2"/>
        <v>1620.05</v>
      </c>
      <c r="Z47" s="8" t="str">
        <f>IF(W46 &lt;= X45, "Low",IF(W46 &lt;= Y46, "Medium", "High"))</f>
        <v>Medium</v>
      </c>
      <c r="AA47">
        <v>0.16900000000000001</v>
      </c>
      <c r="AB47">
        <f>IF(Table1[[#This Row],[DiscountPct]]&gt;0.2,1,0)</f>
        <v>0</v>
      </c>
      <c r="AC47" s="6">
        <v>28</v>
      </c>
      <c r="AD47" s="8">
        <f>Table1[[#This Row],[UnitPrice]]*Table1[[#This Row],[Quantity]]</f>
        <v>39117.4</v>
      </c>
      <c r="AE47" s="8">
        <f>Table1[[#This Row],[UnitCost]]*Table1[[#This Row],[Quantity]]</f>
        <v>23143.399999999998</v>
      </c>
      <c r="AF47" s="8">
        <f>Table1[[#This Row],[GrossRevenue]]-Table1[[#This Row],[CostOfGoods]]</f>
        <v>15974.000000000004</v>
      </c>
      <c r="AG47" s="9">
        <f>IF(Table1[[#This Row],[GrossRevenue]]=0,0,Table1[[#This Row],[GrossProfit]]/Table1[[#This Row],[GrossRevenue]])</f>
        <v>0.40836047385562441</v>
      </c>
    </row>
    <row r="48" spans="1:33" x14ac:dyDescent="0.45">
      <c r="A48" t="s">
        <v>61</v>
      </c>
      <c r="B48">
        <v>1</v>
      </c>
      <c r="C48" s="3">
        <v>45100</v>
      </c>
      <c r="D48" s="6">
        <f>YEAR(Table1[[#This Row],[OrderDate]]) * 100 + MONTH(Table1[[#This Row],[OrderDate]])</f>
        <v>202306</v>
      </c>
      <c r="E48" s="6">
        <f>_xlfn.MINIFS(Table1[OrderMonthKey],Table1[Country],Table1[[#This Row],[Country]])</f>
        <v>202301</v>
      </c>
      <c r="F48" s="6">
        <f>Table1[[#This Row],[CountryFirstMonthKey]]</f>
        <v>202301</v>
      </c>
      <c r="G48" s="6">
        <f>12*(INT(Table1[[#This Row],[OrderMonthKey]]/100)-INT(Table1[[#This Row],[CohortMonthKey]]/100)) + (MOD(Table1[[#This Row],[OrderMonthKey]],100)-MOD(Table1[[#This Row],[CohortMonthKey]],100))</f>
        <v>5</v>
      </c>
      <c r="H48" s="3" t="str">
        <f>TEXT(Table1[[#This Row],[OrderDate]],"MMM-YYYY")</f>
        <v>Jun-2023</v>
      </c>
      <c r="I48" s="3" t="str">
        <f t="shared" si="0"/>
        <v>Q2-2023</v>
      </c>
      <c r="J48" s="26" t="str">
        <f>IF(Table1[[#This Row],[LeadTimeDays]]&lt;=7,"Yes","No")</f>
        <v>No</v>
      </c>
      <c r="K48" s="6">
        <f>_xlfn.DAYS(Table1[[#This Row],[CorrectedRequiredDate]],Table1[[#This Row],[OrderDate]])</f>
        <v>10</v>
      </c>
      <c r="L48" s="3">
        <f>IF(Table1[[#This Row],[RequiredDate]]&lt;Table1[[#This Row],[OrderDate]],Table1[[#This Row],[OrderDate]],Table1[[#This Row],[RequiredDate]])</f>
        <v>45110</v>
      </c>
      <c r="M48" s="3">
        <v>45110</v>
      </c>
      <c r="N48" t="s">
        <v>646</v>
      </c>
      <c r="O48" t="s">
        <v>651</v>
      </c>
      <c r="P48" t="s">
        <v>669</v>
      </c>
      <c r="Q48" t="s">
        <v>704</v>
      </c>
      <c r="R48" t="s">
        <v>708</v>
      </c>
      <c r="S48" t="s">
        <v>713</v>
      </c>
      <c r="T48" t="s">
        <v>728</v>
      </c>
      <c r="U48" t="s">
        <v>780</v>
      </c>
      <c r="V48" s="8">
        <v>337.75</v>
      </c>
      <c r="W48" s="8">
        <v>548.89</v>
      </c>
      <c r="X48" s="8">
        <f t="shared" si="1"/>
        <v>815.10700000000008</v>
      </c>
      <c r="Y48" s="8">
        <f t="shared" si="2"/>
        <v>1620.05</v>
      </c>
      <c r="Z48" s="8" t="str">
        <f>IF(W47 &lt;= X46, "Low",IF(W47 &lt;= Y47, "Medium", "High"))</f>
        <v>Medium</v>
      </c>
      <c r="AA48">
        <v>0</v>
      </c>
      <c r="AB48">
        <f>IF(Table1[[#This Row],[DiscountPct]]&gt;0.2,1,0)</f>
        <v>0</v>
      </c>
      <c r="AC48" s="6">
        <v>13</v>
      </c>
      <c r="AD48" s="8">
        <f>Table1[[#This Row],[UnitPrice]]*Table1[[#This Row],[Quantity]]</f>
        <v>7135.57</v>
      </c>
      <c r="AE48" s="8">
        <f>Table1[[#This Row],[UnitCost]]*Table1[[#This Row],[Quantity]]</f>
        <v>4390.75</v>
      </c>
      <c r="AF48" s="8">
        <f>Table1[[#This Row],[GrossRevenue]]-Table1[[#This Row],[CostOfGoods]]</f>
        <v>2744.8199999999997</v>
      </c>
      <c r="AG48" s="9">
        <f>IF(Table1[[#This Row],[GrossRevenue]]=0,0,Table1[[#This Row],[GrossProfit]]/Table1[[#This Row],[GrossRevenue]])</f>
        <v>0.38466723751571352</v>
      </c>
    </row>
    <row r="49" spans="1:33" x14ac:dyDescent="0.45">
      <c r="A49" t="s">
        <v>62</v>
      </c>
      <c r="B49">
        <v>1</v>
      </c>
      <c r="C49" s="3">
        <v>45426</v>
      </c>
      <c r="D49" s="6">
        <f>YEAR(Table1[[#This Row],[OrderDate]]) * 100 + MONTH(Table1[[#This Row],[OrderDate]])</f>
        <v>202405</v>
      </c>
      <c r="E49" s="6">
        <f>_xlfn.MINIFS(Table1[OrderMonthKey],Table1[Country],Table1[[#This Row],[Country]])</f>
        <v>202301</v>
      </c>
      <c r="F49" s="6">
        <f>Table1[[#This Row],[CountryFirstMonthKey]]</f>
        <v>202301</v>
      </c>
      <c r="G49" s="6">
        <f>12*(INT(Table1[[#This Row],[OrderMonthKey]]/100)-INT(Table1[[#This Row],[CohortMonthKey]]/100)) + (MOD(Table1[[#This Row],[OrderMonthKey]],100)-MOD(Table1[[#This Row],[CohortMonthKey]],100))</f>
        <v>16</v>
      </c>
      <c r="H49" s="3" t="str">
        <f>TEXT(Table1[[#This Row],[OrderDate]],"MMM-YYYY")</f>
        <v>May-2024</v>
      </c>
      <c r="I49" s="3" t="str">
        <f t="shared" si="0"/>
        <v>Q2-2023</v>
      </c>
      <c r="J49" s="26" t="str">
        <f>IF(Table1[[#This Row],[LeadTimeDays]]&lt;=7,"Yes","No")</f>
        <v>No</v>
      </c>
      <c r="K49" s="6">
        <f>_xlfn.DAYS(Table1[[#This Row],[CorrectedRequiredDate]],Table1[[#This Row],[OrderDate]])</f>
        <v>14</v>
      </c>
      <c r="L49" s="3">
        <f>IF(Table1[[#This Row],[RequiredDate]]&lt;Table1[[#This Row],[OrderDate]],Table1[[#This Row],[OrderDate]],Table1[[#This Row],[RequiredDate]])</f>
        <v>45440</v>
      </c>
      <c r="M49" s="3">
        <v>45440</v>
      </c>
      <c r="N49" t="s">
        <v>649</v>
      </c>
      <c r="O49" t="s">
        <v>658</v>
      </c>
      <c r="P49" t="s">
        <v>674</v>
      </c>
      <c r="Q49" t="s">
        <v>704</v>
      </c>
      <c r="R49" t="s">
        <v>707</v>
      </c>
      <c r="S49" t="s">
        <v>717</v>
      </c>
      <c r="T49" t="s">
        <v>729</v>
      </c>
      <c r="U49" t="s">
        <v>781</v>
      </c>
      <c r="V49" s="8">
        <v>1421.14</v>
      </c>
      <c r="W49" s="8">
        <v>3524</v>
      </c>
      <c r="X49" s="8">
        <f t="shared" si="1"/>
        <v>815.10700000000008</v>
      </c>
      <c r="Y49" s="8">
        <f t="shared" si="2"/>
        <v>1620.05</v>
      </c>
      <c r="Z49" s="8" t="str">
        <f>IF(W48 &lt;= X47, "Low",IF(W48 &lt;= Y48, "Medium", "High"))</f>
        <v>Low</v>
      </c>
      <c r="AA49">
        <v>0</v>
      </c>
      <c r="AB49">
        <f>IF(Table1[[#This Row],[DiscountPct]]&gt;0.2,1,0)</f>
        <v>0</v>
      </c>
      <c r="AC49" s="6">
        <v>31</v>
      </c>
      <c r="AD49" s="8">
        <f>Table1[[#This Row],[UnitPrice]]*Table1[[#This Row],[Quantity]]</f>
        <v>109244</v>
      </c>
      <c r="AE49" s="8">
        <f>Table1[[#This Row],[UnitCost]]*Table1[[#This Row],[Quantity]]</f>
        <v>44055.340000000004</v>
      </c>
      <c r="AF49" s="8">
        <f>Table1[[#This Row],[GrossRevenue]]-Table1[[#This Row],[CostOfGoods]]</f>
        <v>65188.659999999996</v>
      </c>
      <c r="AG49" s="9">
        <f>IF(Table1[[#This Row],[GrossRevenue]]=0,0,Table1[[#This Row],[GrossProfit]]/Table1[[#This Row],[GrossRevenue]])</f>
        <v>0.59672531214528945</v>
      </c>
    </row>
    <row r="50" spans="1:33" x14ac:dyDescent="0.45">
      <c r="A50" t="s">
        <v>63</v>
      </c>
      <c r="B50">
        <v>1</v>
      </c>
      <c r="C50" s="3">
        <v>45579</v>
      </c>
      <c r="D50" s="6">
        <f>YEAR(Table1[[#This Row],[OrderDate]]) * 100 + MONTH(Table1[[#This Row],[OrderDate]])</f>
        <v>202410</v>
      </c>
      <c r="E50" s="6">
        <f>_xlfn.MINIFS(Table1[OrderMonthKey],Table1[Country],Table1[[#This Row],[Country]])</f>
        <v>202301</v>
      </c>
      <c r="F50" s="6">
        <f>Table1[[#This Row],[CountryFirstMonthKey]]</f>
        <v>202301</v>
      </c>
      <c r="G50" s="6">
        <f>12*(INT(Table1[[#This Row],[OrderMonthKey]]/100)-INT(Table1[[#This Row],[CohortMonthKey]]/100)) + (MOD(Table1[[#This Row],[OrderMonthKey]],100)-MOD(Table1[[#This Row],[CohortMonthKey]],100))</f>
        <v>21</v>
      </c>
      <c r="H50" s="3" t="str">
        <f>TEXT(Table1[[#This Row],[OrderDate]],"MMM-YYYY")</f>
        <v>Oct-2024</v>
      </c>
      <c r="I50" s="3" t="str">
        <f t="shared" si="0"/>
        <v>Q2-2024</v>
      </c>
      <c r="J50" s="26" t="str">
        <f>IF(Table1[[#This Row],[LeadTimeDays]]&lt;=7,"Yes","No")</f>
        <v>No</v>
      </c>
      <c r="K50" s="6">
        <f>_xlfn.DAYS(Table1[[#This Row],[CorrectedRequiredDate]],Table1[[#This Row],[OrderDate]])</f>
        <v>25</v>
      </c>
      <c r="L50" s="3">
        <f>IF(Table1[[#This Row],[RequiredDate]]&lt;Table1[[#This Row],[OrderDate]],Table1[[#This Row],[OrderDate]],Table1[[#This Row],[RequiredDate]])</f>
        <v>45604</v>
      </c>
      <c r="M50" s="3">
        <v>45604</v>
      </c>
      <c r="N50" t="s">
        <v>646</v>
      </c>
      <c r="O50" t="s">
        <v>651</v>
      </c>
      <c r="P50" t="s">
        <v>1421</v>
      </c>
      <c r="Q50" t="s">
        <v>706</v>
      </c>
      <c r="R50" t="s">
        <v>708</v>
      </c>
      <c r="S50" t="s">
        <v>719</v>
      </c>
      <c r="T50" t="s">
        <v>729</v>
      </c>
      <c r="U50" t="s">
        <v>782</v>
      </c>
      <c r="V50" s="8">
        <v>859.35</v>
      </c>
      <c r="W50" s="8">
        <v>1825.61</v>
      </c>
      <c r="X50" s="8">
        <f t="shared" si="1"/>
        <v>815.10700000000008</v>
      </c>
      <c r="Y50" s="8">
        <f t="shared" si="2"/>
        <v>1620.05</v>
      </c>
      <c r="Z50" s="8" t="str">
        <f>IF(W49 &lt;= X48, "Low",IF(W49 &lt;= Y49, "Medium", "High"))</f>
        <v>High</v>
      </c>
      <c r="AA50">
        <v>0.187</v>
      </c>
      <c r="AB50">
        <f>IF(Table1[[#This Row],[DiscountPct]]&gt;0.2,1,0)</f>
        <v>0</v>
      </c>
      <c r="AC50" s="6">
        <v>24</v>
      </c>
      <c r="AD50" s="8">
        <f>Table1[[#This Row],[UnitPrice]]*Table1[[#This Row],[Quantity]]</f>
        <v>43814.64</v>
      </c>
      <c r="AE50" s="8">
        <f>Table1[[#This Row],[UnitCost]]*Table1[[#This Row],[Quantity]]</f>
        <v>20624.400000000001</v>
      </c>
      <c r="AF50" s="8">
        <f>Table1[[#This Row],[GrossRevenue]]-Table1[[#This Row],[CostOfGoods]]</f>
        <v>23190.239999999998</v>
      </c>
      <c r="AG50" s="9">
        <f>IF(Table1[[#This Row],[GrossRevenue]]=0,0,Table1[[#This Row],[GrossProfit]]/Table1[[#This Row],[GrossRevenue]])</f>
        <v>0.52928062401060461</v>
      </c>
    </row>
    <row r="51" spans="1:33" hidden="1" x14ac:dyDescent="0.45">
      <c r="A51" t="s">
        <v>64</v>
      </c>
      <c r="C51" s="3">
        <v>45117</v>
      </c>
      <c r="D51" s="3">
        <f>YEAR(Table1[[#This Row],[OrderDate]]) * 100 + MONTH(Table1[[#This Row],[OrderDate]])</f>
        <v>202307</v>
      </c>
      <c r="E51" s="3">
        <f>_xlfn.MINIFS(Table1[OrderMonthKey],Table1[Country],Table1[[#This Row],[Country]])</f>
        <v>202301</v>
      </c>
      <c r="F51" s="3">
        <f>Table1[[#This Row],[CountryFirstMonthKey]]</f>
        <v>202301</v>
      </c>
      <c r="G51" s="3">
        <f>12*(INT(Table1[[#This Row],[OrderMonthKey]]/100)-INT(Table1[[#This Row],[CohortMonthKey]]/100)) + (MOD(Table1[[#This Row],[OrderMonthKey]],100)-MOD(Table1[[#This Row],[CohortMonthKey]],100))</f>
        <v>6</v>
      </c>
      <c r="H51" s="3" t="str">
        <f>TEXT(Table1[[#This Row],[OrderDate]],"MMM-YYYY")</f>
        <v>Jul-2023</v>
      </c>
      <c r="I51" s="3" t="str">
        <f t="shared" si="0"/>
        <v>Q4-2024</v>
      </c>
      <c r="J51" s="3" t="str">
        <f>IF(Table1[[#This Row],[LeadTimeDays]]&lt;=7,"Yes","No")</f>
        <v>No</v>
      </c>
      <c r="K51" s="3">
        <f>_xlfn.DAYS(Table1[[#This Row],[CorrectedRequiredDate]],Table1[[#This Row],[OrderDate]])</f>
        <v>22</v>
      </c>
      <c r="L51" s="3">
        <f>IF(Table1[[#This Row],[RequiredDate]]&lt;Table1[[#This Row],[OrderDate]],Table1[[#This Row],[OrderDate]],Table1[[#This Row],[RequiredDate]])</f>
        <v>45139</v>
      </c>
      <c r="M51" s="3">
        <v>45139</v>
      </c>
      <c r="N51" t="s">
        <v>649</v>
      </c>
      <c r="O51" t="s">
        <v>657</v>
      </c>
      <c r="P51" t="s">
        <v>673</v>
      </c>
      <c r="Q51" t="s">
        <v>704</v>
      </c>
      <c r="R51" t="s">
        <v>709</v>
      </c>
      <c r="S51" t="s">
        <v>717</v>
      </c>
      <c r="T51" t="s">
        <v>728</v>
      </c>
      <c r="U51" t="s">
        <v>783</v>
      </c>
      <c r="V51" s="8">
        <v>1303.56</v>
      </c>
      <c r="W51" s="8">
        <v>1791.37</v>
      </c>
      <c r="X51" s="8">
        <f t="shared" si="1"/>
        <v>815.10700000000008</v>
      </c>
      <c r="Y51" s="8">
        <f t="shared" si="2"/>
        <v>1620.05</v>
      </c>
      <c r="AA51">
        <v>0.126</v>
      </c>
      <c r="AB51">
        <f>IF(Table1[[#This Row],[DiscountPct]]&gt;0.2,1,0)</f>
        <v>0</v>
      </c>
      <c r="AC51" s="6">
        <v>22</v>
      </c>
      <c r="AD51" s="8">
        <f>Table1[[#This Row],[UnitPrice]]*Table1[[#This Row],[Quantity]]</f>
        <v>39410.14</v>
      </c>
      <c r="AE51" s="8">
        <f>Table1[[#This Row],[UnitCost]]*Table1[[#This Row],[Quantity]]</f>
        <v>28678.32</v>
      </c>
      <c r="AF51" s="8">
        <f>Table1[[#This Row],[GrossRevenue]]-Table1[[#This Row],[CostOfGoods]]</f>
        <v>10731.82</v>
      </c>
      <c r="AG51" s="8">
        <f>IF(Table1[[#This Row],[GrossRevenue]]=0,0,Table1[[#This Row],[GrossProfit]]/Table1[[#This Row],[GrossRevenue]])</f>
        <v>0.2723111361695239</v>
      </c>
    </row>
    <row r="52" spans="1:33" x14ac:dyDescent="0.45">
      <c r="A52" t="s">
        <v>65</v>
      </c>
      <c r="B52">
        <v>1</v>
      </c>
      <c r="C52" s="3">
        <v>45602</v>
      </c>
      <c r="D52" s="6">
        <f>YEAR(Table1[[#This Row],[OrderDate]]) * 100 + MONTH(Table1[[#This Row],[OrderDate]])</f>
        <v>202411</v>
      </c>
      <c r="E52" s="6">
        <f>_xlfn.MINIFS(Table1[OrderMonthKey],Table1[Country],Table1[[#This Row],[Country]])</f>
        <v>202301</v>
      </c>
      <c r="F52" s="6">
        <f>Table1[[#This Row],[CountryFirstMonthKey]]</f>
        <v>202301</v>
      </c>
      <c r="G52" s="6">
        <f>12*(INT(Table1[[#This Row],[OrderMonthKey]]/100)-INT(Table1[[#This Row],[CohortMonthKey]]/100)) + (MOD(Table1[[#This Row],[OrderMonthKey]],100)-MOD(Table1[[#This Row],[CohortMonthKey]],100))</f>
        <v>22</v>
      </c>
      <c r="H52" s="3" t="str">
        <f>TEXT(Table1[[#This Row],[OrderDate]],"MMM-YYYY")</f>
        <v>Nov-2024</v>
      </c>
      <c r="I52" s="3" t="str">
        <f t="shared" si="0"/>
        <v>Q3-2023</v>
      </c>
      <c r="J52" s="26" t="str">
        <f>IF(Table1[[#This Row],[LeadTimeDays]]&lt;=7,"Yes","No")</f>
        <v>No</v>
      </c>
      <c r="K52" s="6">
        <f>_xlfn.DAYS(Table1[[#This Row],[CorrectedRequiredDate]],Table1[[#This Row],[OrderDate]])</f>
        <v>16</v>
      </c>
      <c r="L52" s="3">
        <f>IF(Table1[[#This Row],[RequiredDate]]&lt;Table1[[#This Row],[OrderDate]],Table1[[#This Row],[OrderDate]],Table1[[#This Row],[RequiredDate]])</f>
        <v>45618</v>
      </c>
      <c r="M52" s="3">
        <v>45618</v>
      </c>
      <c r="N52" t="s">
        <v>648</v>
      </c>
      <c r="O52" t="s">
        <v>653</v>
      </c>
      <c r="P52" t="s">
        <v>667</v>
      </c>
      <c r="Q52" t="s">
        <v>703</v>
      </c>
      <c r="R52" t="s">
        <v>710</v>
      </c>
      <c r="S52" t="s">
        <v>726</v>
      </c>
      <c r="T52" t="s">
        <v>733</v>
      </c>
      <c r="U52" t="s">
        <v>784</v>
      </c>
      <c r="V52" s="8">
        <v>1454.11</v>
      </c>
      <c r="W52" s="8">
        <v>2629.75</v>
      </c>
      <c r="X52" s="8">
        <f t="shared" si="1"/>
        <v>815.10700000000008</v>
      </c>
      <c r="Y52" s="8">
        <f t="shared" si="2"/>
        <v>1620.05</v>
      </c>
      <c r="Z52" s="8" t="str">
        <f>IF(W51 &lt;= X50, "Low",IF(W51 &lt;= Y51, "Medium", "High"))</f>
        <v>High</v>
      </c>
      <c r="AA52">
        <v>0.29199999999999998</v>
      </c>
      <c r="AB52">
        <f>IF(Table1[[#This Row],[DiscountPct]]&gt;0.2,1,0)</f>
        <v>1</v>
      </c>
      <c r="AC52" s="6">
        <v>8</v>
      </c>
      <c r="AD52" s="8">
        <f>Table1[[#This Row],[UnitPrice]]*Table1[[#This Row],[Quantity]]</f>
        <v>21038</v>
      </c>
      <c r="AE52" s="8">
        <f>Table1[[#This Row],[UnitCost]]*Table1[[#This Row],[Quantity]]</f>
        <v>11632.88</v>
      </c>
      <c r="AF52" s="8">
        <f>Table1[[#This Row],[GrossRevenue]]-Table1[[#This Row],[CostOfGoods]]</f>
        <v>9405.1200000000008</v>
      </c>
      <c r="AG52" s="9">
        <f>IF(Table1[[#This Row],[GrossRevenue]]=0,0,Table1[[#This Row],[GrossProfit]]/Table1[[#This Row],[GrossRevenue]])</f>
        <v>0.44705390246221127</v>
      </c>
    </row>
    <row r="53" spans="1:33" x14ac:dyDescent="0.45">
      <c r="A53" t="s">
        <v>66</v>
      </c>
      <c r="B53">
        <v>1</v>
      </c>
      <c r="C53" s="3">
        <v>45582</v>
      </c>
      <c r="D53" s="6">
        <f>YEAR(Table1[[#This Row],[OrderDate]]) * 100 + MONTH(Table1[[#This Row],[OrderDate]])</f>
        <v>202410</v>
      </c>
      <c r="E53" s="6">
        <f>_xlfn.MINIFS(Table1[OrderMonthKey],Table1[Country],Table1[[#This Row],[Country]])</f>
        <v>202302</v>
      </c>
      <c r="F53" s="6">
        <f>Table1[[#This Row],[CountryFirstMonthKey]]</f>
        <v>202302</v>
      </c>
      <c r="G53" s="6">
        <f>12*(INT(Table1[[#This Row],[OrderMonthKey]]/100)-INT(Table1[[#This Row],[CohortMonthKey]]/100)) + (MOD(Table1[[#This Row],[OrderMonthKey]],100)-MOD(Table1[[#This Row],[CohortMonthKey]],100))</f>
        <v>20</v>
      </c>
      <c r="H53" s="3" t="str">
        <f>TEXT(Table1[[#This Row],[OrderDate]],"MMM-YYYY")</f>
        <v>Oct-2024</v>
      </c>
      <c r="I53" s="3" t="str">
        <f t="shared" si="0"/>
        <v>Q4-2024</v>
      </c>
      <c r="J53" s="26" t="str">
        <f>IF(Table1[[#This Row],[LeadTimeDays]]&lt;=7,"Yes","No")</f>
        <v>No</v>
      </c>
      <c r="K53" s="6">
        <f>_xlfn.DAYS(Table1[[#This Row],[CorrectedRequiredDate]],Table1[[#This Row],[OrderDate]])</f>
        <v>20</v>
      </c>
      <c r="L53" s="3">
        <f>IF(Table1[[#This Row],[RequiredDate]]&lt;Table1[[#This Row],[OrderDate]],Table1[[#This Row],[OrderDate]],Table1[[#This Row],[RequiredDate]])</f>
        <v>45602</v>
      </c>
      <c r="M53" s="3">
        <v>45602</v>
      </c>
      <c r="N53" t="s">
        <v>647</v>
      </c>
      <c r="O53" t="s">
        <v>654</v>
      </c>
      <c r="P53" t="s">
        <v>668</v>
      </c>
      <c r="Q53" t="s">
        <v>706</v>
      </c>
      <c r="R53" t="s">
        <v>710</v>
      </c>
      <c r="S53" t="s">
        <v>719</v>
      </c>
      <c r="T53" t="s">
        <v>732</v>
      </c>
      <c r="U53" t="s">
        <v>785</v>
      </c>
      <c r="V53" s="8">
        <v>72.94</v>
      </c>
      <c r="W53" s="8">
        <v>106.3</v>
      </c>
      <c r="X53" s="8">
        <f t="shared" si="1"/>
        <v>815.10700000000008</v>
      </c>
      <c r="Y53" s="8">
        <f t="shared" si="2"/>
        <v>1620.05</v>
      </c>
      <c r="Z53" s="8" t="str">
        <f>IF(W52 &lt;= X51, "Low",IF(W52 &lt;= Y52, "Medium", "High"))</f>
        <v>High</v>
      </c>
      <c r="AA53">
        <v>0.29499999999999998</v>
      </c>
      <c r="AB53">
        <f>IF(Table1[[#This Row],[DiscountPct]]&gt;0.2,1,0)</f>
        <v>1</v>
      </c>
      <c r="AC53" s="6">
        <v>8</v>
      </c>
      <c r="AD53" s="8">
        <f>Table1[[#This Row],[UnitPrice]]*Table1[[#This Row],[Quantity]]</f>
        <v>850.4</v>
      </c>
      <c r="AE53" s="8">
        <f>Table1[[#This Row],[UnitCost]]*Table1[[#This Row],[Quantity]]</f>
        <v>583.52</v>
      </c>
      <c r="AF53" s="8">
        <f>Table1[[#This Row],[GrossRevenue]]-Table1[[#This Row],[CostOfGoods]]</f>
        <v>266.88</v>
      </c>
      <c r="AG53" s="9">
        <f>IF(Table1[[#This Row],[GrossRevenue]]=0,0,Table1[[#This Row],[GrossProfit]]/Table1[[#This Row],[GrossRevenue]])</f>
        <v>0.31382878645343371</v>
      </c>
    </row>
    <row r="54" spans="1:33" hidden="1" x14ac:dyDescent="0.45">
      <c r="A54" t="s">
        <v>67</v>
      </c>
      <c r="C54" s="3">
        <v>45016</v>
      </c>
      <c r="D54" s="3">
        <f>YEAR(Table1[[#This Row],[OrderDate]]) * 100 + MONTH(Table1[[#This Row],[OrderDate]])</f>
        <v>202303</v>
      </c>
      <c r="E54" s="3">
        <f>_xlfn.MINIFS(Table1[OrderMonthKey],Table1[Country],Table1[[#This Row],[Country]])</f>
        <v>202301</v>
      </c>
      <c r="F54" s="3">
        <f>Table1[[#This Row],[CountryFirstMonthKey]]</f>
        <v>202301</v>
      </c>
      <c r="G54" s="3">
        <f>12*(INT(Table1[[#This Row],[OrderMonthKey]]/100)-INT(Table1[[#This Row],[CohortMonthKey]]/100)) + (MOD(Table1[[#This Row],[OrderMonthKey]],100)-MOD(Table1[[#This Row],[CohortMonthKey]],100))</f>
        <v>2</v>
      </c>
      <c r="H54" s="3" t="str">
        <f>TEXT(Table1[[#This Row],[OrderDate]],"MMM-YYYY")</f>
        <v>Mar-2023</v>
      </c>
      <c r="I54" s="3" t="str">
        <f t="shared" si="0"/>
        <v>Q4-2024</v>
      </c>
      <c r="J54" s="3" t="str">
        <f>IF(Table1[[#This Row],[LeadTimeDays]]&lt;=7,"Yes","No")</f>
        <v>Yes</v>
      </c>
      <c r="K54" s="3">
        <f>_xlfn.DAYS(Table1[[#This Row],[CorrectedRequiredDate]],Table1[[#This Row],[OrderDate]])</f>
        <v>5</v>
      </c>
      <c r="L54" s="3">
        <f>IF(Table1[[#This Row],[RequiredDate]]&lt;Table1[[#This Row],[OrderDate]],Table1[[#This Row],[OrderDate]],Table1[[#This Row],[RequiredDate]])</f>
        <v>45021</v>
      </c>
      <c r="M54" s="3">
        <v>45021</v>
      </c>
      <c r="N54" t="s">
        <v>646</v>
      </c>
      <c r="O54" t="s">
        <v>650</v>
      </c>
      <c r="P54" t="s">
        <v>678</v>
      </c>
      <c r="Q54" t="s">
        <v>702</v>
      </c>
      <c r="R54" t="s">
        <v>709</v>
      </c>
      <c r="S54" t="s">
        <v>717</v>
      </c>
      <c r="T54" t="s">
        <v>731</v>
      </c>
      <c r="U54" t="s">
        <v>786</v>
      </c>
      <c r="V54" s="8">
        <v>533.26</v>
      </c>
      <c r="W54" s="8">
        <v>385.72</v>
      </c>
      <c r="X54" s="8">
        <f t="shared" si="1"/>
        <v>815.10700000000008</v>
      </c>
      <c r="Y54" s="8">
        <f t="shared" si="2"/>
        <v>1620.05</v>
      </c>
      <c r="AA54">
        <v>0</v>
      </c>
      <c r="AB54">
        <f>IF(Table1[[#This Row],[DiscountPct]]&gt;0.2,1,0)</f>
        <v>0</v>
      </c>
      <c r="AC54" s="6">
        <v>15</v>
      </c>
      <c r="AD54" s="8">
        <f>Table1[[#This Row],[UnitPrice]]*Table1[[#This Row],[Quantity]]</f>
        <v>5785.8</v>
      </c>
      <c r="AE54" s="8">
        <f>Table1[[#This Row],[UnitCost]]*Table1[[#This Row],[Quantity]]</f>
        <v>7998.9</v>
      </c>
      <c r="AF54" s="8">
        <f>Table1[[#This Row],[GrossRevenue]]-Table1[[#This Row],[CostOfGoods]]</f>
        <v>-2213.0999999999995</v>
      </c>
      <c r="AG54" s="8">
        <f>IF(Table1[[#This Row],[GrossRevenue]]=0,0,Table1[[#This Row],[GrossProfit]]/Table1[[#This Row],[GrossRevenue]])</f>
        <v>-0.38250544436378708</v>
      </c>
    </row>
    <row r="55" spans="1:33" hidden="1" x14ac:dyDescent="0.45">
      <c r="A55" t="s">
        <v>68</v>
      </c>
      <c r="C55" s="3">
        <v>45678</v>
      </c>
      <c r="D55" s="3">
        <f>YEAR(Table1[[#This Row],[OrderDate]]) * 100 + MONTH(Table1[[#This Row],[OrderDate]])</f>
        <v>202501</v>
      </c>
      <c r="E55" s="3">
        <f>_xlfn.MINIFS(Table1[OrderMonthKey],Table1[Country],Table1[[#This Row],[Country]])</f>
        <v>202301</v>
      </c>
      <c r="F55" s="3">
        <f>Table1[[#This Row],[CountryFirstMonthKey]]</f>
        <v>202301</v>
      </c>
      <c r="G55" s="3">
        <f>12*(INT(Table1[[#This Row],[OrderMonthKey]]/100)-INT(Table1[[#This Row],[CohortMonthKey]]/100)) + (MOD(Table1[[#This Row],[OrderMonthKey]],100)-MOD(Table1[[#This Row],[CohortMonthKey]],100))</f>
        <v>24</v>
      </c>
      <c r="H55" s="3" t="str">
        <f>TEXT(Table1[[#This Row],[OrderDate]],"MMM-YYYY")</f>
        <v>Jan-2025</v>
      </c>
      <c r="I55" s="3" t="str">
        <f t="shared" si="0"/>
        <v>Q1-2023</v>
      </c>
      <c r="J55" s="3" t="str">
        <f>IF(Table1[[#This Row],[LeadTimeDays]]&lt;=7,"Yes","No")</f>
        <v>No</v>
      </c>
      <c r="K55" s="3">
        <f>_xlfn.DAYS(Table1[[#This Row],[CorrectedRequiredDate]],Table1[[#This Row],[OrderDate]])</f>
        <v>26</v>
      </c>
      <c r="L55" s="3">
        <f>IF(Table1[[#This Row],[RequiredDate]]&lt;Table1[[#This Row],[OrderDate]],Table1[[#This Row],[OrderDate]],Table1[[#This Row],[RequiredDate]])</f>
        <v>45704</v>
      </c>
      <c r="M55" s="3">
        <v>45704</v>
      </c>
      <c r="N55" t="s">
        <v>649</v>
      </c>
      <c r="O55" t="s">
        <v>657</v>
      </c>
      <c r="P55" t="s">
        <v>679</v>
      </c>
      <c r="Q55" t="s">
        <v>701</v>
      </c>
      <c r="R55" t="s">
        <v>710</v>
      </c>
      <c r="S55" t="s">
        <v>719</v>
      </c>
      <c r="T55" t="s">
        <v>731</v>
      </c>
      <c r="U55" t="s">
        <v>787</v>
      </c>
      <c r="V55" s="8">
        <v>204.11</v>
      </c>
      <c r="W55" s="8">
        <v>236.87</v>
      </c>
      <c r="X55" s="8">
        <f t="shared" si="1"/>
        <v>815.10700000000008</v>
      </c>
      <c r="Y55" s="8">
        <f t="shared" si="2"/>
        <v>1620.05</v>
      </c>
      <c r="AA55">
        <v>0.182</v>
      </c>
      <c r="AB55">
        <f>IF(Table1[[#This Row],[DiscountPct]]&gt;0.2,1,0)</f>
        <v>0</v>
      </c>
      <c r="AC55" s="6">
        <v>13</v>
      </c>
      <c r="AD55" s="8">
        <f>Table1[[#This Row],[UnitPrice]]*Table1[[#This Row],[Quantity]]</f>
        <v>3079.31</v>
      </c>
      <c r="AE55" s="8">
        <f>Table1[[#This Row],[UnitCost]]*Table1[[#This Row],[Quantity]]</f>
        <v>2653.4300000000003</v>
      </c>
      <c r="AF55" s="8">
        <f>Table1[[#This Row],[GrossRevenue]]-Table1[[#This Row],[CostOfGoods]]</f>
        <v>425.87999999999965</v>
      </c>
      <c r="AG55" s="8">
        <f>IF(Table1[[#This Row],[GrossRevenue]]=0,0,Table1[[#This Row],[GrossProfit]]/Table1[[#This Row],[GrossRevenue]])</f>
        <v>0.13830371089627211</v>
      </c>
    </row>
    <row r="56" spans="1:33" hidden="1" x14ac:dyDescent="0.45">
      <c r="A56" t="s">
        <v>69</v>
      </c>
      <c r="C56" s="3">
        <v>45168</v>
      </c>
      <c r="D56" s="3">
        <f>YEAR(Table1[[#This Row],[OrderDate]]) * 100 + MONTH(Table1[[#This Row],[OrderDate]])</f>
        <v>202308</v>
      </c>
      <c r="E56" s="3">
        <f>_xlfn.MINIFS(Table1[OrderMonthKey],Table1[Country],Table1[[#This Row],[Country]])</f>
        <v>202301</v>
      </c>
      <c r="F56" s="3">
        <f>Table1[[#This Row],[CountryFirstMonthKey]]</f>
        <v>202301</v>
      </c>
      <c r="G56" s="3">
        <f>12*(INT(Table1[[#This Row],[OrderMonthKey]]/100)-INT(Table1[[#This Row],[CohortMonthKey]]/100)) + (MOD(Table1[[#This Row],[OrderMonthKey]],100)-MOD(Table1[[#This Row],[CohortMonthKey]],100))</f>
        <v>7</v>
      </c>
      <c r="H56" s="3" t="str">
        <f>TEXT(Table1[[#This Row],[OrderDate]],"MMM-YYYY")</f>
        <v>Aug-2023</v>
      </c>
      <c r="I56" s="3" t="str">
        <f t="shared" si="0"/>
        <v>Q1-2025</v>
      </c>
      <c r="J56" s="3" t="str">
        <f>IF(Table1[[#This Row],[LeadTimeDays]]&lt;=7,"Yes","No")</f>
        <v>Yes</v>
      </c>
      <c r="K56" s="3">
        <f>_xlfn.DAYS(Table1[[#This Row],[CorrectedRequiredDate]],Table1[[#This Row],[OrderDate]])</f>
        <v>2</v>
      </c>
      <c r="L56" s="3">
        <f>IF(Table1[[#This Row],[RequiredDate]]&lt;Table1[[#This Row],[OrderDate]],Table1[[#This Row],[OrderDate]],Table1[[#This Row],[RequiredDate]])</f>
        <v>45170</v>
      </c>
      <c r="M56" s="3">
        <v>45170</v>
      </c>
      <c r="N56" t="s">
        <v>649</v>
      </c>
      <c r="O56" t="s">
        <v>656</v>
      </c>
      <c r="P56" t="s">
        <v>684</v>
      </c>
      <c r="Q56" t="s">
        <v>701</v>
      </c>
      <c r="R56" t="s">
        <v>711</v>
      </c>
      <c r="S56" t="s">
        <v>725</v>
      </c>
      <c r="T56" t="s">
        <v>729</v>
      </c>
      <c r="U56" t="s">
        <v>788</v>
      </c>
      <c r="V56" s="8">
        <v>44.42</v>
      </c>
      <c r="W56" s="8">
        <v>41.9</v>
      </c>
      <c r="X56" s="8">
        <f t="shared" si="1"/>
        <v>815.10700000000008</v>
      </c>
      <c r="Y56" s="8">
        <f t="shared" si="2"/>
        <v>1620.05</v>
      </c>
      <c r="AA56">
        <v>0.14399999999999999</v>
      </c>
      <c r="AB56">
        <f>IF(Table1[[#This Row],[DiscountPct]]&gt;0.2,1,0)</f>
        <v>0</v>
      </c>
      <c r="AC56" s="6">
        <v>6</v>
      </c>
      <c r="AD56" s="8">
        <f>Table1[[#This Row],[UnitPrice]]*Table1[[#This Row],[Quantity]]</f>
        <v>251.39999999999998</v>
      </c>
      <c r="AE56" s="8">
        <f>Table1[[#This Row],[UnitCost]]*Table1[[#This Row],[Quantity]]</f>
        <v>266.52</v>
      </c>
      <c r="AF56" s="8">
        <f>Table1[[#This Row],[GrossRevenue]]-Table1[[#This Row],[CostOfGoods]]</f>
        <v>-15.120000000000005</v>
      </c>
      <c r="AG56" s="8">
        <f>IF(Table1[[#This Row],[GrossRevenue]]=0,0,Table1[[#This Row],[GrossProfit]]/Table1[[#This Row],[GrossRevenue]])</f>
        <v>-6.014319809069215E-2</v>
      </c>
    </row>
    <row r="57" spans="1:33" x14ac:dyDescent="0.45">
      <c r="A57" t="s">
        <v>70</v>
      </c>
      <c r="B57">
        <v>1</v>
      </c>
      <c r="C57" s="3">
        <v>45753</v>
      </c>
      <c r="D57" s="6">
        <f>YEAR(Table1[[#This Row],[OrderDate]]) * 100 + MONTH(Table1[[#This Row],[OrderDate]])</f>
        <v>202504</v>
      </c>
      <c r="E57" s="6">
        <f>_xlfn.MINIFS(Table1[OrderMonthKey],Table1[Country],Table1[[#This Row],[Country]])</f>
        <v>202301</v>
      </c>
      <c r="F57" s="6">
        <f>Table1[[#This Row],[CountryFirstMonthKey]]</f>
        <v>202301</v>
      </c>
      <c r="G57" s="6">
        <f>12*(INT(Table1[[#This Row],[OrderMonthKey]]/100)-INT(Table1[[#This Row],[CohortMonthKey]]/100)) + (MOD(Table1[[#This Row],[OrderMonthKey]],100)-MOD(Table1[[#This Row],[CohortMonthKey]],100))</f>
        <v>27</v>
      </c>
      <c r="H57" s="3" t="str">
        <f>TEXT(Table1[[#This Row],[OrderDate]],"MMM-YYYY")</f>
        <v>Apr-2025</v>
      </c>
      <c r="I57" s="3" t="str">
        <f t="shared" si="0"/>
        <v>Q3-2023</v>
      </c>
      <c r="J57" s="26" t="str">
        <f>IF(Table1[[#This Row],[LeadTimeDays]]&lt;=7,"Yes","No")</f>
        <v>No</v>
      </c>
      <c r="K57" s="6">
        <f>_xlfn.DAYS(Table1[[#This Row],[CorrectedRequiredDate]],Table1[[#This Row],[OrderDate]])</f>
        <v>24</v>
      </c>
      <c r="L57" s="3">
        <f>IF(Table1[[#This Row],[RequiredDate]]&lt;Table1[[#This Row],[OrderDate]],Table1[[#This Row],[OrderDate]],Table1[[#This Row],[RequiredDate]])</f>
        <v>45777</v>
      </c>
      <c r="M57" s="3">
        <v>45777</v>
      </c>
      <c r="N57" t="s">
        <v>648</v>
      </c>
      <c r="O57" t="s">
        <v>655</v>
      </c>
      <c r="P57" t="s">
        <v>672</v>
      </c>
      <c r="Q57" t="s">
        <v>702</v>
      </c>
      <c r="R57" t="s">
        <v>708</v>
      </c>
      <c r="S57" t="s">
        <v>723</v>
      </c>
      <c r="T57" t="s">
        <v>732</v>
      </c>
      <c r="U57" t="s">
        <v>789</v>
      </c>
      <c r="V57" s="8">
        <v>855.78</v>
      </c>
      <c r="W57" s="8">
        <v>977.38</v>
      </c>
      <c r="X57" s="8">
        <f t="shared" si="1"/>
        <v>815.10700000000008</v>
      </c>
      <c r="Y57" s="8">
        <f t="shared" si="2"/>
        <v>1620.05</v>
      </c>
      <c r="Z57" s="8" t="str">
        <f>IF(W56 &lt;= X55, "Low",IF(W56 &lt;= Y56, "Medium", "High"))</f>
        <v>Low</v>
      </c>
      <c r="AA57">
        <v>0.14699999999999999</v>
      </c>
      <c r="AB57">
        <f>IF(Table1[[#This Row],[DiscountPct]]&gt;0.2,1,0)</f>
        <v>0</v>
      </c>
      <c r="AC57" s="6">
        <v>38</v>
      </c>
      <c r="AD57" s="8">
        <f>Table1[[#This Row],[UnitPrice]]*Table1[[#This Row],[Quantity]]</f>
        <v>37140.44</v>
      </c>
      <c r="AE57" s="8">
        <f>Table1[[#This Row],[UnitCost]]*Table1[[#This Row],[Quantity]]</f>
        <v>32519.64</v>
      </c>
      <c r="AF57" s="8">
        <f>Table1[[#This Row],[GrossRevenue]]-Table1[[#This Row],[CostOfGoods]]</f>
        <v>4620.8000000000029</v>
      </c>
      <c r="AG57" s="9">
        <f>IF(Table1[[#This Row],[GrossRevenue]]=0,0,Table1[[#This Row],[GrossProfit]]/Table1[[#This Row],[GrossRevenue]])</f>
        <v>0.12441425034275315</v>
      </c>
    </row>
    <row r="58" spans="1:33" x14ac:dyDescent="0.45">
      <c r="A58" t="s">
        <v>71</v>
      </c>
      <c r="B58">
        <v>1</v>
      </c>
      <c r="C58" s="3">
        <v>45697</v>
      </c>
      <c r="D58" s="6">
        <f>YEAR(Table1[[#This Row],[OrderDate]]) * 100 + MONTH(Table1[[#This Row],[OrderDate]])</f>
        <v>202502</v>
      </c>
      <c r="E58" s="6">
        <f>_xlfn.MINIFS(Table1[OrderMonthKey],Table1[Country],Table1[[#This Row],[Country]])</f>
        <v>202301</v>
      </c>
      <c r="F58" s="6">
        <f>Table1[[#This Row],[CountryFirstMonthKey]]</f>
        <v>202301</v>
      </c>
      <c r="G58" s="6">
        <f>12*(INT(Table1[[#This Row],[OrderMonthKey]]/100)-INT(Table1[[#This Row],[CohortMonthKey]]/100)) + (MOD(Table1[[#This Row],[OrderMonthKey]],100)-MOD(Table1[[#This Row],[CohortMonthKey]],100))</f>
        <v>25</v>
      </c>
      <c r="H58" s="3" t="str">
        <f>TEXT(Table1[[#This Row],[OrderDate]],"MMM-YYYY")</f>
        <v>Feb-2025</v>
      </c>
      <c r="I58" s="3" t="str">
        <f t="shared" si="0"/>
        <v>Q2-2025</v>
      </c>
      <c r="J58" s="26" t="str">
        <f>IF(Table1[[#This Row],[LeadTimeDays]]&lt;=7,"Yes","No")</f>
        <v>No</v>
      </c>
      <c r="K58" s="6">
        <f>_xlfn.DAYS(Table1[[#This Row],[CorrectedRequiredDate]],Table1[[#This Row],[OrderDate]])</f>
        <v>20</v>
      </c>
      <c r="L58" s="3">
        <f>IF(Table1[[#This Row],[RequiredDate]]&lt;Table1[[#This Row],[OrderDate]],Table1[[#This Row],[OrderDate]],Table1[[#This Row],[RequiredDate]])</f>
        <v>45717</v>
      </c>
      <c r="M58" s="3">
        <v>45717</v>
      </c>
      <c r="N58" t="s">
        <v>648</v>
      </c>
      <c r="O58" t="s">
        <v>655</v>
      </c>
      <c r="P58" t="s">
        <v>670</v>
      </c>
      <c r="Q58" t="s">
        <v>701</v>
      </c>
      <c r="R58" t="s">
        <v>710</v>
      </c>
      <c r="S58" t="s">
        <v>717</v>
      </c>
      <c r="T58" t="s">
        <v>731</v>
      </c>
      <c r="U58" t="s">
        <v>790</v>
      </c>
      <c r="V58" s="8">
        <v>1154.6400000000001</v>
      </c>
      <c r="W58" s="8">
        <v>2794.13</v>
      </c>
      <c r="X58" s="8">
        <f t="shared" si="1"/>
        <v>815.10700000000008</v>
      </c>
      <c r="Y58" s="8">
        <f t="shared" si="2"/>
        <v>1620.05</v>
      </c>
      <c r="Z58" s="8" t="str">
        <f>IF(W57 &lt;= X56, "Low",IF(W57 &lt;= Y57, "Medium", "High"))</f>
        <v>Medium</v>
      </c>
      <c r="AA58">
        <v>3.5000000000000003E-2</v>
      </c>
      <c r="AB58">
        <f>IF(Table1[[#This Row],[DiscountPct]]&gt;0.2,1,0)</f>
        <v>0</v>
      </c>
      <c r="AC58" s="6">
        <v>11</v>
      </c>
      <c r="AD58" s="8">
        <f>Table1[[#This Row],[UnitPrice]]*Table1[[#This Row],[Quantity]]</f>
        <v>30735.43</v>
      </c>
      <c r="AE58" s="8">
        <f>Table1[[#This Row],[UnitCost]]*Table1[[#This Row],[Quantity]]</f>
        <v>12701.04</v>
      </c>
      <c r="AF58" s="8">
        <f>Table1[[#This Row],[GrossRevenue]]-Table1[[#This Row],[CostOfGoods]]</f>
        <v>18034.39</v>
      </c>
      <c r="AG58" s="9">
        <f>IF(Table1[[#This Row],[GrossRevenue]]=0,0,Table1[[#This Row],[GrossProfit]]/Table1[[#This Row],[GrossRevenue]])</f>
        <v>0.58676224799848253</v>
      </c>
    </row>
    <row r="59" spans="1:33" hidden="1" x14ac:dyDescent="0.45">
      <c r="A59" t="s">
        <v>72</v>
      </c>
      <c r="C59" s="3">
        <v>45643</v>
      </c>
      <c r="D59" s="3">
        <f>YEAR(Table1[[#This Row],[OrderDate]]) * 100 + MONTH(Table1[[#This Row],[OrderDate]])</f>
        <v>202412</v>
      </c>
      <c r="E59" s="3">
        <f>_xlfn.MINIFS(Table1[OrderMonthKey],Table1[Country],Table1[[#This Row],[Country]])</f>
        <v>202301</v>
      </c>
      <c r="F59" s="3">
        <f>Table1[[#This Row],[CountryFirstMonthKey]]</f>
        <v>202301</v>
      </c>
      <c r="G59" s="3">
        <f>12*(INT(Table1[[#This Row],[OrderMonthKey]]/100)-INT(Table1[[#This Row],[CohortMonthKey]]/100)) + (MOD(Table1[[#This Row],[OrderMonthKey]],100)-MOD(Table1[[#This Row],[CohortMonthKey]],100))</f>
        <v>23</v>
      </c>
      <c r="H59" s="3" t="str">
        <f>TEXT(Table1[[#This Row],[OrderDate]],"MMM-YYYY")</f>
        <v>Dec-2024</v>
      </c>
      <c r="I59" s="3" t="str">
        <f t="shared" si="0"/>
        <v>Q1-2025</v>
      </c>
      <c r="J59" s="3" t="str">
        <f>IF(Table1[[#This Row],[LeadTimeDays]]&lt;=7,"Yes","No")</f>
        <v>Yes</v>
      </c>
      <c r="K59" s="3">
        <f>_xlfn.DAYS(Table1[[#This Row],[CorrectedRequiredDate]],Table1[[#This Row],[OrderDate]])</f>
        <v>1</v>
      </c>
      <c r="L59" s="3">
        <f>IF(Table1[[#This Row],[RequiredDate]]&lt;Table1[[#This Row],[OrderDate]],Table1[[#This Row],[OrderDate]],Table1[[#This Row],[RequiredDate]])</f>
        <v>45644</v>
      </c>
      <c r="M59" s="3">
        <v>45644</v>
      </c>
      <c r="N59" t="s">
        <v>649</v>
      </c>
      <c r="O59" t="s">
        <v>656</v>
      </c>
      <c r="P59" t="s">
        <v>684</v>
      </c>
      <c r="Q59" t="s">
        <v>702</v>
      </c>
      <c r="R59" t="s">
        <v>707</v>
      </c>
      <c r="S59" t="s">
        <v>716</v>
      </c>
      <c r="T59" t="s">
        <v>733</v>
      </c>
      <c r="U59" t="s">
        <v>791</v>
      </c>
      <c r="V59" s="8">
        <v>346.82</v>
      </c>
      <c r="W59" s="8">
        <v>701.95</v>
      </c>
      <c r="X59" s="8">
        <f t="shared" si="1"/>
        <v>815.10700000000008</v>
      </c>
      <c r="Y59" s="8">
        <f t="shared" si="2"/>
        <v>1620.05</v>
      </c>
      <c r="AA59">
        <v>0.14699999999999999</v>
      </c>
      <c r="AB59">
        <f>IF(Table1[[#This Row],[DiscountPct]]&gt;0.2,1,0)</f>
        <v>0</v>
      </c>
      <c r="AC59" s="6">
        <v>8</v>
      </c>
      <c r="AD59" s="8">
        <f>Table1[[#This Row],[UnitPrice]]*Table1[[#This Row],[Quantity]]</f>
        <v>5615.6</v>
      </c>
      <c r="AE59" s="8">
        <f>Table1[[#This Row],[UnitCost]]*Table1[[#This Row],[Quantity]]</f>
        <v>2774.56</v>
      </c>
      <c r="AF59" s="8">
        <f>Table1[[#This Row],[GrossRevenue]]-Table1[[#This Row],[CostOfGoods]]</f>
        <v>2841.0400000000004</v>
      </c>
      <c r="AG59" s="8">
        <f>IF(Table1[[#This Row],[GrossRevenue]]=0,0,Table1[[#This Row],[GrossProfit]]/Table1[[#This Row],[GrossRevenue]])</f>
        <v>0.50591922501602682</v>
      </c>
    </row>
    <row r="60" spans="1:33" hidden="1" x14ac:dyDescent="0.45">
      <c r="A60" t="s">
        <v>73</v>
      </c>
      <c r="C60" s="3">
        <v>45817</v>
      </c>
      <c r="D60" s="3">
        <f>YEAR(Table1[[#This Row],[OrderDate]]) * 100 + MONTH(Table1[[#This Row],[OrderDate]])</f>
        <v>202506</v>
      </c>
      <c r="E60" s="3">
        <f>_xlfn.MINIFS(Table1[OrderMonthKey],Table1[Country],Table1[[#This Row],[Country]])</f>
        <v>202301</v>
      </c>
      <c r="F60" s="3">
        <f>Table1[[#This Row],[CountryFirstMonthKey]]</f>
        <v>202301</v>
      </c>
      <c r="G60" s="3">
        <f>12*(INT(Table1[[#This Row],[OrderMonthKey]]/100)-INT(Table1[[#This Row],[CohortMonthKey]]/100)) + (MOD(Table1[[#This Row],[OrderMonthKey]],100)-MOD(Table1[[#This Row],[CohortMonthKey]],100))</f>
        <v>29</v>
      </c>
      <c r="H60" s="3" t="str">
        <f>TEXT(Table1[[#This Row],[OrderDate]],"MMM-YYYY")</f>
        <v>Jun-2025</v>
      </c>
      <c r="I60" s="3" t="str">
        <f t="shared" si="0"/>
        <v>Q4-2024</v>
      </c>
      <c r="J60" s="3" t="str">
        <f>IF(Table1[[#This Row],[LeadTimeDays]]&lt;=7,"Yes","No")</f>
        <v>No</v>
      </c>
      <c r="K60" s="3">
        <f>_xlfn.DAYS(Table1[[#This Row],[CorrectedRequiredDate]],Table1[[#This Row],[OrderDate]])</f>
        <v>9</v>
      </c>
      <c r="L60" s="3">
        <f>IF(Table1[[#This Row],[RequiredDate]]&lt;Table1[[#This Row],[OrderDate]],Table1[[#This Row],[OrderDate]],Table1[[#This Row],[RequiredDate]])</f>
        <v>45826</v>
      </c>
      <c r="M60" s="3">
        <v>45826</v>
      </c>
      <c r="N60" t="s">
        <v>649</v>
      </c>
      <c r="O60" t="s">
        <v>657</v>
      </c>
      <c r="P60" t="s">
        <v>673</v>
      </c>
      <c r="Q60" t="s">
        <v>705</v>
      </c>
      <c r="R60" t="s">
        <v>709</v>
      </c>
      <c r="S60" t="s">
        <v>722</v>
      </c>
      <c r="T60" t="s">
        <v>733</v>
      </c>
      <c r="U60" t="s">
        <v>792</v>
      </c>
      <c r="V60" s="8">
        <v>1225.5</v>
      </c>
      <c r="W60" s="8">
        <v>5.27</v>
      </c>
      <c r="X60" s="8">
        <f t="shared" si="1"/>
        <v>815.10700000000008</v>
      </c>
      <c r="Y60" s="8">
        <f t="shared" si="2"/>
        <v>1620.05</v>
      </c>
      <c r="AA60">
        <v>7.4999999999999997E-2</v>
      </c>
      <c r="AB60">
        <f>IF(Table1[[#This Row],[DiscountPct]]&gt;0.2,1,0)</f>
        <v>0</v>
      </c>
      <c r="AC60" s="6">
        <v>56</v>
      </c>
      <c r="AD60" s="8">
        <f>Table1[[#This Row],[UnitPrice]]*Table1[[#This Row],[Quantity]]</f>
        <v>295.12</v>
      </c>
      <c r="AE60" s="8">
        <f>Table1[[#This Row],[UnitCost]]*Table1[[#This Row],[Quantity]]</f>
        <v>68628</v>
      </c>
      <c r="AF60" s="8">
        <f>Table1[[#This Row],[GrossRevenue]]-Table1[[#This Row],[CostOfGoods]]</f>
        <v>-68332.88</v>
      </c>
      <c r="AG60" s="8">
        <f>IF(Table1[[#This Row],[GrossRevenue]]=0,0,Table1[[#This Row],[GrossProfit]]/Table1[[#This Row],[GrossRevenue]])</f>
        <v>-231.54269449715372</v>
      </c>
    </row>
    <row r="61" spans="1:33" hidden="1" x14ac:dyDescent="0.45">
      <c r="A61" t="s">
        <v>74</v>
      </c>
      <c r="C61" s="3">
        <v>45779</v>
      </c>
      <c r="D61" s="3">
        <f>YEAR(Table1[[#This Row],[OrderDate]]) * 100 + MONTH(Table1[[#This Row],[OrderDate]])</f>
        <v>202505</v>
      </c>
      <c r="E61" s="3">
        <f>_xlfn.MINIFS(Table1[OrderMonthKey],Table1[Country],Table1[[#This Row],[Country]])</f>
        <v>202301</v>
      </c>
      <c r="F61" s="3">
        <f>Table1[[#This Row],[CountryFirstMonthKey]]</f>
        <v>202301</v>
      </c>
      <c r="G61" s="3">
        <f>12*(INT(Table1[[#This Row],[OrderMonthKey]]/100)-INT(Table1[[#This Row],[CohortMonthKey]]/100)) + (MOD(Table1[[#This Row],[OrderMonthKey]],100)-MOD(Table1[[#This Row],[CohortMonthKey]],100))</f>
        <v>28</v>
      </c>
      <c r="H61" s="3" t="str">
        <f>TEXT(Table1[[#This Row],[OrderDate]],"MMM-YYYY")</f>
        <v>May-2025</v>
      </c>
      <c r="I61" s="3" t="str">
        <f t="shared" si="0"/>
        <v>Q2-2025</v>
      </c>
      <c r="J61" s="3" t="str">
        <f>IF(Table1[[#This Row],[LeadTimeDays]]&lt;=7,"Yes","No")</f>
        <v>No</v>
      </c>
      <c r="K61" s="3">
        <f>_xlfn.DAYS(Table1[[#This Row],[CorrectedRequiredDate]],Table1[[#This Row],[OrderDate]])</f>
        <v>11</v>
      </c>
      <c r="L61" s="3">
        <f>IF(Table1[[#This Row],[RequiredDate]]&lt;Table1[[#This Row],[OrderDate]],Table1[[#This Row],[OrderDate]],Table1[[#This Row],[RequiredDate]])</f>
        <v>45790</v>
      </c>
      <c r="M61" s="3">
        <v>45790</v>
      </c>
      <c r="N61" t="s">
        <v>646</v>
      </c>
      <c r="O61" t="s">
        <v>650</v>
      </c>
      <c r="P61" t="s">
        <v>678</v>
      </c>
      <c r="Q61" t="s">
        <v>705</v>
      </c>
      <c r="R61" t="s">
        <v>708</v>
      </c>
      <c r="S61" t="s">
        <v>720</v>
      </c>
      <c r="T61" t="s">
        <v>733</v>
      </c>
      <c r="U61" t="s">
        <v>793</v>
      </c>
      <c r="V61" s="8">
        <v>1057.5999999999999</v>
      </c>
      <c r="W61" s="8">
        <v>1437.06</v>
      </c>
      <c r="X61" s="8">
        <f t="shared" si="1"/>
        <v>815.10700000000008</v>
      </c>
      <c r="Y61" s="8">
        <f t="shared" si="2"/>
        <v>1620.05</v>
      </c>
      <c r="AA61">
        <v>0.20499999999999999</v>
      </c>
      <c r="AB61">
        <f>IF(Table1[[#This Row],[DiscountPct]]&gt;0.2,1,0)</f>
        <v>1</v>
      </c>
      <c r="AC61" s="6">
        <v>4</v>
      </c>
      <c r="AD61" s="8">
        <f>Table1[[#This Row],[UnitPrice]]*Table1[[#This Row],[Quantity]]</f>
        <v>5748.24</v>
      </c>
      <c r="AE61" s="8">
        <f>Table1[[#This Row],[UnitCost]]*Table1[[#This Row],[Quantity]]</f>
        <v>4230.3999999999996</v>
      </c>
      <c r="AF61" s="8">
        <f>Table1[[#This Row],[GrossRevenue]]-Table1[[#This Row],[CostOfGoods]]</f>
        <v>1517.8400000000001</v>
      </c>
      <c r="AG61" s="8">
        <f>IF(Table1[[#This Row],[GrossRevenue]]=0,0,Table1[[#This Row],[GrossProfit]]/Table1[[#This Row],[GrossRevenue]])</f>
        <v>0.2640529970912836</v>
      </c>
    </row>
    <row r="62" spans="1:33" hidden="1" x14ac:dyDescent="0.45">
      <c r="A62" t="s">
        <v>75</v>
      </c>
      <c r="C62" s="3">
        <v>45361</v>
      </c>
      <c r="D62" s="3">
        <f>YEAR(Table1[[#This Row],[OrderDate]]) * 100 + MONTH(Table1[[#This Row],[OrderDate]])</f>
        <v>202403</v>
      </c>
      <c r="E62" s="3">
        <f>_xlfn.MINIFS(Table1[OrderMonthKey],Table1[Country],Table1[[#This Row],[Country]])</f>
        <v>202301</v>
      </c>
      <c r="F62" s="3">
        <f>Table1[[#This Row],[CountryFirstMonthKey]]</f>
        <v>202301</v>
      </c>
      <c r="G62" s="3">
        <f>12*(INT(Table1[[#This Row],[OrderMonthKey]]/100)-INT(Table1[[#This Row],[CohortMonthKey]]/100)) + (MOD(Table1[[#This Row],[OrderMonthKey]],100)-MOD(Table1[[#This Row],[CohortMonthKey]],100))</f>
        <v>14</v>
      </c>
      <c r="H62" s="3" t="str">
        <f>TEXT(Table1[[#This Row],[OrderDate]],"MMM-YYYY")</f>
        <v>Mar-2024</v>
      </c>
      <c r="I62" s="3" t="str">
        <f t="shared" si="0"/>
        <v>Q2-2025</v>
      </c>
      <c r="J62" s="3" t="str">
        <f>IF(Table1[[#This Row],[LeadTimeDays]]&lt;=7,"Yes","No")</f>
        <v>No</v>
      </c>
      <c r="K62" s="3">
        <f>_xlfn.DAYS(Table1[[#This Row],[CorrectedRequiredDate]],Table1[[#This Row],[OrderDate]])</f>
        <v>30</v>
      </c>
      <c r="L62" s="3">
        <f>IF(Table1[[#This Row],[RequiredDate]]&lt;Table1[[#This Row],[OrderDate]],Table1[[#This Row],[OrderDate]],Table1[[#This Row],[RequiredDate]])</f>
        <v>45391</v>
      </c>
      <c r="M62" s="3">
        <v>45391</v>
      </c>
      <c r="N62" t="s">
        <v>649</v>
      </c>
      <c r="O62" t="s">
        <v>657</v>
      </c>
      <c r="P62" t="s">
        <v>679</v>
      </c>
      <c r="Q62" t="s">
        <v>701</v>
      </c>
      <c r="R62" t="s">
        <v>711</v>
      </c>
      <c r="S62" t="s">
        <v>714</v>
      </c>
      <c r="T62" t="s">
        <v>727</v>
      </c>
      <c r="U62" t="s">
        <v>794</v>
      </c>
      <c r="V62" s="8">
        <v>1176.56</v>
      </c>
      <c r="W62" s="8">
        <v>1911.89</v>
      </c>
      <c r="X62" s="8">
        <f t="shared" si="1"/>
        <v>815.10700000000008</v>
      </c>
      <c r="Y62" s="8">
        <f t="shared" si="2"/>
        <v>1620.05</v>
      </c>
      <c r="AA62">
        <v>0.11899999999999999</v>
      </c>
      <c r="AB62">
        <f>IF(Table1[[#This Row],[DiscountPct]]&gt;0.2,1,0)</f>
        <v>0</v>
      </c>
      <c r="AC62" s="6">
        <v>20</v>
      </c>
      <c r="AD62" s="8">
        <f>Table1[[#This Row],[UnitPrice]]*Table1[[#This Row],[Quantity]]</f>
        <v>38237.800000000003</v>
      </c>
      <c r="AE62" s="8">
        <f>Table1[[#This Row],[UnitCost]]*Table1[[#This Row],[Quantity]]</f>
        <v>23531.199999999997</v>
      </c>
      <c r="AF62" s="8">
        <f>Table1[[#This Row],[GrossRevenue]]-Table1[[#This Row],[CostOfGoods]]</f>
        <v>14706.600000000006</v>
      </c>
      <c r="AG62" s="8">
        <f>IF(Table1[[#This Row],[GrossRevenue]]=0,0,Table1[[#This Row],[GrossProfit]]/Table1[[#This Row],[GrossRevenue]])</f>
        <v>0.38460894716746269</v>
      </c>
    </row>
    <row r="63" spans="1:33" hidden="1" x14ac:dyDescent="0.45">
      <c r="A63" t="s">
        <v>76</v>
      </c>
      <c r="C63" s="3">
        <v>45910</v>
      </c>
      <c r="D63" s="3">
        <f>YEAR(Table1[[#This Row],[OrderDate]]) * 100 + MONTH(Table1[[#This Row],[OrderDate]])</f>
        <v>202509</v>
      </c>
      <c r="E63" s="3">
        <f>_xlfn.MINIFS(Table1[OrderMonthKey],Table1[Country],Table1[[#This Row],[Country]])</f>
        <v>202303</v>
      </c>
      <c r="F63" s="3">
        <f>Table1[[#This Row],[CountryFirstMonthKey]]</f>
        <v>202303</v>
      </c>
      <c r="G63" s="3">
        <f>12*(INT(Table1[[#This Row],[OrderMonthKey]]/100)-INT(Table1[[#This Row],[CohortMonthKey]]/100)) + (MOD(Table1[[#This Row],[OrderMonthKey]],100)-MOD(Table1[[#This Row],[CohortMonthKey]],100))</f>
        <v>30</v>
      </c>
      <c r="H63" s="3" t="str">
        <f>TEXT(Table1[[#This Row],[OrderDate]],"MMM-YYYY")</f>
        <v>Sep-2025</v>
      </c>
      <c r="I63" s="3" t="str">
        <f t="shared" si="0"/>
        <v>Q1-2024</v>
      </c>
      <c r="J63" s="3" t="str">
        <f>IF(Table1[[#This Row],[LeadTimeDays]]&lt;=7,"Yes","No")</f>
        <v>Yes</v>
      </c>
      <c r="K63" s="3">
        <f>_xlfn.DAYS(Table1[[#This Row],[CorrectedRequiredDate]],Table1[[#This Row],[OrderDate]])</f>
        <v>2</v>
      </c>
      <c r="L63" s="3">
        <f>IF(Table1[[#This Row],[RequiredDate]]&lt;Table1[[#This Row],[OrderDate]],Table1[[#This Row],[OrderDate]],Table1[[#This Row],[RequiredDate]])</f>
        <v>45912</v>
      </c>
      <c r="M63" s="3">
        <v>45912</v>
      </c>
      <c r="N63" t="s">
        <v>647</v>
      </c>
      <c r="O63" t="s">
        <v>652</v>
      </c>
      <c r="P63" t="s">
        <v>689</v>
      </c>
      <c r="Q63" t="s">
        <v>704</v>
      </c>
      <c r="R63" t="s">
        <v>708</v>
      </c>
      <c r="S63" t="s">
        <v>719</v>
      </c>
      <c r="T63" t="s">
        <v>727</v>
      </c>
      <c r="U63" t="s">
        <v>795</v>
      </c>
      <c r="V63" s="8">
        <v>1470.15</v>
      </c>
      <c r="W63" s="8">
        <v>2593.7800000000002</v>
      </c>
      <c r="X63" s="8">
        <f t="shared" si="1"/>
        <v>815.10700000000008</v>
      </c>
      <c r="Y63" s="8">
        <f t="shared" si="2"/>
        <v>1620.05</v>
      </c>
      <c r="AA63">
        <v>0.11</v>
      </c>
      <c r="AB63">
        <f>IF(Table1[[#This Row],[DiscountPct]]&gt;0.2,1,0)</f>
        <v>0</v>
      </c>
      <c r="AC63" s="6">
        <v>12</v>
      </c>
      <c r="AD63" s="8">
        <f>Table1[[#This Row],[UnitPrice]]*Table1[[#This Row],[Quantity]]</f>
        <v>31125.360000000001</v>
      </c>
      <c r="AE63" s="8">
        <f>Table1[[#This Row],[UnitCost]]*Table1[[#This Row],[Quantity]]</f>
        <v>17641.800000000003</v>
      </c>
      <c r="AF63" s="8">
        <f>Table1[[#This Row],[GrossRevenue]]-Table1[[#This Row],[CostOfGoods]]</f>
        <v>13483.559999999998</v>
      </c>
      <c r="AG63" s="8">
        <f>IF(Table1[[#This Row],[GrossRevenue]]=0,0,Table1[[#This Row],[GrossProfit]]/Table1[[#This Row],[GrossRevenue]])</f>
        <v>0.43320173646184323</v>
      </c>
    </row>
    <row r="64" spans="1:33" hidden="1" x14ac:dyDescent="0.45">
      <c r="A64" t="s">
        <v>77</v>
      </c>
      <c r="C64" s="3">
        <v>45774</v>
      </c>
      <c r="D64" s="3">
        <f>YEAR(Table1[[#This Row],[OrderDate]]) * 100 + MONTH(Table1[[#This Row],[OrderDate]])</f>
        <v>202504</v>
      </c>
      <c r="E64" s="3">
        <f>_xlfn.MINIFS(Table1[OrderMonthKey],Table1[Country],Table1[[#This Row],[Country]])</f>
        <v>202301</v>
      </c>
      <c r="F64" s="3">
        <f>Table1[[#This Row],[CountryFirstMonthKey]]</f>
        <v>202301</v>
      </c>
      <c r="G64" s="3">
        <f>12*(INT(Table1[[#This Row],[OrderMonthKey]]/100)-INT(Table1[[#This Row],[CohortMonthKey]]/100)) + (MOD(Table1[[#This Row],[OrderMonthKey]],100)-MOD(Table1[[#This Row],[CohortMonthKey]],100))</f>
        <v>27</v>
      </c>
      <c r="H64" s="3" t="str">
        <f>TEXT(Table1[[#This Row],[OrderDate]],"MMM-YYYY")</f>
        <v>Apr-2025</v>
      </c>
      <c r="I64" s="3" t="str">
        <f t="shared" si="0"/>
        <v>Q3-2025</v>
      </c>
      <c r="J64" s="3" t="str">
        <f>IF(Table1[[#This Row],[LeadTimeDays]]&lt;=7,"Yes","No")</f>
        <v>No</v>
      </c>
      <c r="K64" s="3">
        <f>_xlfn.DAYS(Table1[[#This Row],[CorrectedRequiredDate]],Table1[[#This Row],[OrderDate]])</f>
        <v>28</v>
      </c>
      <c r="L64" s="3">
        <f>IF(Table1[[#This Row],[RequiredDate]]&lt;Table1[[#This Row],[OrderDate]],Table1[[#This Row],[OrderDate]],Table1[[#This Row],[RequiredDate]])</f>
        <v>45802</v>
      </c>
      <c r="M64" s="3">
        <v>45802</v>
      </c>
      <c r="N64" t="s">
        <v>649</v>
      </c>
      <c r="O64" t="s">
        <v>657</v>
      </c>
      <c r="P64" t="s">
        <v>690</v>
      </c>
      <c r="Q64" t="s">
        <v>705</v>
      </c>
      <c r="R64" t="s">
        <v>709</v>
      </c>
      <c r="S64" t="s">
        <v>714</v>
      </c>
      <c r="T64" t="s">
        <v>730</v>
      </c>
      <c r="U64" t="s">
        <v>796</v>
      </c>
      <c r="V64" s="8">
        <v>603.45000000000005</v>
      </c>
      <c r="W64" s="8">
        <v>1244.08</v>
      </c>
      <c r="X64" s="8">
        <f t="shared" si="1"/>
        <v>815.10700000000008</v>
      </c>
      <c r="Y64" s="8">
        <f t="shared" si="2"/>
        <v>1620.05</v>
      </c>
      <c r="AA64">
        <v>0.2</v>
      </c>
      <c r="AB64">
        <f>IF(Table1[[#This Row],[DiscountPct]]&gt;0.2,1,0)</f>
        <v>0</v>
      </c>
      <c r="AC64" s="6">
        <v>11</v>
      </c>
      <c r="AD64" s="8">
        <f>Table1[[#This Row],[UnitPrice]]*Table1[[#This Row],[Quantity]]</f>
        <v>13684.88</v>
      </c>
      <c r="AE64" s="8">
        <f>Table1[[#This Row],[UnitCost]]*Table1[[#This Row],[Quantity]]</f>
        <v>6637.9500000000007</v>
      </c>
      <c r="AF64" s="8">
        <f>Table1[[#This Row],[GrossRevenue]]-Table1[[#This Row],[CostOfGoods]]</f>
        <v>7046.9299999999985</v>
      </c>
      <c r="AG64" s="8">
        <f>IF(Table1[[#This Row],[GrossRevenue]]=0,0,Table1[[#This Row],[GrossProfit]]/Table1[[#This Row],[GrossRevenue]])</f>
        <v>0.5149427689537649</v>
      </c>
    </row>
    <row r="65" spans="1:33" x14ac:dyDescent="0.45">
      <c r="A65" t="s">
        <v>78</v>
      </c>
      <c r="B65">
        <v>1</v>
      </c>
      <c r="C65" s="3">
        <v>45598</v>
      </c>
      <c r="D65" s="6">
        <f>YEAR(Table1[[#This Row],[OrderDate]]) * 100 + MONTH(Table1[[#This Row],[OrderDate]])</f>
        <v>202411</v>
      </c>
      <c r="E65" s="6">
        <f>_xlfn.MINIFS(Table1[OrderMonthKey],Table1[Country],Table1[[#This Row],[Country]])</f>
        <v>202302</v>
      </c>
      <c r="F65" s="6">
        <f>Table1[[#This Row],[CountryFirstMonthKey]]</f>
        <v>202302</v>
      </c>
      <c r="G65" s="6">
        <f>12*(INT(Table1[[#This Row],[OrderMonthKey]]/100)-INT(Table1[[#This Row],[CohortMonthKey]]/100)) + (MOD(Table1[[#This Row],[OrderMonthKey]],100)-MOD(Table1[[#This Row],[CohortMonthKey]],100))</f>
        <v>21</v>
      </c>
      <c r="H65" s="3" t="str">
        <f>TEXT(Table1[[#This Row],[OrderDate]],"MMM-YYYY")</f>
        <v>Nov-2024</v>
      </c>
      <c r="I65" s="3" t="str">
        <f t="shared" si="0"/>
        <v>Q2-2025</v>
      </c>
      <c r="J65" s="26" t="str">
        <f>IF(Table1[[#This Row],[LeadTimeDays]]&lt;=7,"Yes","No")</f>
        <v>No</v>
      </c>
      <c r="K65" s="6">
        <f>_xlfn.DAYS(Table1[[#This Row],[CorrectedRequiredDate]],Table1[[#This Row],[OrderDate]])</f>
        <v>16</v>
      </c>
      <c r="L65" s="3">
        <f>IF(Table1[[#This Row],[RequiredDate]]&lt;Table1[[#This Row],[OrderDate]],Table1[[#This Row],[OrderDate]],Table1[[#This Row],[RequiredDate]])</f>
        <v>45614</v>
      </c>
      <c r="M65" s="3">
        <v>45614</v>
      </c>
      <c r="N65" t="s">
        <v>647</v>
      </c>
      <c r="O65" t="s">
        <v>654</v>
      </c>
      <c r="P65" t="s">
        <v>691</v>
      </c>
      <c r="Q65" t="s">
        <v>705</v>
      </c>
      <c r="R65" t="s">
        <v>710</v>
      </c>
      <c r="S65" t="s">
        <v>719</v>
      </c>
      <c r="T65" t="s">
        <v>732</v>
      </c>
      <c r="U65" t="s">
        <v>797</v>
      </c>
      <c r="V65" s="8">
        <v>1233.58</v>
      </c>
      <c r="W65" s="8">
        <v>1912.51</v>
      </c>
      <c r="X65" s="8">
        <f t="shared" si="1"/>
        <v>815.10700000000008</v>
      </c>
      <c r="Y65" s="8">
        <f t="shared" si="2"/>
        <v>1620.05</v>
      </c>
      <c r="Z65" s="8" t="str">
        <f>IF(W64 &lt;= X63, "Low",IF(W64 &lt;= Y64, "Medium", "High"))</f>
        <v>Medium</v>
      </c>
      <c r="AA65">
        <v>0.255</v>
      </c>
      <c r="AB65">
        <f>IF(Table1[[#This Row],[DiscountPct]]&gt;0.2,1,0)</f>
        <v>1</v>
      </c>
      <c r="AC65" s="6">
        <v>51</v>
      </c>
      <c r="AD65" s="8">
        <f>Table1[[#This Row],[UnitPrice]]*Table1[[#This Row],[Quantity]]</f>
        <v>97538.01</v>
      </c>
      <c r="AE65" s="8">
        <f>Table1[[#This Row],[UnitCost]]*Table1[[#This Row],[Quantity]]</f>
        <v>62912.579999999994</v>
      </c>
      <c r="AF65" s="8">
        <f>Table1[[#This Row],[GrossRevenue]]-Table1[[#This Row],[CostOfGoods]]</f>
        <v>34625.43</v>
      </c>
      <c r="AG65" s="9">
        <f>IF(Table1[[#This Row],[GrossRevenue]]=0,0,Table1[[#This Row],[GrossProfit]]/Table1[[#This Row],[GrossRevenue]])</f>
        <v>0.35499422225243271</v>
      </c>
    </row>
    <row r="66" spans="1:33" hidden="1" x14ac:dyDescent="0.45">
      <c r="A66" t="s">
        <v>79</v>
      </c>
      <c r="C66" s="3">
        <v>44972</v>
      </c>
      <c r="D66" s="3">
        <f>YEAR(Table1[[#This Row],[OrderDate]]) * 100 + MONTH(Table1[[#This Row],[OrderDate]])</f>
        <v>202302</v>
      </c>
      <c r="E66" s="3">
        <f>_xlfn.MINIFS(Table1[OrderMonthKey],Table1[Country],Table1[[#This Row],[Country]])</f>
        <v>202301</v>
      </c>
      <c r="F66" s="3">
        <f>Table1[[#This Row],[CountryFirstMonthKey]]</f>
        <v>202301</v>
      </c>
      <c r="G66" s="3">
        <f>12*(INT(Table1[[#This Row],[OrderMonthKey]]/100)-INT(Table1[[#This Row],[CohortMonthKey]]/100)) + (MOD(Table1[[#This Row],[OrderMonthKey]],100)-MOD(Table1[[#This Row],[CohortMonthKey]],100))</f>
        <v>1</v>
      </c>
      <c r="H66" s="3" t="str">
        <f>TEXT(Table1[[#This Row],[OrderDate]],"MMM-YYYY")</f>
        <v>Feb-2023</v>
      </c>
      <c r="I66" s="3" t="str">
        <f t="shared" ref="I66:I129" si="3">"Q" &amp; ROUNDUP(MONTH(C65)/3,0) &amp; "-" &amp; YEAR(C65)</f>
        <v>Q4-2024</v>
      </c>
      <c r="J66" s="3" t="str">
        <f>IF(Table1[[#This Row],[LeadTimeDays]]&lt;=7,"Yes","No")</f>
        <v>No</v>
      </c>
      <c r="K66" s="3">
        <f>_xlfn.DAYS(Table1[[#This Row],[CorrectedRequiredDate]],Table1[[#This Row],[OrderDate]])</f>
        <v>11</v>
      </c>
      <c r="L66" s="3">
        <f>IF(Table1[[#This Row],[RequiredDate]]&lt;Table1[[#This Row],[OrderDate]],Table1[[#This Row],[OrderDate]],Table1[[#This Row],[RequiredDate]])</f>
        <v>44983</v>
      </c>
      <c r="M66" s="3">
        <v>44983</v>
      </c>
      <c r="N66" t="s">
        <v>646</v>
      </c>
      <c r="O66" t="s">
        <v>661</v>
      </c>
      <c r="P66" t="s">
        <v>682</v>
      </c>
      <c r="Q66" t="s">
        <v>703</v>
      </c>
      <c r="R66" t="s">
        <v>707</v>
      </c>
      <c r="S66" t="s">
        <v>723</v>
      </c>
      <c r="T66" t="s">
        <v>731</v>
      </c>
      <c r="U66" t="s">
        <v>798</v>
      </c>
      <c r="V66" s="8">
        <v>498.5</v>
      </c>
      <c r="W66" s="8">
        <v>755.87</v>
      </c>
      <c r="X66" s="8">
        <f t="shared" ref="X66:X129" si="4">_xlfn.PERCENTILE.INC(W:W, 0.33)</f>
        <v>815.10700000000008</v>
      </c>
      <c r="Y66" s="8">
        <f t="shared" ref="Y66:Y129" si="5">_xlfn.PERCENTILE.INC(W:W, 0.66)</f>
        <v>1620.05</v>
      </c>
      <c r="AA66">
        <v>0.13</v>
      </c>
      <c r="AB66">
        <f>IF(Table1[[#This Row],[DiscountPct]]&gt;0.2,1,0)</f>
        <v>0</v>
      </c>
      <c r="AC66" s="6">
        <v>40</v>
      </c>
      <c r="AD66" s="8">
        <f>Table1[[#This Row],[UnitPrice]]*Table1[[#This Row],[Quantity]]</f>
        <v>30234.799999999999</v>
      </c>
      <c r="AE66" s="8">
        <f>Table1[[#This Row],[UnitCost]]*Table1[[#This Row],[Quantity]]</f>
        <v>19940</v>
      </c>
      <c r="AF66" s="8">
        <f>Table1[[#This Row],[GrossRevenue]]-Table1[[#This Row],[CostOfGoods]]</f>
        <v>10294.799999999999</v>
      </c>
      <c r="AG66" s="8">
        <f>IF(Table1[[#This Row],[GrossRevenue]]=0,0,Table1[[#This Row],[GrossProfit]]/Table1[[#This Row],[GrossRevenue]])</f>
        <v>0.34049505867411062</v>
      </c>
    </row>
    <row r="67" spans="1:33" x14ac:dyDescent="0.45">
      <c r="A67" t="s">
        <v>80</v>
      </c>
      <c r="B67">
        <v>1</v>
      </c>
      <c r="C67" s="3">
        <v>45263</v>
      </c>
      <c r="D67" s="6">
        <f>YEAR(Table1[[#This Row],[OrderDate]]) * 100 + MONTH(Table1[[#This Row],[OrderDate]])</f>
        <v>202312</v>
      </c>
      <c r="E67" s="6">
        <f>_xlfn.MINIFS(Table1[OrderMonthKey],Table1[Country],Table1[[#This Row],[Country]])</f>
        <v>202301</v>
      </c>
      <c r="F67" s="6">
        <f>Table1[[#This Row],[CountryFirstMonthKey]]</f>
        <v>202301</v>
      </c>
      <c r="G67" s="6">
        <f>12*(INT(Table1[[#This Row],[OrderMonthKey]]/100)-INT(Table1[[#This Row],[CohortMonthKey]]/100)) + (MOD(Table1[[#This Row],[OrderMonthKey]],100)-MOD(Table1[[#This Row],[CohortMonthKey]],100))</f>
        <v>11</v>
      </c>
      <c r="H67" s="3" t="str">
        <f>TEXT(Table1[[#This Row],[OrderDate]],"MMM-YYYY")</f>
        <v>Dec-2023</v>
      </c>
      <c r="I67" s="3" t="str">
        <f t="shared" si="3"/>
        <v>Q1-2023</v>
      </c>
      <c r="J67" s="26" t="str">
        <f>IF(Table1[[#This Row],[LeadTimeDays]]&lt;=7,"Yes","No")</f>
        <v>No</v>
      </c>
      <c r="K67" s="6">
        <f>_xlfn.DAYS(Table1[[#This Row],[CorrectedRequiredDate]],Table1[[#This Row],[OrderDate]])</f>
        <v>23</v>
      </c>
      <c r="L67" s="3">
        <f>IF(Table1[[#This Row],[RequiredDate]]&lt;Table1[[#This Row],[OrderDate]],Table1[[#This Row],[OrderDate]],Table1[[#This Row],[RequiredDate]])</f>
        <v>45286</v>
      </c>
      <c r="M67" s="3">
        <v>45286</v>
      </c>
      <c r="N67" t="s">
        <v>648</v>
      </c>
      <c r="O67" t="s">
        <v>655</v>
      </c>
      <c r="P67" t="s">
        <v>692</v>
      </c>
      <c r="Q67" t="s">
        <v>702</v>
      </c>
      <c r="R67" t="s">
        <v>707</v>
      </c>
      <c r="S67" t="s">
        <v>719</v>
      </c>
      <c r="T67" t="s">
        <v>730</v>
      </c>
      <c r="U67" t="s">
        <v>799</v>
      </c>
      <c r="V67" s="8">
        <v>1303.1099999999999</v>
      </c>
      <c r="W67" s="8">
        <v>1145.67</v>
      </c>
      <c r="X67" s="8">
        <f t="shared" si="4"/>
        <v>815.10700000000008</v>
      </c>
      <c r="Y67" s="8">
        <f t="shared" si="5"/>
        <v>1620.05</v>
      </c>
      <c r="Z67" s="8" t="str">
        <f>IF(W66 &lt;= X65, "Low",IF(W66 &lt;= Y66, "Medium", "High"))</f>
        <v>Low</v>
      </c>
      <c r="AA67">
        <v>0.184</v>
      </c>
      <c r="AB67">
        <f>IF(Table1[[#This Row],[DiscountPct]]&gt;0.2,1,0)</f>
        <v>0</v>
      </c>
      <c r="AC67" s="6">
        <v>13</v>
      </c>
      <c r="AD67" s="8">
        <f>Table1[[#This Row],[UnitPrice]]*Table1[[#This Row],[Quantity]]</f>
        <v>14893.710000000001</v>
      </c>
      <c r="AE67" s="8">
        <f>Table1[[#This Row],[UnitCost]]*Table1[[#This Row],[Quantity]]</f>
        <v>16940.43</v>
      </c>
      <c r="AF67" s="8">
        <f>Table1[[#This Row],[GrossRevenue]]-Table1[[#This Row],[CostOfGoods]]</f>
        <v>-2046.7199999999993</v>
      </c>
      <c r="AG67" s="9">
        <f>IF(Table1[[#This Row],[GrossRevenue]]=0,0,Table1[[#This Row],[GrossProfit]]/Table1[[#This Row],[GrossRevenue]])</f>
        <v>-0.13742177066694591</v>
      </c>
    </row>
    <row r="68" spans="1:33" x14ac:dyDescent="0.45">
      <c r="A68" t="s">
        <v>81</v>
      </c>
      <c r="B68">
        <v>1</v>
      </c>
      <c r="C68" s="3">
        <v>45004</v>
      </c>
      <c r="D68" s="6">
        <f>YEAR(Table1[[#This Row],[OrderDate]]) * 100 + MONTH(Table1[[#This Row],[OrderDate]])</f>
        <v>202303</v>
      </c>
      <c r="E68" s="6">
        <f>_xlfn.MINIFS(Table1[OrderMonthKey],Table1[Country],Table1[[#This Row],[Country]])</f>
        <v>202301</v>
      </c>
      <c r="F68" s="6">
        <f>Table1[[#This Row],[CountryFirstMonthKey]]</f>
        <v>202301</v>
      </c>
      <c r="G68" s="6">
        <f>12*(INT(Table1[[#This Row],[OrderMonthKey]]/100)-INT(Table1[[#This Row],[CohortMonthKey]]/100)) + (MOD(Table1[[#This Row],[OrderMonthKey]],100)-MOD(Table1[[#This Row],[CohortMonthKey]],100))</f>
        <v>2</v>
      </c>
      <c r="H68" s="3" t="str">
        <f>TEXT(Table1[[#This Row],[OrderDate]],"MMM-YYYY")</f>
        <v>Mar-2023</v>
      </c>
      <c r="I68" s="3" t="str">
        <f t="shared" si="3"/>
        <v>Q4-2023</v>
      </c>
      <c r="J68" s="26" t="str">
        <f>IF(Table1[[#This Row],[LeadTimeDays]]&lt;=7,"Yes","No")</f>
        <v>No</v>
      </c>
      <c r="K68" s="6">
        <f>_xlfn.DAYS(Table1[[#This Row],[CorrectedRequiredDate]],Table1[[#This Row],[OrderDate]])</f>
        <v>21</v>
      </c>
      <c r="L68" s="3">
        <f>IF(Table1[[#This Row],[RequiredDate]]&lt;Table1[[#This Row],[OrderDate]],Table1[[#This Row],[OrderDate]],Table1[[#This Row],[RequiredDate]])</f>
        <v>45025</v>
      </c>
      <c r="M68" s="3">
        <v>45025</v>
      </c>
      <c r="N68" t="s">
        <v>649</v>
      </c>
      <c r="O68" t="s">
        <v>658</v>
      </c>
      <c r="P68" t="s">
        <v>693</v>
      </c>
      <c r="Q68" t="s">
        <v>704</v>
      </c>
      <c r="R68" t="s">
        <v>707</v>
      </c>
      <c r="S68" t="s">
        <v>716</v>
      </c>
      <c r="T68" t="s">
        <v>733</v>
      </c>
      <c r="U68" t="s">
        <v>800</v>
      </c>
      <c r="V68" s="8">
        <v>1082.17</v>
      </c>
      <c r="W68" s="8">
        <v>1234.0999999999999</v>
      </c>
      <c r="X68" s="8">
        <f t="shared" si="4"/>
        <v>815.10700000000008</v>
      </c>
      <c r="Y68" s="8">
        <f t="shared" si="5"/>
        <v>1620.05</v>
      </c>
      <c r="Z68" s="8" t="str">
        <f>IF(W67 &lt;= X66, "Low",IF(W67 &lt;= Y67, "Medium", "High"))</f>
        <v>Medium</v>
      </c>
      <c r="AA68">
        <v>0.189</v>
      </c>
      <c r="AB68">
        <f>IF(Table1[[#This Row],[DiscountPct]]&gt;0.2,1,0)</f>
        <v>0</v>
      </c>
      <c r="AC68" s="6">
        <v>16</v>
      </c>
      <c r="AD68" s="8">
        <f>Table1[[#This Row],[UnitPrice]]*Table1[[#This Row],[Quantity]]</f>
        <v>19745.599999999999</v>
      </c>
      <c r="AE68" s="8">
        <f>Table1[[#This Row],[UnitCost]]*Table1[[#This Row],[Quantity]]</f>
        <v>17314.72</v>
      </c>
      <c r="AF68" s="8">
        <f>Table1[[#This Row],[GrossRevenue]]-Table1[[#This Row],[CostOfGoods]]</f>
        <v>2430.8799999999974</v>
      </c>
      <c r="AG68" s="9">
        <f>IF(Table1[[#This Row],[GrossRevenue]]=0,0,Table1[[#This Row],[GrossProfit]]/Table1[[#This Row],[GrossRevenue]])</f>
        <v>0.12310995867433745</v>
      </c>
    </row>
    <row r="69" spans="1:33" hidden="1" x14ac:dyDescent="0.45">
      <c r="A69" t="s">
        <v>82</v>
      </c>
      <c r="C69" s="3">
        <v>45434</v>
      </c>
      <c r="D69" s="3">
        <f>YEAR(Table1[[#This Row],[OrderDate]]) * 100 + MONTH(Table1[[#This Row],[OrderDate]])</f>
        <v>202405</v>
      </c>
      <c r="E69" s="3">
        <f>_xlfn.MINIFS(Table1[OrderMonthKey],Table1[Country],Table1[[#This Row],[Country]])</f>
        <v>202303</v>
      </c>
      <c r="F69" s="3">
        <f>Table1[[#This Row],[CountryFirstMonthKey]]</f>
        <v>202303</v>
      </c>
      <c r="G69" s="3">
        <f>12*(INT(Table1[[#This Row],[OrderMonthKey]]/100)-INT(Table1[[#This Row],[CohortMonthKey]]/100)) + (MOD(Table1[[#This Row],[OrderMonthKey]],100)-MOD(Table1[[#This Row],[CohortMonthKey]],100))</f>
        <v>14</v>
      </c>
      <c r="H69" s="3" t="str">
        <f>TEXT(Table1[[#This Row],[OrderDate]],"MMM-YYYY")</f>
        <v>May-2024</v>
      </c>
      <c r="I69" s="3" t="str">
        <f t="shared" si="3"/>
        <v>Q1-2023</v>
      </c>
      <c r="J69" s="3" t="str">
        <f>IF(Table1[[#This Row],[LeadTimeDays]]&lt;=7,"Yes","No")</f>
        <v>No</v>
      </c>
      <c r="K69" s="3">
        <f>_xlfn.DAYS(Table1[[#This Row],[CorrectedRequiredDate]],Table1[[#This Row],[OrderDate]])</f>
        <v>15</v>
      </c>
      <c r="L69" s="3">
        <f>IF(Table1[[#This Row],[RequiredDate]]&lt;Table1[[#This Row],[OrderDate]],Table1[[#This Row],[OrderDate]],Table1[[#This Row],[RequiredDate]])</f>
        <v>45449</v>
      </c>
      <c r="M69" s="3">
        <v>45449</v>
      </c>
      <c r="N69" t="s">
        <v>647</v>
      </c>
      <c r="O69" t="s">
        <v>652</v>
      </c>
      <c r="P69" t="s">
        <v>694</v>
      </c>
      <c r="Q69" t="s">
        <v>701</v>
      </c>
      <c r="R69" t="s">
        <v>710</v>
      </c>
      <c r="S69" t="s">
        <v>712</v>
      </c>
      <c r="T69" t="s">
        <v>732</v>
      </c>
      <c r="U69" t="s">
        <v>801</v>
      </c>
      <c r="V69" s="8">
        <v>673.88</v>
      </c>
      <c r="W69" s="8">
        <v>1228.01</v>
      </c>
      <c r="X69" s="8">
        <f t="shared" si="4"/>
        <v>815.10700000000008</v>
      </c>
      <c r="Y69" s="8">
        <f t="shared" si="5"/>
        <v>1620.05</v>
      </c>
      <c r="AA69">
        <v>0.105</v>
      </c>
      <c r="AB69">
        <f>IF(Table1[[#This Row],[DiscountPct]]&gt;0.2,1,0)</f>
        <v>0</v>
      </c>
      <c r="AC69" s="6">
        <v>13</v>
      </c>
      <c r="AD69" s="8">
        <f>Table1[[#This Row],[UnitPrice]]*Table1[[#This Row],[Quantity]]</f>
        <v>15964.13</v>
      </c>
      <c r="AE69" s="8">
        <f>Table1[[#This Row],[UnitCost]]*Table1[[#This Row],[Quantity]]</f>
        <v>8760.44</v>
      </c>
      <c r="AF69" s="8">
        <f>Table1[[#This Row],[GrossRevenue]]-Table1[[#This Row],[CostOfGoods]]</f>
        <v>7203.6899999999987</v>
      </c>
      <c r="AG69" s="8">
        <f>IF(Table1[[#This Row],[GrossRevenue]]=0,0,Table1[[#This Row],[GrossProfit]]/Table1[[#This Row],[GrossRevenue]])</f>
        <v>0.45124225372757543</v>
      </c>
    </row>
    <row r="70" spans="1:33" hidden="1" x14ac:dyDescent="0.45">
      <c r="A70" t="s">
        <v>83</v>
      </c>
      <c r="C70" s="3">
        <v>45157</v>
      </c>
      <c r="D70" s="3">
        <f>YEAR(Table1[[#This Row],[OrderDate]]) * 100 + MONTH(Table1[[#This Row],[OrderDate]])</f>
        <v>202308</v>
      </c>
      <c r="E70" s="3">
        <f>_xlfn.MINIFS(Table1[OrderMonthKey],Table1[Country],Table1[[#This Row],[Country]])</f>
        <v>202301</v>
      </c>
      <c r="F70" s="3">
        <f>Table1[[#This Row],[CountryFirstMonthKey]]</f>
        <v>202301</v>
      </c>
      <c r="G70" s="3">
        <f>12*(INT(Table1[[#This Row],[OrderMonthKey]]/100)-INT(Table1[[#This Row],[CohortMonthKey]]/100)) + (MOD(Table1[[#This Row],[OrderMonthKey]],100)-MOD(Table1[[#This Row],[CohortMonthKey]],100))</f>
        <v>7</v>
      </c>
      <c r="H70" s="3" t="str">
        <f>TEXT(Table1[[#This Row],[OrderDate]],"MMM-YYYY")</f>
        <v>Aug-2023</v>
      </c>
      <c r="I70" s="3" t="str">
        <f t="shared" si="3"/>
        <v>Q2-2024</v>
      </c>
      <c r="J70" s="3" t="str">
        <f>IF(Table1[[#This Row],[LeadTimeDays]]&lt;=7,"Yes","No")</f>
        <v>No</v>
      </c>
      <c r="K70" s="3">
        <f>_xlfn.DAYS(Table1[[#This Row],[CorrectedRequiredDate]],Table1[[#This Row],[OrderDate]])</f>
        <v>19</v>
      </c>
      <c r="L70" s="3">
        <f>IF(Table1[[#This Row],[RequiredDate]]&lt;Table1[[#This Row],[OrderDate]],Table1[[#This Row],[OrderDate]],Table1[[#This Row],[RequiredDate]])</f>
        <v>45176</v>
      </c>
      <c r="M70" s="3">
        <v>45176</v>
      </c>
      <c r="N70" t="s">
        <v>646</v>
      </c>
      <c r="O70" t="s">
        <v>661</v>
      </c>
      <c r="P70" t="s">
        <v>682</v>
      </c>
      <c r="Q70" t="s">
        <v>706</v>
      </c>
      <c r="R70" t="s">
        <v>707</v>
      </c>
      <c r="S70" t="s">
        <v>726</v>
      </c>
      <c r="T70" t="s">
        <v>732</v>
      </c>
      <c r="U70" t="s">
        <v>802</v>
      </c>
      <c r="V70" s="8">
        <v>494.61</v>
      </c>
      <c r="W70" s="8">
        <v>605.23</v>
      </c>
      <c r="X70" s="8">
        <f t="shared" si="4"/>
        <v>815.10700000000008</v>
      </c>
      <c r="Y70" s="8">
        <f t="shared" si="5"/>
        <v>1620.05</v>
      </c>
      <c r="AA70">
        <v>0.20399999999999999</v>
      </c>
      <c r="AB70">
        <f>IF(Table1[[#This Row],[DiscountPct]]&gt;0.2,1,0)</f>
        <v>1</v>
      </c>
      <c r="AC70" s="6">
        <v>18</v>
      </c>
      <c r="AD70" s="8">
        <f>Table1[[#This Row],[UnitPrice]]*Table1[[#This Row],[Quantity]]</f>
        <v>10894.14</v>
      </c>
      <c r="AE70" s="8">
        <f>Table1[[#This Row],[UnitCost]]*Table1[[#This Row],[Quantity]]</f>
        <v>8902.98</v>
      </c>
      <c r="AF70" s="8">
        <f>Table1[[#This Row],[GrossRevenue]]-Table1[[#This Row],[CostOfGoods]]</f>
        <v>1991.1599999999999</v>
      </c>
      <c r="AG70" s="8">
        <f>IF(Table1[[#This Row],[GrossRevenue]]=0,0,Table1[[#This Row],[GrossProfit]]/Table1[[#This Row],[GrossRevenue]])</f>
        <v>0.18277349106951077</v>
      </c>
    </row>
    <row r="71" spans="1:33" x14ac:dyDescent="0.45">
      <c r="A71" t="s">
        <v>84</v>
      </c>
      <c r="B71">
        <v>1</v>
      </c>
      <c r="C71" s="3">
        <v>45037</v>
      </c>
      <c r="D71" s="6">
        <f>YEAR(Table1[[#This Row],[OrderDate]]) * 100 + MONTH(Table1[[#This Row],[OrderDate]])</f>
        <v>202304</v>
      </c>
      <c r="E71" s="6">
        <f>_xlfn.MINIFS(Table1[OrderMonthKey],Table1[Country],Table1[[#This Row],[Country]])</f>
        <v>202301</v>
      </c>
      <c r="F71" s="6">
        <f>Table1[[#This Row],[CountryFirstMonthKey]]</f>
        <v>202301</v>
      </c>
      <c r="G71" s="6">
        <f>12*(INT(Table1[[#This Row],[OrderMonthKey]]/100)-INT(Table1[[#This Row],[CohortMonthKey]]/100)) + (MOD(Table1[[#This Row],[OrderMonthKey]],100)-MOD(Table1[[#This Row],[CohortMonthKey]],100))</f>
        <v>3</v>
      </c>
      <c r="H71" s="3" t="str">
        <f>TEXT(Table1[[#This Row],[OrderDate]],"MMM-YYYY")</f>
        <v>Apr-2023</v>
      </c>
      <c r="I71" s="3" t="str">
        <f t="shared" si="3"/>
        <v>Q3-2023</v>
      </c>
      <c r="J71" s="26" t="str">
        <f>IF(Table1[[#This Row],[LeadTimeDays]]&lt;=7,"Yes","No")</f>
        <v>No</v>
      </c>
      <c r="K71" s="6">
        <f>_xlfn.DAYS(Table1[[#This Row],[CorrectedRequiredDate]],Table1[[#This Row],[OrderDate]])</f>
        <v>19</v>
      </c>
      <c r="L71" s="3">
        <f>IF(Table1[[#This Row],[RequiredDate]]&lt;Table1[[#This Row],[OrderDate]],Table1[[#This Row],[OrderDate]],Table1[[#This Row],[RequiredDate]])</f>
        <v>45056</v>
      </c>
      <c r="M71" s="3">
        <v>45056</v>
      </c>
      <c r="N71" t="s">
        <v>647</v>
      </c>
      <c r="O71" t="s">
        <v>659</v>
      </c>
      <c r="P71" t="s">
        <v>685</v>
      </c>
      <c r="Q71" t="s">
        <v>701</v>
      </c>
      <c r="R71" t="s">
        <v>707</v>
      </c>
      <c r="S71" t="s">
        <v>720</v>
      </c>
      <c r="T71" t="s">
        <v>727</v>
      </c>
      <c r="U71" t="s">
        <v>803</v>
      </c>
      <c r="V71" s="8">
        <v>882.33</v>
      </c>
      <c r="W71" s="8">
        <v>1880.15</v>
      </c>
      <c r="X71" s="8">
        <f t="shared" si="4"/>
        <v>815.10700000000008</v>
      </c>
      <c r="Y71" s="8">
        <f t="shared" si="5"/>
        <v>1620.05</v>
      </c>
      <c r="Z71" s="8" t="str">
        <f>IF(W70 &lt;= X69, "Low",IF(W70 &lt;= Y70, "Medium", "High"))</f>
        <v>Low</v>
      </c>
      <c r="AA71">
        <v>0.05</v>
      </c>
      <c r="AB71">
        <f>IF(Table1[[#This Row],[DiscountPct]]&gt;0.2,1,0)</f>
        <v>0</v>
      </c>
      <c r="AC71" s="6">
        <v>5</v>
      </c>
      <c r="AD71" s="8">
        <f>Table1[[#This Row],[UnitPrice]]*Table1[[#This Row],[Quantity]]</f>
        <v>9400.75</v>
      </c>
      <c r="AE71" s="8">
        <f>Table1[[#This Row],[UnitCost]]*Table1[[#This Row],[Quantity]]</f>
        <v>4411.6500000000005</v>
      </c>
      <c r="AF71" s="8">
        <f>Table1[[#This Row],[GrossRevenue]]-Table1[[#This Row],[CostOfGoods]]</f>
        <v>4989.0999999999995</v>
      </c>
      <c r="AG71" s="9">
        <f>IF(Table1[[#This Row],[GrossRevenue]]=0,0,Table1[[#This Row],[GrossProfit]]/Table1[[#This Row],[GrossRevenue]])</f>
        <v>0.53071297502858805</v>
      </c>
    </row>
    <row r="72" spans="1:33" hidden="1" x14ac:dyDescent="0.45">
      <c r="A72" t="s">
        <v>85</v>
      </c>
      <c r="C72" s="3">
        <v>45369</v>
      </c>
      <c r="D72" s="3">
        <f>YEAR(Table1[[#This Row],[OrderDate]]) * 100 + MONTH(Table1[[#This Row],[OrderDate]])</f>
        <v>202403</v>
      </c>
      <c r="E72" s="3">
        <f>_xlfn.MINIFS(Table1[OrderMonthKey],Table1[Country],Table1[[#This Row],[Country]])</f>
        <v>202301</v>
      </c>
      <c r="F72" s="3">
        <f>Table1[[#This Row],[CountryFirstMonthKey]]</f>
        <v>202301</v>
      </c>
      <c r="G72" s="3">
        <f>12*(INT(Table1[[#This Row],[OrderMonthKey]]/100)-INT(Table1[[#This Row],[CohortMonthKey]]/100)) + (MOD(Table1[[#This Row],[OrderMonthKey]],100)-MOD(Table1[[#This Row],[CohortMonthKey]],100))</f>
        <v>14</v>
      </c>
      <c r="H72" s="3" t="str">
        <f>TEXT(Table1[[#This Row],[OrderDate]],"MMM-YYYY")</f>
        <v>Mar-2024</v>
      </c>
      <c r="I72" s="3" t="str">
        <f t="shared" si="3"/>
        <v>Q2-2023</v>
      </c>
      <c r="J72" s="3" t="str">
        <f>IF(Table1[[#This Row],[LeadTimeDays]]&lt;=7,"Yes","No")</f>
        <v>Yes</v>
      </c>
      <c r="K72" s="3">
        <f>_xlfn.DAYS(Table1[[#This Row],[CorrectedRequiredDate]],Table1[[#This Row],[OrderDate]])</f>
        <v>3</v>
      </c>
      <c r="L72" s="3">
        <f>IF(Table1[[#This Row],[RequiredDate]]&lt;Table1[[#This Row],[OrderDate]],Table1[[#This Row],[OrderDate]],Table1[[#This Row],[RequiredDate]])</f>
        <v>45372</v>
      </c>
      <c r="M72" s="3">
        <v>45372</v>
      </c>
      <c r="N72" t="s">
        <v>649</v>
      </c>
      <c r="O72" t="s">
        <v>656</v>
      </c>
      <c r="P72" t="s">
        <v>684</v>
      </c>
      <c r="Q72" t="s">
        <v>705</v>
      </c>
      <c r="R72" t="s">
        <v>708</v>
      </c>
      <c r="S72" t="s">
        <v>724</v>
      </c>
      <c r="T72" t="s">
        <v>733</v>
      </c>
      <c r="U72" t="s">
        <v>804</v>
      </c>
      <c r="V72" s="8">
        <v>910.63</v>
      </c>
      <c r="W72" s="8">
        <v>1269.4000000000001</v>
      </c>
      <c r="X72" s="8">
        <f t="shared" si="4"/>
        <v>815.10700000000008</v>
      </c>
      <c r="Y72" s="8">
        <f t="shared" si="5"/>
        <v>1620.05</v>
      </c>
      <c r="AA72">
        <v>6.8000000000000005E-2</v>
      </c>
      <c r="AB72">
        <f>IF(Table1[[#This Row],[DiscountPct]]&gt;0.2,1,0)</f>
        <v>0</v>
      </c>
      <c r="AC72" s="6">
        <v>9</v>
      </c>
      <c r="AD72" s="8">
        <f>Table1[[#This Row],[UnitPrice]]*Table1[[#This Row],[Quantity]]</f>
        <v>11424.6</v>
      </c>
      <c r="AE72" s="8">
        <f>Table1[[#This Row],[UnitCost]]*Table1[[#This Row],[Quantity]]</f>
        <v>8195.67</v>
      </c>
      <c r="AF72" s="8">
        <f>Table1[[#This Row],[GrossRevenue]]-Table1[[#This Row],[CostOfGoods]]</f>
        <v>3228.9300000000003</v>
      </c>
      <c r="AG72" s="8">
        <f>IF(Table1[[#This Row],[GrossRevenue]]=0,0,Table1[[#This Row],[GrossProfit]]/Table1[[#This Row],[GrossRevenue]])</f>
        <v>0.28262958878210181</v>
      </c>
    </row>
    <row r="73" spans="1:33" x14ac:dyDescent="0.45">
      <c r="A73" t="s">
        <v>86</v>
      </c>
      <c r="B73">
        <v>1</v>
      </c>
      <c r="C73" s="3">
        <v>45756</v>
      </c>
      <c r="D73" s="6">
        <f>YEAR(Table1[[#This Row],[OrderDate]]) * 100 + MONTH(Table1[[#This Row],[OrderDate]])</f>
        <v>202504</v>
      </c>
      <c r="E73" s="6">
        <f>_xlfn.MINIFS(Table1[OrderMonthKey],Table1[Country],Table1[[#This Row],[Country]])</f>
        <v>202301</v>
      </c>
      <c r="F73" s="6">
        <f>Table1[[#This Row],[CountryFirstMonthKey]]</f>
        <v>202301</v>
      </c>
      <c r="G73" s="6">
        <f>12*(INT(Table1[[#This Row],[OrderMonthKey]]/100)-INT(Table1[[#This Row],[CohortMonthKey]]/100)) + (MOD(Table1[[#This Row],[OrderMonthKey]],100)-MOD(Table1[[#This Row],[CohortMonthKey]],100))</f>
        <v>27</v>
      </c>
      <c r="H73" s="3" t="str">
        <f>TEXT(Table1[[#This Row],[OrderDate]],"MMM-YYYY")</f>
        <v>Apr-2025</v>
      </c>
      <c r="I73" s="3" t="str">
        <f t="shared" si="3"/>
        <v>Q1-2024</v>
      </c>
      <c r="J73" s="26" t="str">
        <f>IF(Table1[[#This Row],[LeadTimeDays]]&lt;=7,"Yes","No")</f>
        <v>No</v>
      </c>
      <c r="K73" s="6">
        <f>_xlfn.DAYS(Table1[[#This Row],[CorrectedRequiredDate]],Table1[[#This Row],[OrderDate]])</f>
        <v>27</v>
      </c>
      <c r="L73" s="3">
        <f>IF(Table1[[#This Row],[RequiredDate]]&lt;Table1[[#This Row],[OrderDate]],Table1[[#This Row],[OrderDate]],Table1[[#This Row],[RequiredDate]])</f>
        <v>45783</v>
      </c>
      <c r="M73" s="3">
        <v>45783</v>
      </c>
      <c r="N73" t="s">
        <v>648</v>
      </c>
      <c r="O73" t="s">
        <v>655</v>
      </c>
      <c r="P73" t="s">
        <v>672</v>
      </c>
      <c r="Q73" t="s">
        <v>706</v>
      </c>
      <c r="R73" t="s">
        <v>709</v>
      </c>
      <c r="S73" t="s">
        <v>721</v>
      </c>
      <c r="T73" t="s">
        <v>731</v>
      </c>
      <c r="U73" t="s">
        <v>805</v>
      </c>
      <c r="V73" s="8">
        <v>264.19</v>
      </c>
      <c r="W73" s="8">
        <v>620.92999999999995</v>
      </c>
      <c r="X73" s="8">
        <f t="shared" si="4"/>
        <v>815.10700000000008</v>
      </c>
      <c r="Y73" s="8">
        <f t="shared" si="5"/>
        <v>1620.05</v>
      </c>
      <c r="Z73" s="8" t="str">
        <f>IF(W72 &lt;= X71, "Low",IF(W72 &lt;= Y72, "Medium", "High"))</f>
        <v>Medium</v>
      </c>
      <c r="AA73">
        <v>0.14199999999999999</v>
      </c>
      <c r="AB73">
        <f>IF(Table1[[#This Row],[DiscountPct]]&gt;0.2,1,0)</f>
        <v>0</v>
      </c>
      <c r="AC73" s="6">
        <v>12</v>
      </c>
      <c r="AD73" s="8">
        <f>Table1[[#This Row],[UnitPrice]]*Table1[[#This Row],[Quantity]]</f>
        <v>7451.16</v>
      </c>
      <c r="AE73" s="8">
        <f>Table1[[#This Row],[UnitCost]]*Table1[[#This Row],[Quantity]]</f>
        <v>3170.2799999999997</v>
      </c>
      <c r="AF73" s="8">
        <f>Table1[[#This Row],[GrossRevenue]]-Table1[[#This Row],[CostOfGoods]]</f>
        <v>4280.88</v>
      </c>
      <c r="AG73" s="9">
        <f>IF(Table1[[#This Row],[GrossRevenue]]=0,0,Table1[[#This Row],[GrossProfit]]/Table1[[#This Row],[GrossRevenue]])</f>
        <v>0.57452530881097708</v>
      </c>
    </row>
    <row r="74" spans="1:33" hidden="1" x14ac:dyDescent="0.45">
      <c r="A74" t="s">
        <v>87</v>
      </c>
      <c r="C74" s="3">
        <v>45394</v>
      </c>
      <c r="D74" s="3">
        <f>YEAR(Table1[[#This Row],[OrderDate]]) * 100 + MONTH(Table1[[#This Row],[OrderDate]])</f>
        <v>202404</v>
      </c>
      <c r="E74" s="3">
        <f>_xlfn.MINIFS(Table1[OrderMonthKey],Table1[Country],Table1[[#This Row],[Country]])</f>
        <v>202301</v>
      </c>
      <c r="F74" s="3">
        <f>Table1[[#This Row],[CountryFirstMonthKey]]</f>
        <v>202301</v>
      </c>
      <c r="G74" s="3">
        <f>12*(INT(Table1[[#This Row],[OrderMonthKey]]/100)-INT(Table1[[#This Row],[CohortMonthKey]]/100)) + (MOD(Table1[[#This Row],[OrderMonthKey]],100)-MOD(Table1[[#This Row],[CohortMonthKey]],100))</f>
        <v>15</v>
      </c>
      <c r="H74" s="3" t="str">
        <f>TEXT(Table1[[#This Row],[OrderDate]],"MMM-YYYY")</f>
        <v>Apr-2024</v>
      </c>
      <c r="I74" s="3" t="str">
        <f t="shared" si="3"/>
        <v>Q2-2025</v>
      </c>
      <c r="J74" s="3" t="str">
        <f>IF(Table1[[#This Row],[LeadTimeDays]]&lt;=7,"Yes","No")</f>
        <v>No</v>
      </c>
      <c r="K74" s="3">
        <f>_xlfn.DAYS(Table1[[#This Row],[CorrectedRequiredDate]],Table1[[#This Row],[OrderDate]])</f>
        <v>25</v>
      </c>
      <c r="L74" s="3">
        <f>IF(Table1[[#This Row],[RequiredDate]]&lt;Table1[[#This Row],[OrderDate]],Table1[[#This Row],[OrderDate]],Table1[[#This Row],[RequiredDate]])</f>
        <v>45419</v>
      </c>
      <c r="M74" s="3">
        <v>45419</v>
      </c>
      <c r="N74" t="s">
        <v>646</v>
      </c>
      <c r="O74" t="s">
        <v>661</v>
      </c>
      <c r="P74" t="s">
        <v>682</v>
      </c>
      <c r="Q74" t="s">
        <v>702</v>
      </c>
      <c r="R74" t="s">
        <v>710</v>
      </c>
      <c r="S74" t="s">
        <v>720</v>
      </c>
      <c r="T74" t="s">
        <v>731</v>
      </c>
      <c r="U74" t="s">
        <v>806</v>
      </c>
      <c r="V74" s="8">
        <v>1376.51</v>
      </c>
      <c r="W74" s="8">
        <v>1455.91</v>
      </c>
      <c r="X74" s="8">
        <f t="shared" si="4"/>
        <v>815.10700000000008</v>
      </c>
      <c r="Y74" s="8">
        <f t="shared" si="5"/>
        <v>1620.05</v>
      </c>
      <c r="AA74">
        <v>0.185</v>
      </c>
      <c r="AB74">
        <f>IF(Table1[[#This Row],[DiscountPct]]&gt;0.2,1,0)</f>
        <v>0</v>
      </c>
      <c r="AC74" s="6">
        <v>17</v>
      </c>
      <c r="AD74" s="8">
        <f>Table1[[#This Row],[UnitPrice]]*Table1[[#This Row],[Quantity]]</f>
        <v>24750.47</v>
      </c>
      <c r="AE74" s="8">
        <f>Table1[[#This Row],[UnitCost]]*Table1[[#This Row],[Quantity]]</f>
        <v>23400.67</v>
      </c>
      <c r="AF74" s="8">
        <f>Table1[[#This Row],[GrossRevenue]]-Table1[[#This Row],[CostOfGoods]]</f>
        <v>1349.8000000000029</v>
      </c>
      <c r="AG74" s="8">
        <f>IF(Table1[[#This Row],[GrossRevenue]]=0,0,Table1[[#This Row],[GrossProfit]]/Table1[[#This Row],[GrossRevenue]])</f>
        <v>5.4536338097822094E-2</v>
      </c>
    </row>
    <row r="75" spans="1:33" x14ac:dyDescent="0.45">
      <c r="A75" t="s">
        <v>88</v>
      </c>
      <c r="B75">
        <v>1</v>
      </c>
      <c r="C75" s="3">
        <v>45641</v>
      </c>
      <c r="D75" s="6">
        <f>YEAR(Table1[[#This Row],[OrderDate]]) * 100 + MONTH(Table1[[#This Row],[OrderDate]])</f>
        <v>202412</v>
      </c>
      <c r="E75" s="6">
        <f>_xlfn.MINIFS(Table1[OrderMonthKey],Table1[Country],Table1[[#This Row],[Country]])</f>
        <v>202301</v>
      </c>
      <c r="F75" s="6">
        <f>Table1[[#This Row],[CountryFirstMonthKey]]</f>
        <v>202301</v>
      </c>
      <c r="G75" s="6">
        <f>12*(INT(Table1[[#This Row],[OrderMonthKey]]/100)-INT(Table1[[#This Row],[CohortMonthKey]]/100)) + (MOD(Table1[[#This Row],[OrderMonthKey]],100)-MOD(Table1[[#This Row],[CohortMonthKey]],100))</f>
        <v>23</v>
      </c>
      <c r="H75" s="3" t="str">
        <f>TEXT(Table1[[#This Row],[OrderDate]],"MMM-YYYY")</f>
        <v>Dec-2024</v>
      </c>
      <c r="I75" s="3" t="str">
        <f t="shared" si="3"/>
        <v>Q2-2024</v>
      </c>
      <c r="J75" s="26" t="str">
        <f>IF(Table1[[#This Row],[LeadTimeDays]]&lt;=7,"Yes","No")</f>
        <v>Yes</v>
      </c>
      <c r="K75" s="6">
        <f>_xlfn.DAYS(Table1[[#This Row],[CorrectedRequiredDate]],Table1[[#This Row],[OrderDate]])</f>
        <v>5</v>
      </c>
      <c r="L75" s="3">
        <f>IF(Table1[[#This Row],[RequiredDate]]&lt;Table1[[#This Row],[OrderDate]],Table1[[#This Row],[OrderDate]],Table1[[#This Row],[RequiredDate]])</f>
        <v>45646</v>
      </c>
      <c r="M75" s="3">
        <v>45646</v>
      </c>
      <c r="N75" t="s">
        <v>647</v>
      </c>
      <c r="O75" t="s">
        <v>659</v>
      </c>
      <c r="P75" t="s">
        <v>676</v>
      </c>
      <c r="Q75" t="s">
        <v>705</v>
      </c>
      <c r="R75" t="s">
        <v>711</v>
      </c>
      <c r="S75" t="s">
        <v>713</v>
      </c>
      <c r="T75" t="s">
        <v>729</v>
      </c>
      <c r="U75" t="s">
        <v>807</v>
      </c>
      <c r="V75" s="8">
        <v>717.55</v>
      </c>
      <c r="W75" s="8">
        <v>546.42999999999995</v>
      </c>
      <c r="X75" s="8">
        <f t="shared" si="4"/>
        <v>815.10700000000008</v>
      </c>
      <c r="Y75" s="8">
        <f t="shared" si="5"/>
        <v>1620.05</v>
      </c>
      <c r="Z75" s="8" t="str">
        <f>IF(W74 &lt;= X73, "Low",IF(W74 &lt;= Y74, "Medium", "High"))</f>
        <v>Medium</v>
      </c>
      <c r="AA75">
        <v>4.7E-2</v>
      </c>
      <c r="AB75">
        <f>IF(Table1[[#This Row],[DiscountPct]]&gt;0.2,1,0)</f>
        <v>0</v>
      </c>
      <c r="AC75" s="6">
        <v>18</v>
      </c>
      <c r="AD75" s="8">
        <f>Table1[[#This Row],[UnitPrice]]*Table1[[#This Row],[Quantity]]</f>
        <v>9835.74</v>
      </c>
      <c r="AE75" s="8">
        <f>Table1[[#This Row],[UnitCost]]*Table1[[#This Row],[Quantity]]</f>
        <v>12915.9</v>
      </c>
      <c r="AF75" s="8">
        <f>Table1[[#This Row],[GrossRevenue]]-Table1[[#This Row],[CostOfGoods]]</f>
        <v>-3080.16</v>
      </c>
      <c r="AG75" s="9">
        <f>IF(Table1[[#This Row],[GrossRevenue]]=0,0,Table1[[#This Row],[GrossProfit]]/Table1[[#This Row],[GrossRevenue]])</f>
        <v>-0.3131599655948612</v>
      </c>
    </row>
    <row r="76" spans="1:33" hidden="1" x14ac:dyDescent="0.45">
      <c r="A76" t="s">
        <v>89</v>
      </c>
      <c r="C76" s="3">
        <v>45066</v>
      </c>
      <c r="D76" s="3">
        <f>YEAR(Table1[[#This Row],[OrderDate]]) * 100 + MONTH(Table1[[#This Row],[OrderDate]])</f>
        <v>202305</v>
      </c>
      <c r="E76" s="3">
        <f>_xlfn.MINIFS(Table1[OrderMonthKey],Table1[Country],Table1[[#This Row],[Country]])</f>
        <v>202301</v>
      </c>
      <c r="F76" s="3">
        <f>Table1[[#This Row],[CountryFirstMonthKey]]</f>
        <v>202301</v>
      </c>
      <c r="G76" s="3">
        <f>12*(INT(Table1[[#This Row],[OrderMonthKey]]/100)-INT(Table1[[#This Row],[CohortMonthKey]]/100)) + (MOD(Table1[[#This Row],[OrderMonthKey]],100)-MOD(Table1[[#This Row],[CohortMonthKey]],100))</f>
        <v>4</v>
      </c>
      <c r="H76" s="3" t="str">
        <f>TEXT(Table1[[#This Row],[OrderDate]],"MMM-YYYY")</f>
        <v>May-2023</v>
      </c>
      <c r="I76" s="3" t="str">
        <f t="shared" si="3"/>
        <v>Q4-2024</v>
      </c>
      <c r="J76" s="3" t="str">
        <f>IF(Table1[[#This Row],[LeadTimeDays]]&lt;=7,"Yes","No")</f>
        <v>Yes</v>
      </c>
      <c r="K76" s="3">
        <f>_xlfn.DAYS(Table1[[#This Row],[CorrectedRequiredDate]],Table1[[#This Row],[OrderDate]])</f>
        <v>0</v>
      </c>
      <c r="L76" s="3">
        <f>IF(Table1[[#This Row],[RequiredDate]]&lt;Table1[[#This Row],[OrderDate]],Table1[[#This Row],[OrderDate]],Table1[[#This Row],[RequiredDate]])</f>
        <v>45066</v>
      </c>
      <c r="M76" s="3">
        <v>45064</v>
      </c>
      <c r="N76" t="s">
        <v>646</v>
      </c>
      <c r="O76" t="s">
        <v>661</v>
      </c>
      <c r="P76" t="s">
        <v>687</v>
      </c>
      <c r="Q76" t="s">
        <v>701</v>
      </c>
      <c r="R76" t="s">
        <v>710</v>
      </c>
      <c r="S76" t="s">
        <v>720</v>
      </c>
      <c r="T76" t="s">
        <v>727</v>
      </c>
      <c r="U76" t="s">
        <v>808</v>
      </c>
      <c r="V76" s="8">
        <v>917.88</v>
      </c>
      <c r="W76" s="8">
        <v>1347.92</v>
      </c>
      <c r="X76" s="8">
        <f t="shared" si="4"/>
        <v>815.10700000000008</v>
      </c>
      <c r="Y76" s="8">
        <f t="shared" si="5"/>
        <v>1620.05</v>
      </c>
      <c r="AA76">
        <v>0.34300000000000003</v>
      </c>
      <c r="AB76">
        <f>IF(Table1[[#This Row],[DiscountPct]]&gt;0.2,1,0)</f>
        <v>1</v>
      </c>
      <c r="AC76" s="6">
        <v>5</v>
      </c>
      <c r="AD76" s="8">
        <f>Table1[[#This Row],[UnitPrice]]*Table1[[#This Row],[Quantity]]</f>
        <v>6739.6</v>
      </c>
      <c r="AE76" s="8">
        <f>Table1[[#This Row],[UnitCost]]*Table1[[#This Row],[Quantity]]</f>
        <v>4589.3999999999996</v>
      </c>
      <c r="AF76" s="8">
        <f>Table1[[#This Row],[GrossRevenue]]-Table1[[#This Row],[CostOfGoods]]</f>
        <v>2150.2000000000007</v>
      </c>
      <c r="AG76" s="8">
        <f>IF(Table1[[#This Row],[GrossRevenue]]=0,0,Table1[[#This Row],[GrossProfit]]/Table1[[#This Row],[GrossRevenue]])</f>
        <v>0.3190397056205117</v>
      </c>
    </row>
    <row r="77" spans="1:33" x14ac:dyDescent="0.45">
      <c r="A77" t="s">
        <v>90</v>
      </c>
      <c r="B77">
        <v>1</v>
      </c>
      <c r="C77" s="3">
        <v>45187</v>
      </c>
      <c r="D77" s="6">
        <f>YEAR(Table1[[#This Row],[OrderDate]]) * 100 + MONTH(Table1[[#This Row],[OrderDate]])</f>
        <v>202309</v>
      </c>
      <c r="E77" s="6">
        <f>_xlfn.MINIFS(Table1[OrderMonthKey],Table1[Country],Table1[[#This Row],[Country]])</f>
        <v>202302</v>
      </c>
      <c r="F77" s="6">
        <f>Table1[[#This Row],[CountryFirstMonthKey]]</f>
        <v>202302</v>
      </c>
      <c r="G77" s="6">
        <f>12*(INT(Table1[[#This Row],[OrderMonthKey]]/100)-INT(Table1[[#This Row],[CohortMonthKey]]/100)) + (MOD(Table1[[#This Row],[OrderMonthKey]],100)-MOD(Table1[[#This Row],[CohortMonthKey]],100))</f>
        <v>7</v>
      </c>
      <c r="H77" s="3" t="str">
        <f>TEXT(Table1[[#This Row],[OrderDate]],"MMM-YYYY")</f>
        <v>Sep-2023</v>
      </c>
      <c r="I77" s="3" t="str">
        <f t="shared" si="3"/>
        <v>Q2-2023</v>
      </c>
      <c r="J77" s="26" t="str">
        <f>IF(Table1[[#This Row],[LeadTimeDays]]&lt;=7,"Yes","No")</f>
        <v>No</v>
      </c>
      <c r="K77" s="6">
        <f>_xlfn.DAYS(Table1[[#This Row],[CorrectedRequiredDate]],Table1[[#This Row],[OrderDate]])</f>
        <v>20</v>
      </c>
      <c r="L77" s="3">
        <f>IF(Table1[[#This Row],[RequiredDate]]&lt;Table1[[#This Row],[OrderDate]],Table1[[#This Row],[OrderDate]],Table1[[#This Row],[RequiredDate]])</f>
        <v>45207</v>
      </c>
      <c r="M77" s="3">
        <v>45207</v>
      </c>
      <c r="N77" t="s">
        <v>647</v>
      </c>
      <c r="O77" t="s">
        <v>654</v>
      </c>
      <c r="P77" t="s">
        <v>680</v>
      </c>
      <c r="Q77" t="s">
        <v>705</v>
      </c>
      <c r="R77" t="s">
        <v>711</v>
      </c>
      <c r="S77" t="s">
        <v>717</v>
      </c>
      <c r="T77" t="s">
        <v>727</v>
      </c>
      <c r="U77" t="s">
        <v>809</v>
      </c>
      <c r="V77" s="8">
        <v>825.64</v>
      </c>
      <c r="W77" s="8">
        <v>1108.43</v>
      </c>
      <c r="X77" s="8">
        <f t="shared" si="4"/>
        <v>815.10700000000008</v>
      </c>
      <c r="Y77" s="8">
        <f t="shared" si="5"/>
        <v>1620.05</v>
      </c>
      <c r="Z77" s="8" t="str">
        <f>IF(W76 &lt;= X75, "Low",IF(W76 &lt;= Y76, "Medium", "High"))</f>
        <v>Medium</v>
      </c>
      <c r="AA77">
        <v>0.114</v>
      </c>
      <c r="AB77">
        <f>IF(Table1[[#This Row],[DiscountPct]]&gt;0.2,1,0)</f>
        <v>0</v>
      </c>
      <c r="AC77" s="6">
        <v>7</v>
      </c>
      <c r="AD77" s="8">
        <f>Table1[[#This Row],[UnitPrice]]*Table1[[#This Row],[Quantity]]</f>
        <v>7759.01</v>
      </c>
      <c r="AE77" s="8">
        <f>Table1[[#This Row],[UnitCost]]*Table1[[#This Row],[Quantity]]</f>
        <v>5779.48</v>
      </c>
      <c r="AF77" s="8">
        <f>Table1[[#This Row],[GrossRevenue]]-Table1[[#This Row],[CostOfGoods]]</f>
        <v>1979.5300000000007</v>
      </c>
      <c r="AG77" s="9">
        <f>IF(Table1[[#This Row],[GrossRevenue]]=0,0,Table1[[#This Row],[GrossProfit]]/Table1[[#This Row],[GrossRevenue]])</f>
        <v>0.2551266205353519</v>
      </c>
    </row>
    <row r="78" spans="1:33" x14ac:dyDescent="0.45">
      <c r="A78" t="s">
        <v>91</v>
      </c>
      <c r="B78">
        <v>1</v>
      </c>
      <c r="C78" s="3">
        <v>45532</v>
      </c>
      <c r="D78" s="6">
        <f>YEAR(Table1[[#This Row],[OrderDate]]) * 100 + MONTH(Table1[[#This Row],[OrderDate]])</f>
        <v>202408</v>
      </c>
      <c r="E78" s="6">
        <f>_xlfn.MINIFS(Table1[OrderMonthKey],Table1[Country],Table1[[#This Row],[Country]])</f>
        <v>202301</v>
      </c>
      <c r="F78" s="6">
        <f>Table1[[#This Row],[CountryFirstMonthKey]]</f>
        <v>202301</v>
      </c>
      <c r="G78" s="6">
        <f>12*(INT(Table1[[#This Row],[OrderMonthKey]]/100)-INT(Table1[[#This Row],[CohortMonthKey]]/100)) + (MOD(Table1[[#This Row],[OrderMonthKey]],100)-MOD(Table1[[#This Row],[CohortMonthKey]],100))</f>
        <v>19</v>
      </c>
      <c r="H78" s="3" t="str">
        <f>TEXT(Table1[[#This Row],[OrderDate]],"MMM-YYYY")</f>
        <v>Aug-2024</v>
      </c>
      <c r="I78" s="3" t="str">
        <f t="shared" si="3"/>
        <v>Q3-2023</v>
      </c>
      <c r="J78" s="26" t="str">
        <f>IF(Table1[[#This Row],[LeadTimeDays]]&lt;=7,"Yes","No")</f>
        <v>No</v>
      </c>
      <c r="K78" s="6">
        <f>_xlfn.DAYS(Table1[[#This Row],[CorrectedRequiredDate]],Table1[[#This Row],[OrderDate]])</f>
        <v>28</v>
      </c>
      <c r="L78" s="3">
        <f>IF(Table1[[#This Row],[RequiredDate]]&lt;Table1[[#This Row],[OrderDate]],Table1[[#This Row],[OrderDate]],Table1[[#This Row],[RequiredDate]])</f>
        <v>45560</v>
      </c>
      <c r="M78" s="3">
        <v>45560</v>
      </c>
      <c r="N78" t="s">
        <v>648</v>
      </c>
      <c r="O78" t="s">
        <v>655</v>
      </c>
      <c r="P78" t="s">
        <v>692</v>
      </c>
      <c r="Q78" t="s">
        <v>703</v>
      </c>
      <c r="R78" t="s">
        <v>708</v>
      </c>
      <c r="T78" t="s">
        <v>733</v>
      </c>
      <c r="U78" t="s">
        <v>810</v>
      </c>
      <c r="V78" s="8">
        <v>1394.65</v>
      </c>
      <c r="W78" s="8">
        <v>3144.1</v>
      </c>
      <c r="X78" s="8">
        <f t="shared" si="4"/>
        <v>815.10700000000008</v>
      </c>
      <c r="Y78" s="8">
        <f t="shared" si="5"/>
        <v>1620.05</v>
      </c>
      <c r="Z78" s="8" t="str">
        <f>IF(W77 &lt;= X76, "Low",IF(W77 &lt;= Y77, "Medium", "High"))</f>
        <v>Medium</v>
      </c>
      <c r="AA78">
        <v>0.13400000000000001</v>
      </c>
      <c r="AB78">
        <f>IF(Table1[[#This Row],[DiscountPct]]&gt;0.2,1,0)</f>
        <v>0</v>
      </c>
      <c r="AC78" s="6">
        <v>13</v>
      </c>
      <c r="AD78" s="8">
        <f>Table1[[#This Row],[UnitPrice]]*Table1[[#This Row],[Quantity]]</f>
        <v>40873.299999999996</v>
      </c>
      <c r="AE78" s="8">
        <f>Table1[[#This Row],[UnitCost]]*Table1[[#This Row],[Quantity]]</f>
        <v>18130.45</v>
      </c>
      <c r="AF78" s="8">
        <f>Table1[[#This Row],[GrossRevenue]]-Table1[[#This Row],[CostOfGoods]]</f>
        <v>22742.849999999995</v>
      </c>
      <c r="AG78" s="9">
        <f>IF(Table1[[#This Row],[GrossRevenue]]=0,0,Table1[[#This Row],[GrossProfit]]/Table1[[#This Row],[GrossRevenue]])</f>
        <v>0.55642314175757757</v>
      </c>
    </row>
    <row r="79" spans="1:33" x14ac:dyDescent="0.45">
      <c r="A79" t="s">
        <v>92</v>
      </c>
      <c r="B79">
        <v>1</v>
      </c>
      <c r="C79" s="3">
        <v>45473</v>
      </c>
      <c r="D79" s="6">
        <f>YEAR(Table1[[#This Row],[OrderDate]]) * 100 + MONTH(Table1[[#This Row],[OrderDate]])</f>
        <v>202406</v>
      </c>
      <c r="E79" s="6">
        <f>_xlfn.MINIFS(Table1[OrderMonthKey],Table1[Country],Table1[[#This Row],[Country]])</f>
        <v>202301</v>
      </c>
      <c r="F79" s="6">
        <f>Table1[[#This Row],[CountryFirstMonthKey]]</f>
        <v>202301</v>
      </c>
      <c r="G79" s="6">
        <f>12*(INT(Table1[[#This Row],[OrderMonthKey]]/100)-INT(Table1[[#This Row],[CohortMonthKey]]/100)) + (MOD(Table1[[#This Row],[OrderMonthKey]],100)-MOD(Table1[[#This Row],[CohortMonthKey]],100))</f>
        <v>17</v>
      </c>
      <c r="H79" s="3" t="str">
        <f>TEXT(Table1[[#This Row],[OrderDate]],"MMM-YYYY")</f>
        <v>Jun-2024</v>
      </c>
      <c r="I79" s="3" t="str">
        <f t="shared" si="3"/>
        <v>Q3-2024</v>
      </c>
      <c r="J79" s="26" t="str">
        <f>IF(Table1[[#This Row],[LeadTimeDays]]&lt;=7,"Yes","No")</f>
        <v>Yes</v>
      </c>
      <c r="K79" s="6">
        <f>_xlfn.DAYS(Table1[[#This Row],[CorrectedRequiredDate]],Table1[[#This Row],[OrderDate]])</f>
        <v>0</v>
      </c>
      <c r="L79" s="3">
        <f>IF(Table1[[#This Row],[RequiredDate]]&lt;Table1[[#This Row],[OrderDate]],Table1[[#This Row],[OrderDate]],Table1[[#This Row],[RequiredDate]])</f>
        <v>45473</v>
      </c>
      <c r="M79" s="3">
        <v>45471</v>
      </c>
      <c r="N79" t="s">
        <v>648</v>
      </c>
      <c r="O79" t="s">
        <v>655</v>
      </c>
      <c r="P79" t="s">
        <v>692</v>
      </c>
      <c r="Q79" t="s">
        <v>705</v>
      </c>
      <c r="R79" t="s">
        <v>711</v>
      </c>
      <c r="S79" t="s">
        <v>716</v>
      </c>
      <c r="T79" t="s">
        <v>733</v>
      </c>
      <c r="U79" t="s">
        <v>811</v>
      </c>
      <c r="V79" s="8">
        <v>1112.98</v>
      </c>
      <c r="W79" s="8">
        <v>2095.73</v>
      </c>
      <c r="X79" s="8">
        <f t="shared" si="4"/>
        <v>815.10700000000008</v>
      </c>
      <c r="Y79" s="8">
        <f t="shared" si="5"/>
        <v>1620.05</v>
      </c>
      <c r="Z79" s="8" t="str">
        <f>IF(W78 &lt;= X77, "Low",IF(W78 &lt;= Y78, "Medium", "High"))</f>
        <v>High</v>
      </c>
      <c r="AA79">
        <v>7.1999999999999995E-2</v>
      </c>
      <c r="AB79">
        <f>IF(Table1[[#This Row],[DiscountPct]]&gt;0.2,1,0)</f>
        <v>0</v>
      </c>
      <c r="AC79" s="6">
        <v>17</v>
      </c>
      <c r="AD79" s="8">
        <f>Table1[[#This Row],[UnitPrice]]*Table1[[#This Row],[Quantity]]</f>
        <v>35627.410000000003</v>
      </c>
      <c r="AE79" s="8">
        <f>Table1[[#This Row],[UnitCost]]*Table1[[#This Row],[Quantity]]</f>
        <v>18920.66</v>
      </c>
      <c r="AF79" s="8">
        <f>Table1[[#This Row],[GrossRevenue]]-Table1[[#This Row],[CostOfGoods]]</f>
        <v>16706.750000000004</v>
      </c>
      <c r="AG79" s="9">
        <f>IF(Table1[[#This Row],[GrossRevenue]]=0,0,Table1[[#This Row],[GrossProfit]]/Table1[[#This Row],[GrossRevenue]])</f>
        <v>0.46892968082720587</v>
      </c>
    </row>
    <row r="80" spans="1:33" x14ac:dyDescent="0.45">
      <c r="A80" t="s">
        <v>93</v>
      </c>
      <c r="B80">
        <v>1</v>
      </c>
      <c r="C80" s="3">
        <v>45091</v>
      </c>
      <c r="D80" s="6">
        <f>YEAR(Table1[[#This Row],[OrderDate]]) * 100 + MONTH(Table1[[#This Row],[OrderDate]])</f>
        <v>202306</v>
      </c>
      <c r="E80" s="6">
        <f>_xlfn.MINIFS(Table1[OrderMonthKey],Table1[Country],Table1[[#This Row],[Country]])</f>
        <v>202301</v>
      </c>
      <c r="F80" s="6">
        <f>Table1[[#This Row],[CountryFirstMonthKey]]</f>
        <v>202301</v>
      </c>
      <c r="G80" s="6">
        <f>12*(INT(Table1[[#This Row],[OrderMonthKey]]/100)-INT(Table1[[#This Row],[CohortMonthKey]]/100)) + (MOD(Table1[[#This Row],[OrderMonthKey]],100)-MOD(Table1[[#This Row],[CohortMonthKey]],100))</f>
        <v>5</v>
      </c>
      <c r="H80" s="3" t="str">
        <f>TEXT(Table1[[#This Row],[OrderDate]],"MMM-YYYY")</f>
        <v>Jun-2023</v>
      </c>
      <c r="I80" s="3" t="str">
        <f t="shared" si="3"/>
        <v>Q2-2024</v>
      </c>
      <c r="J80" s="26" t="str">
        <f>IF(Table1[[#This Row],[LeadTimeDays]]&lt;=7,"Yes","No")</f>
        <v>Yes</v>
      </c>
      <c r="K80" s="6">
        <f>_xlfn.DAYS(Table1[[#This Row],[CorrectedRequiredDate]],Table1[[#This Row],[OrderDate]])</f>
        <v>2</v>
      </c>
      <c r="L80" s="3">
        <f>IF(Table1[[#This Row],[RequiredDate]]&lt;Table1[[#This Row],[OrderDate]],Table1[[#This Row],[OrderDate]],Table1[[#This Row],[RequiredDate]])</f>
        <v>45093</v>
      </c>
      <c r="M80" s="3">
        <v>45093</v>
      </c>
      <c r="N80" t="s">
        <v>649</v>
      </c>
      <c r="O80" t="s">
        <v>658</v>
      </c>
      <c r="P80" t="s">
        <v>693</v>
      </c>
      <c r="Q80" t="s">
        <v>703</v>
      </c>
      <c r="R80" t="s">
        <v>711</v>
      </c>
      <c r="S80" t="s">
        <v>723</v>
      </c>
      <c r="T80" t="s">
        <v>727</v>
      </c>
      <c r="U80" t="s">
        <v>812</v>
      </c>
      <c r="V80" s="8">
        <v>357.36</v>
      </c>
      <c r="W80" s="8">
        <v>703.62</v>
      </c>
      <c r="X80" s="8">
        <f t="shared" si="4"/>
        <v>815.10700000000008</v>
      </c>
      <c r="Y80" s="8">
        <f t="shared" si="5"/>
        <v>1620.05</v>
      </c>
      <c r="Z80" s="8" t="str">
        <f>IF(W79 &lt;= X78, "Low",IF(W79 &lt;= Y79, "Medium", "High"))</f>
        <v>High</v>
      </c>
      <c r="AA80">
        <v>0.25700000000000001</v>
      </c>
      <c r="AB80">
        <f>IF(Table1[[#This Row],[DiscountPct]]&gt;0.2,1,0)</f>
        <v>1</v>
      </c>
      <c r="AC80" s="6">
        <v>20</v>
      </c>
      <c r="AD80" s="8">
        <f>Table1[[#This Row],[UnitPrice]]*Table1[[#This Row],[Quantity]]</f>
        <v>14072.4</v>
      </c>
      <c r="AE80" s="8">
        <f>Table1[[#This Row],[UnitCost]]*Table1[[#This Row],[Quantity]]</f>
        <v>7147.2000000000007</v>
      </c>
      <c r="AF80" s="8">
        <f>Table1[[#This Row],[GrossRevenue]]-Table1[[#This Row],[CostOfGoods]]</f>
        <v>6925.1999999999989</v>
      </c>
      <c r="AG80" s="9">
        <f>IF(Table1[[#This Row],[GrossRevenue]]=0,0,Table1[[#This Row],[GrossProfit]]/Table1[[#This Row],[GrossRevenue]])</f>
        <v>0.49211221966402313</v>
      </c>
    </row>
    <row r="81" spans="1:33" hidden="1" x14ac:dyDescent="0.45">
      <c r="A81" t="s">
        <v>94</v>
      </c>
      <c r="C81" s="3">
        <v>45617</v>
      </c>
      <c r="D81" s="3">
        <f>YEAR(Table1[[#This Row],[OrderDate]]) * 100 + MONTH(Table1[[#This Row],[OrderDate]])</f>
        <v>202411</v>
      </c>
      <c r="E81" s="3">
        <f>_xlfn.MINIFS(Table1[OrderMonthKey],Table1[Country],Table1[[#This Row],[Country]])</f>
        <v>202301</v>
      </c>
      <c r="F81" s="3">
        <f>Table1[[#This Row],[CountryFirstMonthKey]]</f>
        <v>202301</v>
      </c>
      <c r="G81" s="3">
        <f>12*(INT(Table1[[#This Row],[OrderMonthKey]]/100)-INT(Table1[[#This Row],[CohortMonthKey]]/100)) + (MOD(Table1[[#This Row],[OrderMonthKey]],100)-MOD(Table1[[#This Row],[CohortMonthKey]],100))</f>
        <v>22</v>
      </c>
      <c r="H81" s="3" t="str">
        <f>TEXT(Table1[[#This Row],[OrderDate]],"MMM-YYYY")</f>
        <v>Nov-2024</v>
      </c>
      <c r="I81" s="3" t="str">
        <f t="shared" si="3"/>
        <v>Q2-2023</v>
      </c>
      <c r="J81" s="3" t="str">
        <f>IF(Table1[[#This Row],[LeadTimeDays]]&lt;=7,"Yes","No")</f>
        <v>No</v>
      </c>
      <c r="K81" s="3">
        <f>_xlfn.DAYS(Table1[[#This Row],[CorrectedRequiredDate]],Table1[[#This Row],[OrderDate]])</f>
        <v>30</v>
      </c>
      <c r="L81" s="3">
        <f>IF(Table1[[#This Row],[RequiredDate]]&lt;Table1[[#This Row],[OrderDate]],Table1[[#This Row],[OrderDate]],Table1[[#This Row],[RequiredDate]])</f>
        <v>45647</v>
      </c>
      <c r="M81" s="3">
        <v>45647</v>
      </c>
      <c r="N81" t="s">
        <v>649</v>
      </c>
      <c r="O81" t="s">
        <v>657</v>
      </c>
      <c r="P81" t="s">
        <v>673</v>
      </c>
      <c r="Q81" t="s">
        <v>705</v>
      </c>
      <c r="R81" t="s">
        <v>711</v>
      </c>
      <c r="S81" t="s">
        <v>714</v>
      </c>
      <c r="T81" t="s">
        <v>732</v>
      </c>
      <c r="U81" t="s">
        <v>813</v>
      </c>
      <c r="V81" s="8">
        <v>1122.68</v>
      </c>
      <c r="W81" s="8">
        <v>1997.19</v>
      </c>
      <c r="X81" s="8">
        <f t="shared" si="4"/>
        <v>815.10700000000008</v>
      </c>
      <c r="Y81" s="8">
        <f t="shared" si="5"/>
        <v>1620.05</v>
      </c>
      <c r="AA81">
        <v>0.186</v>
      </c>
      <c r="AB81">
        <f>IF(Table1[[#This Row],[DiscountPct]]&gt;0.2,1,0)</f>
        <v>0</v>
      </c>
      <c r="AC81" s="6">
        <v>3</v>
      </c>
      <c r="AD81" s="8">
        <f>Table1[[#This Row],[UnitPrice]]*Table1[[#This Row],[Quantity]]</f>
        <v>5991.57</v>
      </c>
      <c r="AE81" s="8">
        <f>Table1[[#This Row],[UnitCost]]*Table1[[#This Row],[Quantity]]</f>
        <v>3368.04</v>
      </c>
      <c r="AF81" s="8">
        <f>Table1[[#This Row],[GrossRevenue]]-Table1[[#This Row],[CostOfGoods]]</f>
        <v>2623.5299999999997</v>
      </c>
      <c r="AG81" s="8">
        <f>IF(Table1[[#This Row],[GrossRevenue]]=0,0,Table1[[#This Row],[GrossProfit]]/Table1[[#This Row],[GrossRevenue]])</f>
        <v>0.43787020764173662</v>
      </c>
    </row>
    <row r="82" spans="1:33" hidden="1" x14ac:dyDescent="0.45">
      <c r="A82" t="s">
        <v>95</v>
      </c>
      <c r="C82" s="3">
        <v>44965</v>
      </c>
      <c r="D82" s="3">
        <f>YEAR(Table1[[#This Row],[OrderDate]]) * 100 + MONTH(Table1[[#This Row],[OrderDate]])</f>
        <v>202302</v>
      </c>
      <c r="E82" s="3">
        <f>_xlfn.MINIFS(Table1[OrderMonthKey],Table1[Country],Table1[[#This Row],[Country]])</f>
        <v>202301</v>
      </c>
      <c r="F82" s="3">
        <f>Table1[[#This Row],[CountryFirstMonthKey]]</f>
        <v>202301</v>
      </c>
      <c r="G82" s="3">
        <f>12*(INT(Table1[[#This Row],[OrderMonthKey]]/100)-INT(Table1[[#This Row],[CohortMonthKey]]/100)) + (MOD(Table1[[#This Row],[OrderMonthKey]],100)-MOD(Table1[[#This Row],[CohortMonthKey]],100))</f>
        <v>1</v>
      </c>
      <c r="H82" s="3" t="str">
        <f>TEXT(Table1[[#This Row],[OrderDate]],"MMM-YYYY")</f>
        <v>Feb-2023</v>
      </c>
      <c r="I82" s="3" t="str">
        <f t="shared" si="3"/>
        <v>Q4-2024</v>
      </c>
      <c r="J82" s="3" t="str">
        <f>IF(Table1[[#This Row],[LeadTimeDays]]&lt;=7,"Yes","No")</f>
        <v>Yes</v>
      </c>
      <c r="K82" s="3">
        <f>_xlfn.DAYS(Table1[[#This Row],[CorrectedRequiredDate]],Table1[[#This Row],[OrderDate]])</f>
        <v>3</v>
      </c>
      <c r="L82" s="3">
        <f>IF(Table1[[#This Row],[RequiredDate]]&lt;Table1[[#This Row],[OrderDate]],Table1[[#This Row],[OrderDate]],Table1[[#This Row],[RequiredDate]])</f>
        <v>44968</v>
      </c>
      <c r="M82" s="3">
        <v>44968</v>
      </c>
      <c r="N82" t="s">
        <v>646</v>
      </c>
      <c r="O82" t="s">
        <v>661</v>
      </c>
      <c r="P82" t="s">
        <v>695</v>
      </c>
      <c r="Q82" t="s">
        <v>701</v>
      </c>
      <c r="R82" t="s">
        <v>711</v>
      </c>
      <c r="S82" t="s">
        <v>724</v>
      </c>
      <c r="T82" t="s">
        <v>729</v>
      </c>
      <c r="U82" t="s">
        <v>814</v>
      </c>
      <c r="V82" s="8">
        <v>1410.05</v>
      </c>
      <c r="W82" s="8">
        <v>2763.95</v>
      </c>
      <c r="X82" s="8">
        <f t="shared" si="4"/>
        <v>815.10700000000008</v>
      </c>
      <c r="Y82" s="8">
        <f t="shared" si="5"/>
        <v>1620.05</v>
      </c>
      <c r="AA82">
        <v>0.161</v>
      </c>
      <c r="AB82">
        <f>IF(Table1[[#This Row],[DiscountPct]]&gt;0.2,1,0)</f>
        <v>0</v>
      </c>
      <c r="AC82" s="6">
        <v>26</v>
      </c>
      <c r="AD82" s="8">
        <f>Table1[[#This Row],[UnitPrice]]*Table1[[#This Row],[Quantity]]</f>
        <v>71862.7</v>
      </c>
      <c r="AE82" s="8">
        <f>Table1[[#This Row],[UnitCost]]*Table1[[#This Row],[Quantity]]</f>
        <v>36661.299999999996</v>
      </c>
      <c r="AF82" s="8">
        <f>Table1[[#This Row],[GrossRevenue]]-Table1[[#This Row],[CostOfGoods]]</f>
        <v>35201.4</v>
      </c>
      <c r="AG82" s="8">
        <f>IF(Table1[[#This Row],[GrossRevenue]]=0,0,Table1[[#This Row],[GrossProfit]]/Table1[[#This Row],[GrossRevenue]])</f>
        <v>0.48984243564463903</v>
      </c>
    </row>
    <row r="83" spans="1:33" x14ac:dyDescent="0.45">
      <c r="A83" t="s">
        <v>96</v>
      </c>
      <c r="B83">
        <v>1</v>
      </c>
      <c r="C83" s="3">
        <v>45157</v>
      </c>
      <c r="D83" s="6">
        <f>YEAR(Table1[[#This Row],[OrderDate]]) * 100 + MONTH(Table1[[#This Row],[OrderDate]])</f>
        <v>202308</v>
      </c>
      <c r="E83" s="6">
        <f>_xlfn.MINIFS(Table1[OrderMonthKey],Table1[Country],Table1[[#This Row],[Country]])</f>
        <v>202301</v>
      </c>
      <c r="F83" s="6">
        <f>Table1[[#This Row],[CountryFirstMonthKey]]</f>
        <v>202301</v>
      </c>
      <c r="G83" s="6">
        <f>12*(INT(Table1[[#This Row],[OrderMonthKey]]/100)-INT(Table1[[#This Row],[CohortMonthKey]]/100)) + (MOD(Table1[[#This Row],[OrderMonthKey]],100)-MOD(Table1[[#This Row],[CohortMonthKey]],100))</f>
        <v>7</v>
      </c>
      <c r="H83" s="3" t="str">
        <f>TEXT(Table1[[#This Row],[OrderDate]],"MMM-YYYY")</f>
        <v>Aug-2023</v>
      </c>
      <c r="I83" s="3" t="str">
        <f t="shared" si="3"/>
        <v>Q1-2023</v>
      </c>
      <c r="J83" s="26" t="str">
        <f>IF(Table1[[#This Row],[LeadTimeDays]]&lt;=7,"Yes","No")</f>
        <v>No</v>
      </c>
      <c r="K83" s="6">
        <f>_xlfn.DAYS(Table1[[#This Row],[CorrectedRequiredDate]],Table1[[#This Row],[OrderDate]])</f>
        <v>24</v>
      </c>
      <c r="L83" s="3">
        <f>IF(Table1[[#This Row],[RequiredDate]]&lt;Table1[[#This Row],[OrderDate]],Table1[[#This Row],[OrderDate]],Table1[[#This Row],[RequiredDate]])</f>
        <v>45181</v>
      </c>
      <c r="M83" s="3">
        <v>45181</v>
      </c>
      <c r="N83" t="s">
        <v>648</v>
      </c>
      <c r="O83" t="s">
        <v>653</v>
      </c>
      <c r="P83" t="s">
        <v>688</v>
      </c>
      <c r="Q83" t="s">
        <v>706</v>
      </c>
      <c r="R83" t="s">
        <v>707</v>
      </c>
      <c r="S83" t="s">
        <v>714</v>
      </c>
      <c r="T83" t="s">
        <v>728</v>
      </c>
      <c r="U83" t="s">
        <v>815</v>
      </c>
      <c r="V83" s="8">
        <v>1183.95</v>
      </c>
      <c r="W83" s="8">
        <v>1503.53</v>
      </c>
      <c r="X83" s="8">
        <f t="shared" si="4"/>
        <v>815.10700000000008</v>
      </c>
      <c r="Y83" s="8">
        <f t="shared" si="5"/>
        <v>1620.05</v>
      </c>
      <c r="Z83" s="8" t="str">
        <f>IF(W82 &lt;= X81, "Low",IF(W82 &lt;= Y82, "Medium", "High"))</f>
        <v>High</v>
      </c>
      <c r="AA83">
        <v>0.24099999999999999</v>
      </c>
      <c r="AB83">
        <f>IF(Table1[[#This Row],[DiscountPct]]&gt;0.2,1,0)</f>
        <v>1</v>
      </c>
      <c r="AC83" s="6">
        <v>16</v>
      </c>
      <c r="AD83" s="8">
        <f>Table1[[#This Row],[UnitPrice]]*Table1[[#This Row],[Quantity]]</f>
        <v>24056.48</v>
      </c>
      <c r="AE83" s="8">
        <f>Table1[[#This Row],[UnitCost]]*Table1[[#This Row],[Quantity]]</f>
        <v>18943.2</v>
      </c>
      <c r="AF83" s="8">
        <f>Table1[[#This Row],[GrossRevenue]]-Table1[[#This Row],[CostOfGoods]]</f>
        <v>5113.2799999999988</v>
      </c>
      <c r="AG83" s="9">
        <f>IF(Table1[[#This Row],[GrossRevenue]]=0,0,Table1[[#This Row],[GrossProfit]]/Table1[[#This Row],[GrossRevenue]])</f>
        <v>0.21255312497921552</v>
      </c>
    </row>
    <row r="84" spans="1:33" hidden="1" x14ac:dyDescent="0.45">
      <c r="A84" t="s">
        <v>97</v>
      </c>
      <c r="C84" s="3">
        <v>45791</v>
      </c>
      <c r="D84" s="3">
        <f>YEAR(Table1[[#This Row],[OrderDate]]) * 100 + MONTH(Table1[[#This Row],[OrderDate]])</f>
        <v>202505</v>
      </c>
      <c r="E84" s="3">
        <f>_xlfn.MINIFS(Table1[OrderMonthKey],Table1[Country],Table1[[#This Row],[Country]])</f>
        <v>202301</v>
      </c>
      <c r="F84" s="3">
        <f>Table1[[#This Row],[CountryFirstMonthKey]]</f>
        <v>202301</v>
      </c>
      <c r="G84" s="3">
        <f>12*(INT(Table1[[#This Row],[OrderMonthKey]]/100)-INT(Table1[[#This Row],[CohortMonthKey]]/100)) + (MOD(Table1[[#This Row],[OrderMonthKey]],100)-MOD(Table1[[#This Row],[CohortMonthKey]],100))</f>
        <v>28</v>
      </c>
      <c r="H84" s="3" t="str">
        <f>TEXT(Table1[[#This Row],[OrderDate]],"MMM-YYYY")</f>
        <v>May-2025</v>
      </c>
      <c r="I84" s="3" t="str">
        <f t="shared" si="3"/>
        <v>Q3-2023</v>
      </c>
      <c r="J84" s="3" t="str">
        <f>IF(Table1[[#This Row],[LeadTimeDays]]&lt;=7,"Yes","No")</f>
        <v>No</v>
      </c>
      <c r="K84" s="3">
        <f>_xlfn.DAYS(Table1[[#This Row],[CorrectedRequiredDate]],Table1[[#This Row],[OrderDate]])</f>
        <v>10</v>
      </c>
      <c r="L84" s="3">
        <f>IF(Table1[[#This Row],[RequiredDate]]&lt;Table1[[#This Row],[OrderDate]],Table1[[#This Row],[OrderDate]],Table1[[#This Row],[RequiredDate]])</f>
        <v>45801</v>
      </c>
      <c r="M84" s="3">
        <v>45801</v>
      </c>
      <c r="N84" t="s">
        <v>649</v>
      </c>
      <c r="O84" t="s">
        <v>657</v>
      </c>
      <c r="P84" t="s">
        <v>690</v>
      </c>
      <c r="Q84" t="s">
        <v>705</v>
      </c>
      <c r="R84" t="s">
        <v>709</v>
      </c>
      <c r="S84" t="s">
        <v>723</v>
      </c>
      <c r="T84" t="s">
        <v>727</v>
      </c>
      <c r="U84" t="s">
        <v>816</v>
      </c>
      <c r="V84" s="8">
        <v>170.39</v>
      </c>
      <c r="W84" s="8">
        <v>388.04</v>
      </c>
      <c r="X84" s="8">
        <f t="shared" si="4"/>
        <v>815.10700000000008</v>
      </c>
      <c r="Y84" s="8">
        <f t="shared" si="5"/>
        <v>1620.05</v>
      </c>
      <c r="AA84">
        <v>8.4000000000000005E-2</v>
      </c>
      <c r="AB84">
        <f>IF(Table1[[#This Row],[DiscountPct]]&gt;0.2,1,0)</f>
        <v>0</v>
      </c>
      <c r="AC84" s="6">
        <v>15</v>
      </c>
      <c r="AD84" s="8">
        <f>Table1[[#This Row],[UnitPrice]]*Table1[[#This Row],[Quantity]]</f>
        <v>5820.6</v>
      </c>
      <c r="AE84" s="8">
        <f>Table1[[#This Row],[UnitCost]]*Table1[[#This Row],[Quantity]]</f>
        <v>2555.85</v>
      </c>
      <c r="AF84" s="8">
        <f>Table1[[#This Row],[GrossRevenue]]-Table1[[#This Row],[CostOfGoods]]</f>
        <v>3264.7500000000005</v>
      </c>
      <c r="AG84" s="8">
        <f>IF(Table1[[#This Row],[GrossRevenue]]=0,0,Table1[[#This Row],[GrossProfit]]/Table1[[#This Row],[GrossRevenue]])</f>
        <v>0.56089578393980011</v>
      </c>
    </row>
    <row r="85" spans="1:33" hidden="1" x14ac:dyDescent="0.45">
      <c r="A85" t="s">
        <v>98</v>
      </c>
      <c r="C85" s="3">
        <v>45770</v>
      </c>
      <c r="D85" s="3">
        <f>YEAR(Table1[[#This Row],[OrderDate]]) * 100 + MONTH(Table1[[#This Row],[OrderDate]])</f>
        <v>202504</v>
      </c>
      <c r="E85" s="3">
        <f>_xlfn.MINIFS(Table1[OrderMonthKey],Table1[Country],Table1[[#This Row],[Country]])</f>
        <v>202301</v>
      </c>
      <c r="F85" s="3">
        <f>Table1[[#This Row],[CountryFirstMonthKey]]</f>
        <v>202301</v>
      </c>
      <c r="G85" s="3">
        <f>12*(INT(Table1[[#This Row],[OrderMonthKey]]/100)-INT(Table1[[#This Row],[CohortMonthKey]]/100)) + (MOD(Table1[[#This Row],[OrderMonthKey]],100)-MOD(Table1[[#This Row],[CohortMonthKey]],100))</f>
        <v>27</v>
      </c>
      <c r="H85" s="3" t="str">
        <f>TEXT(Table1[[#This Row],[OrderDate]],"MMM-YYYY")</f>
        <v>Apr-2025</v>
      </c>
      <c r="I85" s="3" t="str">
        <f t="shared" si="3"/>
        <v>Q2-2025</v>
      </c>
      <c r="J85" s="3" t="str">
        <f>IF(Table1[[#This Row],[LeadTimeDays]]&lt;=7,"Yes","No")</f>
        <v>Yes</v>
      </c>
      <c r="K85" s="3">
        <f>_xlfn.DAYS(Table1[[#This Row],[CorrectedRequiredDate]],Table1[[#This Row],[OrderDate]])</f>
        <v>0</v>
      </c>
      <c r="L85" s="3">
        <f>IF(Table1[[#This Row],[RequiredDate]]&lt;Table1[[#This Row],[OrderDate]],Table1[[#This Row],[OrderDate]],Table1[[#This Row],[RequiredDate]])</f>
        <v>45770</v>
      </c>
      <c r="M85" s="3">
        <v>45769</v>
      </c>
      <c r="N85" t="s">
        <v>648</v>
      </c>
      <c r="O85" t="s">
        <v>660</v>
      </c>
      <c r="P85" t="s">
        <v>686</v>
      </c>
      <c r="Q85" t="s">
        <v>703</v>
      </c>
      <c r="R85" t="s">
        <v>710</v>
      </c>
      <c r="S85" t="s">
        <v>726</v>
      </c>
      <c r="T85" t="s">
        <v>732</v>
      </c>
      <c r="U85" t="s">
        <v>817</v>
      </c>
      <c r="V85" s="8">
        <v>23.24</v>
      </c>
      <c r="W85" s="8">
        <v>44.57</v>
      </c>
      <c r="X85" s="8">
        <f t="shared" si="4"/>
        <v>815.10700000000008</v>
      </c>
      <c r="Y85" s="8">
        <f t="shared" si="5"/>
        <v>1620.05</v>
      </c>
      <c r="AA85">
        <v>0.215</v>
      </c>
      <c r="AB85">
        <f>IF(Table1[[#This Row],[DiscountPct]]&gt;0.2,1,0)</f>
        <v>1</v>
      </c>
      <c r="AC85" s="6">
        <v>15</v>
      </c>
      <c r="AD85" s="8">
        <f>Table1[[#This Row],[UnitPrice]]*Table1[[#This Row],[Quantity]]</f>
        <v>668.55</v>
      </c>
      <c r="AE85" s="8">
        <f>Table1[[#This Row],[UnitCost]]*Table1[[#This Row],[Quantity]]</f>
        <v>348.59999999999997</v>
      </c>
      <c r="AF85" s="8">
        <f>Table1[[#This Row],[GrossRevenue]]-Table1[[#This Row],[CostOfGoods]]</f>
        <v>319.95</v>
      </c>
      <c r="AG85" s="8">
        <f>IF(Table1[[#This Row],[GrossRevenue]]=0,0,Table1[[#This Row],[GrossProfit]]/Table1[[#This Row],[GrossRevenue]])</f>
        <v>0.47857303118689704</v>
      </c>
    </row>
    <row r="86" spans="1:33" x14ac:dyDescent="0.45">
      <c r="A86" t="s">
        <v>99</v>
      </c>
      <c r="B86">
        <v>1</v>
      </c>
      <c r="C86" s="3">
        <v>45741</v>
      </c>
      <c r="D86" s="6">
        <f>YEAR(Table1[[#This Row],[OrderDate]]) * 100 + MONTH(Table1[[#This Row],[OrderDate]])</f>
        <v>202503</v>
      </c>
      <c r="E86" s="6">
        <f>_xlfn.MINIFS(Table1[OrderMonthKey],Table1[Country],Table1[[#This Row],[Country]])</f>
        <v>202301</v>
      </c>
      <c r="F86" s="6">
        <f>Table1[[#This Row],[CountryFirstMonthKey]]</f>
        <v>202301</v>
      </c>
      <c r="G86" s="6">
        <f>12*(INT(Table1[[#This Row],[OrderMonthKey]]/100)-INT(Table1[[#This Row],[CohortMonthKey]]/100)) + (MOD(Table1[[#This Row],[OrderMonthKey]],100)-MOD(Table1[[#This Row],[CohortMonthKey]],100))</f>
        <v>26</v>
      </c>
      <c r="H86" s="3" t="str">
        <f>TEXT(Table1[[#This Row],[OrderDate]],"MMM-YYYY")</f>
        <v>Mar-2025</v>
      </c>
      <c r="I86" s="3" t="str">
        <f t="shared" si="3"/>
        <v>Q2-2025</v>
      </c>
      <c r="J86" s="26" t="str">
        <f>IF(Table1[[#This Row],[LeadTimeDays]]&lt;=7,"Yes","No")</f>
        <v>No</v>
      </c>
      <c r="K86" s="6">
        <f>_xlfn.DAYS(Table1[[#This Row],[CorrectedRequiredDate]],Table1[[#This Row],[OrderDate]])</f>
        <v>23</v>
      </c>
      <c r="L86" s="3">
        <f>IF(Table1[[#This Row],[RequiredDate]]&lt;Table1[[#This Row],[OrderDate]],Table1[[#This Row],[OrderDate]],Table1[[#This Row],[RequiredDate]])</f>
        <v>45764</v>
      </c>
      <c r="M86" s="3">
        <v>45764</v>
      </c>
      <c r="N86" t="s">
        <v>649</v>
      </c>
      <c r="O86" t="s">
        <v>658</v>
      </c>
      <c r="P86" t="s">
        <v>683</v>
      </c>
      <c r="Q86" t="s">
        <v>704</v>
      </c>
      <c r="R86" t="s">
        <v>707</v>
      </c>
      <c r="S86" t="s">
        <v>722</v>
      </c>
      <c r="T86" t="s">
        <v>729</v>
      </c>
      <c r="U86" t="s">
        <v>818</v>
      </c>
      <c r="V86" s="8">
        <v>1421.19</v>
      </c>
      <c r="W86" s="8">
        <v>1808.26</v>
      </c>
      <c r="X86" s="8">
        <f t="shared" si="4"/>
        <v>815.10700000000008</v>
      </c>
      <c r="Y86" s="8">
        <f t="shared" si="5"/>
        <v>1620.05</v>
      </c>
      <c r="Z86" s="8" t="str">
        <f>IF(W85 &lt;= X84, "Low",IF(W85 &lt;= Y85, "Medium", "High"))</f>
        <v>Low</v>
      </c>
      <c r="AA86">
        <v>0.104</v>
      </c>
      <c r="AB86">
        <f>IF(Table1[[#This Row],[DiscountPct]]&gt;0.2,1,0)</f>
        <v>0</v>
      </c>
      <c r="AC86" s="6">
        <v>13</v>
      </c>
      <c r="AD86" s="8">
        <f>Table1[[#This Row],[UnitPrice]]*Table1[[#This Row],[Quantity]]</f>
        <v>23507.38</v>
      </c>
      <c r="AE86" s="8">
        <f>Table1[[#This Row],[UnitCost]]*Table1[[#This Row],[Quantity]]</f>
        <v>18475.47</v>
      </c>
      <c r="AF86" s="8">
        <f>Table1[[#This Row],[GrossRevenue]]-Table1[[#This Row],[CostOfGoods]]</f>
        <v>5031.91</v>
      </c>
      <c r="AG86" s="9">
        <f>IF(Table1[[#This Row],[GrossRevenue]]=0,0,Table1[[#This Row],[GrossProfit]]/Table1[[#This Row],[GrossRevenue]])</f>
        <v>0.21405660690387443</v>
      </c>
    </row>
    <row r="87" spans="1:33" hidden="1" x14ac:dyDescent="0.45">
      <c r="A87" t="s">
        <v>100</v>
      </c>
      <c r="C87" s="3">
        <v>45282</v>
      </c>
      <c r="D87" s="3">
        <f>YEAR(Table1[[#This Row],[OrderDate]]) * 100 + MONTH(Table1[[#This Row],[OrderDate]])</f>
        <v>202312</v>
      </c>
      <c r="E87" s="3">
        <f>_xlfn.MINIFS(Table1[OrderMonthKey],Table1[Country],Table1[[#This Row],[Country]])</f>
        <v>202301</v>
      </c>
      <c r="F87" s="3">
        <f>Table1[[#This Row],[CountryFirstMonthKey]]</f>
        <v>202301</v>
      </c>
      <c r="G87" s="3">
        <f>12*(INT(Table1[[#This Row],[OrderMonthKey]]/100)-INT(Table1[[#This Row],[CohortMonthKey]]/100)) + (MOD(Table1[[#This Row],[OrderMonthKey]],100)-MOD(Table1[[#This Row],[CohortMonthKey]],100))</f>
        <v>11</v>
      </c>
      <c r="H87" s="3" t="str">
        <f>TEXT(Table1[[#This Row],[OrderDate]],"MMM-YYYY")</f>
        <v>Dec-2023</v>
      </c>
      <c r="I87" s="3" t="str">
        <f t="shared" si="3"/>
        <v>Q1-2025</v>
      </c>
      <c r="J87" s="3" t="str">
        <f>IF(Table1[[#This Row],[LeadTimeDays]]&lt;=7,"Yes","No")</f>
        <v>Yes</v>
      </c>
      <c r="K87" s="3">
        <f>_xlfn.DAYS(Table1[[#This Row],[CorrectedRequiredDate]],Table1[[#This Row],[OrderDate]])</f>
        <v>1</v>
      </c>
      <c r="L87" s="3">
        <f>IF(Table1[[#This Row],[RequiredDate]]&lt;Table1[[#This Row],[OrderDate]],Table1[[#This Row],[OrderDate]],Table1[[#This Row],[RequiredDate]])</f>
        <v>45283</v>
      </c>
      <c r="M87" s="3">
        <v>45283</v>
      </c>
      <c r="N87" t="s">
        <v>646</v>
      </c>
      <c r="O87" t="s">
        <v>661</v>
      </c>
      <c r="P87" t="s">
        <v>695</v>
      </c>
      <c r="Q87" t="s">
        <v>703</v>
      </c>
      <c r="R87" t="s">
        <v>709</v>
      </c>
      <c r="S87" t="s">
        <v>726</v>
      </c>
      <c r="T87" t="s">
        <v>727</v>
      </c>
      <c r="U87" t="s">
        <v>819</v>
      </c>
      <c r="V87" s="8">
        <v>1186.18</v>
      </c>
      <c r="W87" s="8">
        <v>1285.0899999999999</v>
      </c>
      <c r="X87" s="8">
        <f t="shared" si="4"/>
        <v>815.10700000000008</v>
      </c>
      <c r="Y87" s="8">
        <f t="shared" si="5"/>
        <v>1620.05</v>
      </c>
      <c r="AA87">
        <v>7.0000000000000007E-2</v>
      </c>
      <c r="AB87">
        <f>IF(Table1[[#This Row],[DiscountPct]]&gt;0.2,1,0)</f>
        <v>0</v>
      </c>
      <c r="AC87" s="6">
        <v>11</v>
      </c>
      <c r="AD87" s="8">
        <f>Table1[[#This Row],[UnitPrice]]*Table1[[#This Row],[Quantity]]</f>
        <v>14135.99</v>
      </c>
      <c r="AE87" s="8">
        <f>Table1[[#This Row],[UnitCost]]*Table1[[#This Row],[Quantity]]</f>
        <v>13047.980000000001</v>
      </c>
      <c r="AF87" s="8">
        <f>Table1[[#This Row],[GrossRevenue]]-Table1[[#This Row],[CostOfGoods]]</f>
        <v>1088.0099999999984</v>
      </c>
      <c r="AG87" s="8">
        <f>IF(Table1[[#This Row],[GrossRevenue]]=0,0,Table1[[#This Row],[GrossProfit]]/Table1[[#This Row],[GrossRevenue]])</f>
        <v>7.6967371935039455E-2</v>
      </c>
    </row>
    <row r="88" spans="1:33" x14ac:dyDescent="0.45">
      <c r="A88" t="s">
        <v>101</v>
      </c>
      <c r="B88">
        <v>1</v>
      </c>
      <c r="C88" s="3">
        <v>45388</v>
      </c>
      <c r="D88" s="6">
        <f>YEAR(Table1[[#This Row],[OrderDate]]) * 100 + MONTH(Table1[[#This Row],[OrderDate]])</f>
        <v>202404</v>
      </c>
      <c r="E88" s="6">
        <f>_xlfn.MINIFS(Table1[OrderMonthKey],Table1[Country],Table1[[#This Row],[Country]])</f>
        <v>202301</v>
      </c>
      <c r="F88" s="6">
        <f>Table1[[#This Row],[CountryFirstMonthKey]]</f>
        <v>202301</v>
      </c>
      <c r="G88" s="6">
        <f>12*(INT(Table1[[#This Row],[OrderMonthKey]]/100)-INT(Table1[[#This Row],[CohortMonthKey]]/100)) + (MOD(Table1[[#This Row],[OrderMonthKey]],100)-MOD(Table1[[#This Row],[CohortMonthKey]],100))</f>
        <v>15</v>
      </c>
      <c r="H88" s="3" t="str">
        <f>TEXT(Table1[[#This Row],[OrderDate]],"MMM-YYYY")</f>
        <v>Apr-2024</v>
      </c>
      <c r="I88" s="3" t="str">
        <f t="shared" si="3"/>
        <v>Q4-2023</v>
      </c>
      <c r="J88" s="26" t="str">
        <f>IF(Table1[[#This Row],[LeadTimeDays]]&lt;=7,"Yes","No")</f>
        <v>No</v>
      </c>
      <c r="K88" s="6">
        <f>_xlfn.DAYS(Table1[[#This Row],[CorrectedRequiredDate]],Table1[[#This Row],[OrderDate]])</f>
        <v>19</v>
      </c>
      <c r="L88" s="3">
        <f>IF(Table1[[#This Row],[RequiredDate]]&lt;Table1[[#This Row],[OrderDate]],Table1[[#This Row],[OrderDate]],Table1[[#This Row],[RequiredDate]])</f>
        <v>45407</v>
      </c>
      <c r="M88" s="3">
        <v>45407</v>
      </c>
      <c r="N88" t="s">
        <v>647</v>
      </c>
      <c r="O88" t="s">
        <v>659</v>
      </c>
      <c r="P88" t="s">
        <v>685</v>
      </c>
      <c r="Q88" t="s">
        <v>701</v>
      </c>
      <c r="R88" t="s">
        <v>707</v>
      </c>
      <c r="S88" t="s">
        <v>723</v>
      </c>
      <c r="T88" t="s">
        <v>727</v>
      </c>
      <c r="U88" t="s">
        <v>820</v>
      </c>
      <c r="V88" s="8">
        <v>1366.48</v>
      </c>
      <c r="W88" s="8">
        <v>1678.14</v>
      </c>
      <c r="X88" s="8">
        <f t="shared" si="4"/>
        <v>815.10700000000008</v>
      </c>
      <c r="Y88" s="8">
        <f t="shared" si="5"/>
        <v>1620.05</v>
      </c>
      <c r="Z88" s="8" t="str">
        <f>IF(W87 &lt;= X86, "Low",IF(W87 &lt;= Y87, "Medium", "High"))</f>
        <v>Medium</v>
      </c>
      <c r="AA88">
        <v>0.154</v>
      </c>
      <c r="AB88">
        <f>IF(Table1[[#This Row],[DiscountPct]]&gt;0.2,1,0)</f>
        <v>0</v>
      </c>
      <c r="AC88" s="6">
        <v>10</v>
      </c>
      <c r="AD88" s="8">
        <f>Table1[[#This Row],[UnitPrice]]*Table1[[#This Row],[Quantity]]</f>
        <v>16781.400000000001</v>
      </c>
      <c r="AE88" s="8">
        <f>Table1[[#This Row],[UnitCost]]*Table1[[#This Row],[Quantity]]</f>
        <v>13664.8</v>
      </c>
      <c r="AF88" s="8">
        <f>Table1[[#This Row],[GrossRevenue]]-Table1[[#This Row],[CostOfGoods]]</f>
        <v>3116.6000000000022</v>
      </c>
      <c r="AG88" s="9">
        <f>IF(Table1[[#This Row],[GrossRevenue]]=0,0,Table1[[#This Row],[GrossProfit]]/Table1[[#This Row],[GrossRevenue]])</f>
        <v>0.18571752058827046</v>
      </c>
    </row>
    <row r="89" spans="1:33" hidden="1" x14ac:dyDescent="0.45">
      <c r="A89" t="s">
        <v>102</v>
      </c>
      <c r="C89" s="3">
        <v>45876</v>
      </c>
      <c r="D89" s="3">
        <f>YEAR(Table1[[#This Row],[OrderDate]]) * 100 + MONTH(Table1[[#This Row],[OrderDate]])</f>
        <v>202508</v>
      </c>
      <c r="E89" s="3">
        <f>_xlfn.MINIFS(Table1[OrderMonthKey],Table1[Country],Table1[[#This Row],[Country]])</f>
        <v>202301</v>
      </c>
      <c r="F89" s="3">
        <f>Table1[[#This Row],[CountryFirstMonthKey]]</f>
        <v>202301</v>
      </c>
      <c r="G89" s="3">
        <f>12*(INT(Table1[[#This Row],[OrderMonthKey]]/100)-INT(Table1[[#This Row],[CohortMonthKey]]/100)) + (MOD(Table1[[#This Row],[OrderMonthKey]],100)-MOD(Table1[[#This Row],[CohortMonthKey]],100))</f>
        <v>31</v>
      </c>
      <c r="H89" s="3" t="str">
        <f>TEXT(Table1[[#This Row],[OrderDate]],"MMM-YYYY")</f>
        <v>Aug-2025</v>
      </c>
      <c r="I89" s="3" t="str">
        <f t="shared" si="3"/>
        <v>Q2-2024</v>
      </c>
      <c r="J89" s="3" t="str">
        <f>IF(Table1[[#This Row],[LeadTimeDays]]&lt;=7,"Yes","No")</f>
        <v>No</v>
      </c>
      <c r="K89" s="3">
        <f>_xlfn.DAYS(Table1[[#This Row],[CorrectedRequiredDate]],Table1[[#This Row],[OrderDate]])</f>
        <v>12</v>
      </c>
      <c r="L89" s="3">
        <f>IF(Table1[[#This Row],[RequiredDate]]&lt;Table1[[#This Row],[OrderDate]],Table1[[#This Row],[OrderDate]],Table1[[#This Row],[RequiredDate]])</f>
        <v>45888</v>
      </c>
      <c r="M89" s="3">
        <v>45888</v>
      </c>
      <c r="N89" t="s">
        <v>646</v>
      </c>
      <c r="O89" t="s">
        <v>650</v>
      </c>
      <c r="P89" t="s">
        <v>678</v>
      </c>
      <c r="Q89" t="s">
        <v>701</v>
      </c>
      <c r="R89" t="s">
        <v>708</v>
      </c>
      <c r="S89" t="s">
        <v>724</v>
      </c>
      <c r="T89" t="s">
        <v>727</v>
      </c>
      <c r="U89" t="s">
        <v>821</v>
      </c>
      <c r="V89" s="8">
        <v>601.51</v>
      </c>
      <c r="W89" s="8">
        <v>679.35</v>
      </c>
      <c r="X89" s="8">
        <f t="shared" si="4"/>
        <v>815.10700000000008</v>
      </c>
      <c r="Y89" s="8">
        <f t="shared" si="5"/>
        <v>1620.05</v>
      </c>
      <c r="AA89">
        <v>0.188</v>
      </c>
      <c r="AB89">
        <f>IF(Table1[[#This Row],[DiscountPct]]&gt;0.2,1,0)</f>
        <v>0</v>
      </c>
      <c r="AC89" s="6">
        <v>3</v>
      </c>
      <c r="AD89" s="8">
        <f>Table1[[#This Row],[UnitPrice]]*Table1[[#This Row],[Quantity]]</f>
        <v>2038.0500000000002</v>
      </c>
      <c r="AE89" s="8">
        <f>Table1[[#This Row],[UnitCost]]*Table1[[#This Row],[Quantity]]</f>
        <v>1804.53</v>
      </c>
      <c r="AF89" s="8">
        <f>Table1[[#This Row],[GrossRevenue]]-Table1[[#This Row],[CostOfGoods]]</f>
        <v>233.52000000000021</v>
      </c>
      <c r="AG89" s="8">
        <f>IF(Table1[[#This Row],[GrossRevenue]]=0,0,Table1[[#This Row],[GrossProfit]]/Table1[[#This Row],[GrossRevenue]])</f>
        <v>0.11458011334363739</v>
      </c>
    </row>
    <row r="90" spans="1:33" x14ac:dyDescent="0.45">
      <c r="A90" t="s">
        <v>103</v>
      </c>
      <c r="B90">
        <v>1</v>
      </c>
      <c r="C90" s="3">
        <v>45312</v>
      </c>
      <c r="D90" s="6">
        <f>YEAR(Table1[[#This Row],[OrderDate]]) * 100 + MONTH(Table1[[#This Row],[OrderDate]])</f>
        <v>202401</v>
      </c>
      <c r="E90" s="6">
        <f>_xlfn.MINIFS(Table1[OrderMonthKey],Table1[Country],Table1[[#This Row],[Country]])</f>
        <v>202302</v>
      </c>
      <c r="F90" s="6">
        <f>Table1[[#This Row],[CountryFirstMonthKey]]</f>
        <v>202302</v>
      </c>
      <c r="G90" s="6">
        <f>12*(INT(Table1[[#This Row],[OrderMonthKey]]/100)-INT(Table1[[#This Row],[CohortMonthKey]]/100)) + (MOD(Table1[[#This Row],[OrderMonthKey]],100)-MOD(Table1[[#This Row],[CohortMonthKey]],100))</f>
        <v>11</v>
      </c>
      <c r="H90" s="3" t="str">
        <f>TEXT(Table1[[#This Row],[OrderDate]],"MMM-YYYY")</f>
        <v>Jan-2024</v>
      </c>
      <c r="I90" s="3" t="str">
        <f t="shared" si="3"/>
        <v>Q3-2025</v>
      </c>
      <c r="J90" s="26" t="str">
        <f>IF(Table1[[#This Row],[LeadTimeDays]]&lt;=7,"Yes","No")</f>
        <v>Yes</v>
      </c>
      <c r="K90" s="6">
        <f>_xlfn.DAYS(Table1[[#This Row],[CorrectedRequiredDate]],Table1[[#This Row],[OrderDate]])</f>
        <v>4</v>
      </c>
      <c r="L90" s="3">
        <f>IF(Table1[[#This Row],[RequiredDate]]&lt;Table1[[#This Row],[OrderDate]],Table1[[#This Row],[OrderDate]],Table1[[#This Row],[RequiredDate]])</f>
        <v>45316</v>
      </c>
      <c r="M90" s="3">
        <v>45316</v>
      </c>
      <c r="N90" t="s">
        <v>647</v>
      </c>
      <c r="O90" t="s">
        <v>654</v>
      </c>
      <c r="P90" t="s">
        <v>680</v>
      </c>
      <c r="Q90" t="s">
        <v>704</v>
      </c>
      <c r="R90" t="s">
        <v>711</v>
      </c>
      <c r="S90" t="s">
        <v>712</v>
      </c>
      <c r="T90" t="s">
        <v>732</v>
      </c>
      <c r="U90" t="s">
        <v>822</v>
      </c>
      <c r="V90" s="8">
        <v>523.70000000000005</v>
      </c>
      <c r="W90" s="8">
        <v>1109.92</v>
      </c>
      <c r="X90" s="8">
        <f t="shared" si="4"/>
        <v>815.10700000000008</v>
      </c>
      <c r="Y90" s="8">
        <f t="shared" si="5"/>
        <v>1620.05</v>
      </c>
      <c r="Z90" s="8" t="str">
        <f>IF(W89 &lt;= X88, "Low",IF(W89 &lt;= Y89, "Medium", "High"))</f>
        <v>Low</v>
      </c>
      <c r="AA90">
        <v>0.03</v>
      </c>
      <c r="AB90">
        <f>IF(Table1[[#This Row],[DiscountPct]]&gt;0.2,1,0)</f>
        <v>0</v>
      </c>
      <c r="AC90" s="6">
        <v>11</v>
      </c>
      <c r="AD90" s="8">
        <f>Table1[[#This Row],[UnitPrice]]*Table1[[#This Row],[Quantity]]</f>
        <v>12209.12</v>
      </c>
      <c r="AE90" s="8">
        <f>Table1[[#This Row],[UnitCost]]*Table1[[#This Row],[Quantity]]</f>
        <v>5760.7000000000007</v>
      </c>
      <c r="AF90" s="8">
        <f>Table1[[#This Row],[GrossRevenue]]-Table1[[#This Row],[CostOfGoods]]</f>
        <v>6448.42</v>
      </c>
      <c r="AG90" s="9">
        <f>IF(Table1[[#This Row],[GrossRevenue]]=0,0,Table1[[#This Row],[GrossProfit]]/Table1[[#This Row],[GrossRevenue]])</f>
        <v>0.5281641920138388</v>
      </c>
    </row>
    <row r="91" spans="1:33" hidden="1" x14ac:dyDescent="0.45">
      <c r="A91" t="s">
        <v>104</v>
      </c>
      <c r="C91" s="3">
        <v>45106</v>
      </c>
      <c r="D91" s="3">
        <f>YEAR(Table1[[#This Row],[OrderDate]]) * 100 + MONTH(Table1[[#This Row],[OrderDate]])</f>
        <v>202306</v>
      </c>
      <c r="E91" s="3">
        <f>_xlfn.MINIFS(Table1[OrderMonthKey],Table1[Country],Table1[[#This Row],[Country]])</f>
        <v>202303</v>
      </c>
      <c r="F91" s="3">
        <f>Table1[[#This Row],[CountryFirstMonthKey]]</f>
        <v>202303</v>
      </c>
      <c r="G91" s="3">
        <f>12*(INT(Table1[[#This Row],[OrderMonthKey]]/100)-INT(Table1[[#This Row],[CohortMonthKey]]/100)) + (MOD(Table1[[#This Row],[OrderMonthKey]],100)-MOD(Table1[[#This Row],[CohortMonthKey]],100))</f>
        <v>3</v>
      </c>
      <c r="H91" s="3" t="str">
        <f>TEXT(Table1[[#This Row],[OrderDate]],"MMM-YYYY")</f>
        <v>Jun-2023</v>
      </c>
      <c r="I91" s="3" t="str">
        <f t="shared" si="3"/>
        <v>Q1-2024</v>
      </c>
      <c r="J91" s="3" t="str">
        <f>IF(Table1[[#This Row],[LeadTimeDays]]&lt;=7,"Yes","No")</f>
        <v>Yes</v>
      </c>
      <c r="K91" s="3">
        <f>_xlfn.DAYS(Table1[[#This Row],[CorrectedRequiredDate]],Table1[[#This Row],[OrderDate]])</f>
        <v>3</v>
      </c>
      <c r="L91" s="3">
        <f>IF(Table1[[#This Row],[RequiredDate]]&lt;Table1[[#This Row],[OrderDate]],Table1[[#This Row],[OrderDate]],Table1[[#This Row],[RequiredDate]])</f>
        <v>45109</v>
      </c>
      <c r="M91" s="3">
        <v>45109</v>
      </c>
      <c r="N91" t="s">
        <v>647</v>
      </c>
      <c r="O91" t="s">
        <v>652</v>
      </c>
      <c r="P91" t="s">
        <v>694</v>
      </c>
      <c r="Q91" t="s">
        <v>702</v>
      </c>
      <c r="R91" t="s">
        <v>709</v>
      </c>
      <c r="S91" t="s">
        <v>721</v>
      </c>
      <c r="T91" t="s">
        <v>732</v>
      </c>
      <c r="U91" t="s">
        <v>823</v>
      </c>
      <c r="V91" s="8">
        <v>55.65</v>
      </c>
      <c r="W91" s="8">
        <v>83.57</v>
      </c>
      <c r="X91" s="8">
        <f t="shared" si="4"/>
        <v>815.10700000000008</v>
      </c>
      <c r="Y91" s="8">
        <f t="shared" si="5"/>
        <v>1620.05</v>
      </c>
      <c r="AA91">
        <v>6.6000000000000003E-2</v>
      </c>
      <c r="AB91">
        <f>IF(Table1[[#This Row],[DiscountPct]]&gt;0.2,1,0)</f>
        <v>0</v>
      </c>
      <c r="AC91" s="6">
        <v>8</v>
      </c>
      <c r="AD91" s="8">
        <f>Table1[[#This Row],[UnitPrice]]*Table1[[#This Row],[Quantity]]</f>
        <v>668.56</v>
      </c>
      <c r="AE91" s="8">
        <f>Table1[[#This Row],[UnitCost]]*Table1[[#This Row],[Quantity]]</f>
        <v>445.2</v>
      </c>
      <c r="AF91" s="8">
        <f>Table1[[#This Row],[GrossRevenue]]-Table1[[#This Row],[CostOfGoods]]</f>
        <v>223.35999999999996</v>
      </c>
      <c r="AG91" s="8">
        <f>IF(Table1[[#This Row],[GrossRevenue]]=0,0,Table1[[#This Row],[GrossProfit]]/Table1[[#This Row],[GrossRevenue]])</f>
        <v>0.3340911810458298</v>
      </c>
    </row>
    <row r="92" spans="1:33" hidden="1" x14ac:dyDescent="0.45">
      <c r="A92" t="s">
        <v>105</v>
      </c>
      <c r="C92" s="3">
        <v>45775</v>
      </c>
      <c r="D92" s="3">
        <f>YEAR(Table1[[#This Row],[OrderDate]]) * 100 + MONTH(Table1[[#This Row],[OrderDate]])</f>
        <v>202504</v>
      </c>
      <c r="E92" s="3">
        <f>_xlfn.MINIFS(Table1[OrderMonthKey],Table1[Country],Table1[[#This Row],[Country]])</f>
        <v>202303</v>
      </c>
      <c r="F92" s="3">
        <f>Table1[[#This Row],[CountryFirstMonthKey]]</f>
        <v>202303</v>
      </c>
      <c r="G92" s="3">
        <f>12*(INT(Table1[[#This Row],[OrderMonthKey]]/100)-INT(Table1[[#This Row],[CohortMonthKey]]/100)) + (MOD(Table1[[#This Row],[OrderMonthKey]],100)-MOD(Table1[[#This Row],[CohortMonthKey]],100))</f>
        <v>25</v>
      </c>
      <c r="H92" s="3" t="str">
        <f>TEXT(Table1[[#This Row],[OrderDate]],"MMM-YYYY")</f>
        <v>Apr-2025</v>
      </c>
      <c r="I92" s="3" t="str">
        <f t="shared" si="3"/>
        <v>Q2-2023</v>
      </c>
      <c r="J92" s="3" t="str">
        <f>IF(Table1[[#This Row],[LeadTimeDays]]&lt;=7,"Yes","No")</f>
        <v>No</v>
      </c>
      <c r="K92" s="3">
        <f>_xlfn.DAYS(Table1[[#This Row],[CorrectedRequiredDate]],Table1[[#This Row],[OrderDate]])</f>
        <v>17</v>
      </c>
      <c r="L92" s="3">
        <f>IF(Table1[[#This Row],[RequiredDate]]&lt;Table1[[#This Row],[OrderDate]],Table1[[#This Row],[OrderDate]],Table1[[#This Row],[RequiredDate]])</f>
        <v>45792</v>
      </c>
      <c r="M92" s="3">
        <v>45792</v>
      </c>
      <c r="N92" t="s">
        <v>647</v>
      </c>
      <c r="O92" t="s">
        <v>652</v>
      </c>
      <c r="P92" t="s">
        <v>694</v>
      </c>
      <c r="Q92" t="s">
        <v>702</v>
      </c>
      <c r="R92" t="s">
        <v>711</v>
      </c>
      <c r="S92" t="s">
        <v>725</v>
      </c>
      <c r="T92" t="s">
        <v>729</v>
      </c>
      <c r="U92" t="s">
        <v>824</v>
      </c>
      <c r="V92" s="8">
        <v>691.19</v>
      </c>
      <c r="W92" s="8">
        <v>1284.3</v>
      </c>
      <c r="X92" s="8">
        <f t="shared" si="4"/>
        <v>815.10700000000008</v>
      </c>
      <c r="Y92" s="8">
        <f t="shared" si="5"/>
        <v>1620.05</v>
      </c>
      <c r="AA92">
        <v>7.3999999999999996E-2</v>
      </c>
      <c r="AB92">
        <f>IF(Table1[[#This Row],[DiscountPct]]&gt;0.2,1,0)</f>
        <v>0</v>
      </c>
      <c r="AC92" s="6">
        <v>7</v>
      </c>
      <c r="AD92" s="8">
        <f>Table1[[#This Row],[UnitPrice]]*Table1[[#This Row],[Quantity]]</f>
        <v>8990.1</v>
      </c>
      <c r="AE92" s="8">
        <f>Table1[[#This Row],[UnitCost]]*Table1[[#This Row],[Quantity]]</f>
        <v>4838.33</v>
      </c>
      <c r="AF92" s="8">
        <f>Table1[[#This Row],[GrossRevenue]]-Table1[[#This Row],[CostOfGoods]]</f>
        <v>4151.7700000000004</v>
      </c>
      <c r="AG92" s="8">
        <f>IF(Table1[[#This Row],[GrossRevenue]]=0,0,Table1[[#This Row],[GrossProfit]]/Table1[[#This Row],[GrossRevenue]])</f>
        <v>0.46181577513042127</v>
      </c>
    </row>
    <row r="93" spans="1:33" x14ac:dyDescent="0.45">
      <c r="A93" t="s">
        <v>106</v>
      </c>
      <c r="B93">
        <v>1</v>
      </c>
      <c r="C93" s="3">
        <v>45817</v>
      </c>
      <c r="D93" s="6">
        <f>YEAR(Table1[[#This Row],[OrderDate]]) * 100 + MONTH(Table1[[#This Row],[OrderDate]])</f>
        <v>202506</v>
      </c>
      <c r="E93" s="6">
        <f>_xlfn.MINIFS(Table1[OrderMonthKey],Table1[Country],Table1[[#This Row],[Country]])</f>
        <v>202302</v>
      </c>
      <c r="F93" s="6">
        <f>Table1[[#This Row],[CountryFirstMonthKey]]</f>
        <v>202302</v>
      </c>
      <c r="G93" s="6">
        <f>12*(INT(Table1[[#This Row],[OrderMonthKey]]/100)-INT(Table1[[#This Row],[CohortMonthKey]]/100)) + (MOD(Table1[[#This Row],[OrderMonthKey]],100)-MOD(Table1[[#This Row],[CohortMonthKey]],100))</f>
        <v>28</v>
      </c>
      <c r="H93" s="3" t="str">
        <f>TEXT(Table1[[#This Row],[OrderDate]],"MMM-YYYY")</f>
        <v>Jun-2025</v>
      </c>
      <c r="I93" s="3" t="str">
        <f t="shared" si="3"/>
        <v>Q2-2025</v>
      </c>
      <c r="J93" s="26" t="str">
        <f>IF(Table1[[#This Row],[LeadTimeDays]]&lt;=7,"Yes","No")</f>
        <v>No</v>
      </c>
      <c r="K93" s="6">
        <f>_xlfn.DAYS(Table1[[#This Row],[CorrectedRequiredDate]],Table1[[#This Row],[OrderDate]])</f>
        <v>16</v>
      </c>
      <c r="L93" s="3">
        <f>IF(Table1[[#This Row],[RequiredDate]]&lt;Table1[[#This Row],[OrderDate]],Table1[[#This Row],[OrderDate]],Table1[[#This Row],[RequiredDate]])</f>
        <v>45833</v>
      </c>
      <c r="M93" s="3">
        <v>45833</v>
      </c>
      <c r="N93" t="s">
        <v>647</v>
      </c>
      <c r="O93" t="s">
        <v>654</v>
      </c>
      <c r="P93" t="s">
        <v>696</v>
      </c>
      <c r="Q93" t="s">
        <v>706</v>
      </c>
      <c r="R93" t="s">
        <v>710</v>
      </c>
      <c r="S93" t="s">
        <v>724</v>
      </c>
      <c r="T93" t="s">
        <v>730</v>
      </c>
      <c r="U93" t="s">
        <v>825</v>
      </c>
      <c r="V93" s="8">
        <v>527.33000000000004</v>
      </c>
      <c r="W93" s="8">
        <v>911.72</v>
      </c>
      <c r="X93" s="8">
        <f t="shared" si="4"/>
        <v>815.10700000000008</v>
      </c>
      <c r="Y93" s="8">
        <f t="shared" si="5"/>
        <v>1620.05</v>
      </c>
      <c r="Z93" s="8" t="str">
        <f>IF(W92 &lt;= X91, "Low",IF(W92 &lt;= Y92, "Medium", "High"))</f>
        <v>Medium</v>
      </c>
      <c r="AA93">
        <v>0.14399999999999999</v>
      </c>
      <c r="AB93">
        <f>IF(Table1[[#This Row],[DiscountPct]]&gt;0.2,1,0)</f>
        <v>0</v>
      </c>
      <c r="AC93" s="6">
        <v>25</v>
      </c>
      <c r="AD93" s="8">
        <f>Table1[[#This Row],[UnitPrice]]*Table1[[#This Row],[Quantity]]</f>
        <v>22793</v>
      </c>
      <c r="AE93" s="8">
        <f>Table1[[#This Row],[UnitCost]]*Table1[[#This Row],[Quantity]]</f>
        <v>13183.250000000002</v>
      </c>
      <c r="AF93" s="8">
        <f>Table1[[#This Row],[GrossRevenue]]-Table1[[#This Row],[CostOfGoods]]</f>
        <v>9609.7499999999982</v>
      </c>
      <c r="AG93" s="9">
        <f>IF(Table1[[#This Row],[GrossRevenue]]=0,0,Table1[[#This Row],[GrossProfit]]/Table1[[#This Row],[GrossRevenue]])</f>
        <v>0.42160970473390946</v>
      </c>
    </row>
    <row r="94" spans="1:33" x14ac:dyDescent="0.45">
      <c r="A94" t="s">
        <v>107</v>
      </c>
      <c r="B94">
        <v>1</v>
      </c>
      <c r="C94" s="3">
        <v>45101</v>
      </c>
      <c r="D94" s="6">
        <f>YEAR(Table1[[#This Row],[OrderDate]]) * 100 + MONTH(Table1[[#This Row],[OrderDate]])</f>
        <v>202306</v>
      </c>
      <c r="E94" s="6">
        <f>_xlfn.MINIFS(Table1[OrderMonthKey],Table1[Country],Table1[[#This Row],[Country]])</f>
        <v>202301</v>
      </c>
      <c r="F94" s="6">
        <f>Table1[[#This Row],[CountryFirstMonthKey]]</f>
        <v>202301</v>
      </c>
      <c r="G94" s="6">
        <f>12*(INT(Table1[[#This Row],[OrderMonthKey]]/100)-INT(Table1[[#This Row],[CohortMonthKey]]/100)) + (MOD(Table1[[#This Row],[OrderMonthKey]],100)-MOD(Table1[[#This Row],[CohortMonthKey]],100))</f>
        <v>5</v>
      </c>
      <c r="H94" s="3" t="str">
        <f>TEXT(Table1[[#This Row],[OrderDate]],"MMM-YYYY")</f>
        <v>Jun-2023</v>
      </c>
      <c r="I94" s="3" t="str">
        <f t="shared" si="3"/>
        <v>Q2-2025</v>
      </c>
      <c r="J94" s="26" t="str">
        <f>IF(Table1[[#This Row],[LeadTimeDays]]&lt;=7,"Yes","No")</f>
        <v>Yes</v>
      </c>
      <c r="K94" s="6">
        <f>_xlfn.DAYS(Table1[[#This Row],[CorrectedRequiredDate]],Table1[[#This Row],[OrderDate]])</f>
        <v>0</v>
      </c>
      <c r="L94" s="3">
        <f>IF(Table1[[#This Row],[RequiredDate]]&lt;Table1[[#This Row],[OrderDate]],Table1[[#This Row],[OrderDate]],Table1[[#This Row],[RequiredDate]])</f>
        <v>45101</v>
      </c>
      <c r="M94" s="3">
        <v>45100</v>
      </c>
      <c r="N94" t="s">
        <v>648</v>
      </c>
      <c r="O94" t="s">
        <v>655</v>
      </c>
      <c r="P94" t="s">
        <v>692</v>
      </c>
      <c r="Q94" t="s">
        <v>703</v>
      </c>
      <c r="R94" t="s">
        <v>707</v>
      </c>
      <c r="S94" t="s">
        <v>718</v>
      </c>
      <c r="T94" t="s">
        <v>728</v>
      </c>
      <c r="U94" t="s">
        <v>826</v>
      </c>
      <c r="V94" s="8">
        <v>804.01</v>
      </c>
      <c r="W94" s="8">
        <v>1405.07</v>
      </c>
      <c r="X94" s="8">
        <f t="shared" si="4"/>
        <v>815.10700000000008</v>
      </c>
      <c r="Y94" s="8">
        <f t="shared" si="5"/>
        <v>1620.05</v>
      </c>
      <c r="Z94" s="8" t="str">
        <f>IF(W93 &lt;= X92, "Low",IF(W93 &lt;= Y93, "Medium", "High"))</f>
        <v>Medium</v>
      </c>
      <c r="AA94">
        <v>9.6000000000000002E-2</v>
      </c>
      <c r="AB94">
        <f>IF(Table1[[#This Row],[DiscountPct]]&gt;0.2,1,0)</f>
        <v>0</v>
      </c>
      <c r="AC94" s="6">
        <v>8</v>
      </c>
      <c r="AD94" s="8">
        <f>Table1[[#This Row],[UnitPrice]]*Table1[[#This Row],[Quantity]]</f>
        <v>11240.56</v>
      </c>
      <c r="AE94" s="8">
        <f>Table1[[#This Row],[UnitCost]]*Table1[[#This Row],[Quantity]]</f>
        <v>6432.08</v>
      </c>
      <c r="AF94" s="8">
        <f>Table1[[#This Row],[GrossRevenue]]-Table1[[#This Row],[CostOfGoods]]</f>
        <v>4808.4799999999996</v>
      </c>
      <c r="AG94" s="9">
        <f>IF(Table1[[#This Row],[GrossRevenue]]=0,0,Table1[[#This Row],[GrossProfit]]/Table1[[#This Row],[GrossRevenue]])</f>
        <v>0.4277793988911584</v>
      </c>
    </row>
    <row r="95" spans="1:33" x14ac:dyDescent="0.45">
      <c r="A95" t="s">
        <v>108</v>
      </c>
      <c r="B95">
        <v>1</v>
      </c>
      <c r="C95" s="3">
        <v>45569</v>
      </c>
      <c r="D95" s="6">
        <f>YEAR(Table1[[#This Row],[OrderDate]]) * 100 + MONTH(Table1[[#This Row],[OrderDate]])</f>
        <v>202410</v>
      </c>
      <c r="E95" s="6">
        <f>_xlfn.MINIFS(Table1[OrderMonthKey],Table1[Country],Table1[[#This Row],[Country]])</f>
        <v>202301</v>
      </c>
      <c r="F95" s="6">
        <f>Table1[[#This Row],[CountryFirstMonthKey]]</f>
        <v>202301</v>
      </c>
      <c r="G95" s="6">
        <f>12*(INT(Table1[[#This Row],[OrderMonthKey]]/100)-INT(Table1[[#This Row],[CohortMonthKey]]/100)) + (MOD(Table1[[#This Row],[OrderMonthKey]],100)-MOD(Table1[[#This Row],[CohortMonthKey]],100))</f>
        <v>21</v>
      </c>
      <c r="H95" s="3" t="str">
        <f>TEXT(Table1[[#This Row],[OrderDate]],"MMM-YYYY")</f>
        <v>Oct-2024</v>
      </c>
      <c r="I95" s="3" t="str">
        <f t="shared" si="3"/>
        <v>Q2-2023</v>
      </c>
      <c r="J95" s="26" t="str">
        <f>IF(Table1[[#This Row],[LeadTimeDays]]&lt;=7,"Yes","No")</f>
        <v>No</v>
      </c>
      <c r="K95" s="6">
        <f>_xlfn.DAYS(Table1[[#This Row],[CorrectedRequiredDate]],Table1[[#This Row],[OrderDate]])</f>
        <v>29</v>
      </c>
      <c r="L95" s="3">
        <f>IF(Table1[[#This Row],[RequiredDate]]&lt;Table1[[#This Row],[OrderDate]],Table1[[#This Row],[OrderDate]],Table1[[#This Row],[RequiredDate]])</f>
        <v>45598</v>
      </c>
      <c r="M95" s="3">
        <v>45598</v>
      </c>
      <c r="N95" t="s">
        <v>646</v>
      </c>
      <c r="O95" t="s">
        <v>651</v>
      </c>
      <c r="P95" t="s">
        <v>669</v>
      </c>
      <c r="Q95" t="s">
        <v>701</v>
      </c>
      <c r="R95" t="s">
        <v>710</v>
      </c>
      <c r="S95" t="s">
        <v>721</v>
      </c>
      <c r="T95" t="s">
        <v>733</v>
      </c>
      <c r="U95" t="s">
        <v>827</v>
      </c>
      <c r="V95" s="8">
        <v>412.09</v>
      </c>
      <c r="W95" s="8">
        <v>968.94</v>
      </c>
      <c r="X95" s="8">
        <f t="shared" si="4"/>
        <v>815.10700000000008</v>
      </c>
      <c r="Y95" s="8">
        <f t="shared" si="5"/>
        <v>1620.05</v>
      </c>
      <c r="Z95" s="8" t="str">
        <f>IF(W94 &lt;= X93, "Low",IF(W94 &lt;= Y94, "Medium", "High"))</f>
        <v>Medium</v>
      </c>
      <c r="AA95">
        <v>9.9000000000000005E-2</v>
      </c>
      <c r="AB95">
        <f>IF(Table1[[#This Row],[DiscountPct]]&gt;0.2,1,0)</f>
        <v>0</v>
      </c>
      <c r="AC95" s="6">
        <v>23</v>
      </c>
      <c r="AD95" s="8">
        <f>Table1[[#This Row],[UnitPrice]]*Table1[[#This Row],[Quantity]]</f>
        <v>22285.620000000003</v>
      </c>
      <c r="AE95" s="8">
        <f>Table1[[#This Row],[UnitCost]]*Table1[[#This Row],[Quantity]]</f>
        <v>9478.07</v>
      </c>
      <c r="AF95" s="8">
        <f>Table1[[#This Row],[GrossRevenue]]-Table1[[#This Row],[CostOfGoods]]</f>
        <v>12807.550000000003</v>
      </c>
      <c r="AG95" s="9">
        <f>IF(Table1[[#This Row],[GrossRevenue]]=0,0,Table1[[#This Row],[GrossProfit]]/Table1[[#This Row],[GrossRevenue]])</f>
        <v>0.57470018783412813</v>
      </c>
    </row>
    <row r="96" spans="1:33" hidden="1" x14ac:dyDescent="0.45">
      <c r="A96" t="s">
        <v>109</v>
      </c>
      <c r="C96" s="3">
        <v>45910</v>
      </c>
      <c r="D96" s="3">
        <f>YEAR(Table1[[#This Row],[OrderDate]]) * 100 + MONTH(Table1[[#This Row],[OrderDate]])</f>
        <v>202509</v>
      </c>
      <c r="E96" s="3">
        <f>_xlfn.MINIFS(Table1[OrderMonthKey],Table1[Country],Table1[[#This Row],[Country]])</f>
        <v>202301</v>
      </c>
      <c r="F96" s="3">
        <f>Table1[[#This Row],[CountryFirstMonthKey]]</f>
        <v>202301</v>
      </c>
      <c r="G96" s="3">
        <f>12*(INT(Table1[[#This Row],[OrderMonthKey]]/100)-INT(Table1[[#This Row],[CohortMonthKey]]/100)) + (MOD(Table1[[#This Row],[OrderMonthKey]],100)-MOD(Table1[[#This Row],[CohortMonthKey]],100))</f>
        <v>32</v>
      </c>
      <c r="H96" s="3" t="str">
        <f>TEXT(Table1[[#This Row],[OrderDate]],"MMM-YYYY")</f>
        <v>Sep-2025</v>
      </c>
      <c r="I96" s="3" t="str">
        <f t="shared" si="3"/>
        <v>Q4-2024</v>
      </c>
      <c r="J96" s="3" t="str">
        <f>IF(Table1[[#This Row],[LeadTimeDays]]&lt;=7,"Yes","No")</f>
        <v>No</v>
      </c>
      <c r="K96" s="3">
        <f>_xlfn.DAYS(Table1[[#This Row],[CorrectedRequiredDate]],Table1[[#This Row],[OrderDate]])</f>
        <v>20</v>
      </c>
      <c r="L96" s="3">
        <f>IF(Table1[[#This Row],[RequiredDate]]&lt;Table1[[#This Row],[OrderDate]],Table1[[#This Row],[OrderDate]],Table1[[#This Row],[RequiredDate]])</f>
        <v>45930</v>
      </c>
      <c r="M96" s="3">
        <v>45930</v>
      </c>
      <c r="N96" t="s">
        <v>646</v>
      </c>
      <c r="O96" t="s">
        <v>650</v>
      </c>
      <c r="P96" t="s">
        <v>675</v>
      </c>
      <c r="Q96" t="s">
        <v>701</v>
      </c>
      <c r="R96" t="s">
        <v>711</v>
      </c>
      <c r="S96" t="s">
        <v>716</v>
      </c>
      <c r="T96" t="s">
        <v>730</v>
      </c>
      <c r="U96" t="s">
        <v>828</v>
      </c>
      <c r="V96" s="8">
        <v>1009.48</v>
      </c>
      <c r="W96" s="8">
        <v>1088.81</v>
      </c>
      <c r="X96" s="8">
        <f t="shared" si="4"/>
        <v>815.10700000000008</v>
      </c>
      <c r="Y96" s="8">
        <f t="shared" si="5"/>
        <v>1620.05</v>
      </c>
      <c r="AA96">
        <v>0.16</v>
      </c>
      <c r="AB96">
        <f>IF(Table1[[#This Row],[DiscountPct]]&gt;0.2,1,0)</f>
        <v>0</v>
      </c>
      <c r="AC96" s="6">
        <v>6</v>
      </c>
      <c r="AD96" s="8">
        <f>Table1[[#This Row],[UnitPrice]]*Table1[[#This Row],[Quantity]]</f>
        <v>6532.86</v>
      </c>
      <c r="AE96" s="8">
        <f>Table1[[#This Row],[UnitCost]]*Table1[[#This Row],[Quantity]]</f>
        <v>6056.88</v>
      </c>
      <c r="AF96" s="8">
        <f>Table1[[#This Row],[GrossRevenue]]-Table1[[#This Row],[CostOfGoods]]</f>
        <v>475.97999999999956</v>
      </c>
      <c r="AG96" s="8">
        <f>IF(Table1[[#This Row],[GrossRevenue]]=0,0,Table1[[#This Row],[GrossProfit]]/Table1[[#This Row],[GrossRevenue]])</f>
        <v>7.2859360218954575E-2</v>
      </c>
    </row>
    <row r="97" spans="1:33" x14ac:dyDescent="0.45">
      <c r="A97" t="s">
        <v>110</v>
      </c>
      <c r="B97">
        <v>1</v>
      </c>
      <c r="C97" s="3">
        <v>45022</v>
      </c>
      <c r="D97" s="6">
        <f>YEAR(Table1[[#This Row],[OrderDate]]) * 100 + MONTH(Table1[[#This Row],[OrderDate]])</f>
        <v>202304</v>
      </c>
      <c r="E97" s="6">
        <f>_xlfn.MINIFS(Table1[OrderMonthKey],Table1[Country],Table1[[#This Row],[Country]])</f>
        <v>202301</v>
      </c>
      <c r="F97" s="6">
        <f>Table1[[#This Row],[CountryFirstMonthKey]]</f>
        <v>202301</v>
      </c>
      <c r="G97" s="6">
        <f>12*(INT(Table1[[#This Row],[OrderMonthKey]]/100)-INT(Table1[[#This Row],[CohortMonthKey]]/100)) + (MOD(Table1[[#This Row],[OrderMonthKey]],100)-MOD(Table1[[#This Row],[CohortMonthKey]],100))</f>
        <v>3</v>
      </c>
      <c r="H97" s="3" t="str">
        <f>TEXT(Table1[[#This Row],[OrderDate]],"MMM-YYYY")</f>
        <v>Apr-2023</v>
      </c>
      <c r="I97" s="3" t="str">
        <f t="shared" si="3"/>
        <v>Q3-2025</v>
      </c>
      <c r="J97" s="26" t="str">
        <f>IF(Table1[[#This Row],[LeadTimeDays]]&lt;=7,"Yes","No")</f>
        <v>No</v>
      </c>
      <c r="K97" s="6">
        <f>_xlfn.DAYS(Table1[[#This Row],[CorrectedRequiredDate]],Table1[[#This Row],[OrderDate]])</f>
        <v>21</v>
      </c>
      <c r="L97" s="3">
        <f>IF(Table1[[#This Row],[RequiredDate]]&lt;Table1[[#This Row],[OrderDate]],Table1[[#This Row],[OrderDate]],Table1[[#This Row],[RequiredDate]])</f>
        <v>45043</v>
      </c>
      <c r="M97" s="3">
        <v>45043</v>
      </c>
      <c r="N97" t="s">
        <v>649</v>
      </c>
      <c r="O97" t="s">
        <v>658</v>
      </c>
      <c r="P97" t="s">
        <v>693</v>
      </c>
      <c r="Q97" t="s">
        <v>706</v>
      </c>
      <c r="R97" t="s">
        <v>710</v>
      </c>
      <c r="S97" t="s">
        <v>714</v>
      </c>
      <c r="T97" t="s">
        <v>728</v>
      </c>
      <c r="U97" t="s">
        <v>829</v>
      </c>
      <c r="V97" s="8">
        <v>1084.79</v>
      </c>
      <c r="W97" s="8">
        <v>2484.9899999999998</v>
      </c>
      <c r="X97" s="8">
        <f t="shared" si="4"/>
        <v>815.10700000000008</v>
      </c>
      <c r="Y97" s="8">
        <f t="shared" si="5"/>
        <v>1620.05</v>
      </c>
      <c r="Z97" s="8" t="str">
        <f>IF(W96 &lt;= X95, "Low",IF(W96 &lt;= Y96, "Medium", "High"))</f>
        <v>Medium</v>
      </c>
      <c r="AA97">
        <v>3.4000000000000002E-2</v>
      </c>
      <c r="AB97">
        <f>IF(Table1[[#This Row],[DiscountPct]]&gt;0.2,1,0)</f>
        <v>0</v>
      </c>
      <c r="AC97" s="6">
        <v>18</v>
      </c>
      <c r="AD97" s="8">
        <f>Table1[[#This Row],[UnitPrice]]*Table1[[#This Row],[Quantity]]</f>
        <v>44729.819999999992</v>
      </c>
      <c r="AE97" s="8">
        <f>Table1[[#This Row],[UnitCost]]*Table1[[#This Row],[Quantity]]</f>
        <v>19526.22</v>
      </c>
      <c r="AF97" s="8">
        <f>Table1[[#This Row],[GrossRevenue]]-Table1[[#This Row],[CostOfGoods]]</f>
        <v>25203.599999999991</v>
      </c>
      <c r="AG97" s="9">
        <f>IF(Table1[[#This Row],[GrossRevenue]]=0,0,Table1[[#This Row],[GrossProfit]]/Table1[[#This Row],[GrossRevenue]])</f>
        <v>0.56346303204439441</v>
      </c>
    </row>
    <row r="98" spans="1:33" x14ac:dyDescent="0.45">
      <c r="A98" t="s">
        <v>111</v>
      </c>
      <c r="B98">
        <v>1</v>
      </c>
      <c r="C98" s="3">
        <v>45870</v>
      </c>
      <c r="D98" s="6">
        <f>YEAR(Table1[[#This Row],[OrderDate]]) * 100 + MONTH(Table1[[#This Row],[OrderDate]])</f>
        <v>202508</v>
      </c>
      <c r="E98" s="6">
        <f>_xlfn.MINIFS(Table1[OrderMonthKey],Table1[Country],Table1[[#This Row],[Country]])</f>
        <v>202302</v>
      </c>
      <c r="F98" s="6">
        <f>Table1[[#This Row],[CountryFirstMonthKey]]</f>
        <v>202302</v>
      </c>
      <c r="G98" s="6">
        <f>12*(INT(Table1[[#This Row],[OrderMonthKey]]/100)-INT(Table1[[#This Row],[CohortMonthKey]]/100)) + (MOD(Table1[[#This Row],[OrderMonthKey]],100)-MOD(Table1[[#This Row],[CohortMonthKey]],100))</f>
        <v>30</v>
      </c>
      <c r="H98" s="3" t="str">
        <f>TEXT(Table1[[#This Row],[OrderDate]],"MMM-YYYY")</f>
        <v>Aug-2025</v>
      </c>
      <c r="I98" s="3" t="str">
        <f t="shared" si="3"/>
        <v>Q2-2023</v>
      </c>
      <c r="J98" s="26" t="str">
        <f>IF(Table1[[#This Row],[LeadTimeDays]]&lt;=7,"Yes","No")</f>
        <v>No</v>
      </c>
      <c r="K98" s="6">
        <f>_xlfn.DAYS(Table1[[#This Row],[CorrectedRequiredDate]],Table1[[#This Row],[OrderDate]])</f>
        <v>15</v>
      </c>
      <c r="L98" s="3">
        <f>IF(Table1[[#This Row],[RequiredDate]]&lt;Table1[[#This Row],[OrderDate]],Table1[[#This Row],[OrderDate]],Table1[[#This Row],[RequiredDate]])</f>
        <v>45885</v>
      </c>
      <c r="M98" s="3">
        <v>45885</v>
      </c>
      <c r="N98" t="s">
        <v>647</v>
      </c>
      <c r="O98" t="s">
        <v>654</v>
      </c>
      <c r="P98" t="s">
        <v>668</v>
      </c>
      <c r="Q98" t="s">
        <v>706</v>
      </c>
      <c r="R98" t="s">
        <v>711</v>
      </c>
      <c r="S98" t="s">
        <v>719</v>
      </c>
      <c r="T98" t="s">
        <v>732</v>
      </c>
      <c r="U98" t="s">
        <v>830</v>
      </c>
      <c r="V98" s="8">
        <v>24.44</v>
      </c>
      <c r="W98" s="8">
        <v>28.69</v>
      </c>
      <c r="X98" s="8">
        <f t="shared" si="4"/>
        <v>815.10700000000008</v>
      </c>
      <c r="Y98" s="8">
        <f t="shared" si="5"/>
        <v>1620.05</v>
      </c>
      <c r="Z98" s="8" t="str">
        <f>IF(W97 &lt;= X96, "Low",IF(W97 &lt;= Y97, "Medium", "High"))</f>
        <v>High</v>
      </c>
      <c r="AA98">
        <v>0.14599999999999999</v>
      </c>
      <c r="AB98">
        <f>IF(Table1[[#This Row],[DiscountPct]]&gt;0.2,1,0)</f>
        <v>0</v>
      </c>
      <c r="AC98" s="6">
        <v>6</v>
      </c>
      <c r="AD98" s="8">
        <f>Table1[[#This Row],[UnitPrice]]*Table1[[#This Row],[Quantity]]</f>
        <v>172.14000000000001</v>
      </c>
      <c r="AE98" s="8">
        <f>Table1[[#This Row],[UnitCost]]*Table1[[#This Row],[Quantity]]</f>
        <v>146.64000000000001</v>
      </c>
      <c r="AF98" s="8">
        <f>Table1[[#This Row],[GrossRevenue]]-Table1[[#This Row],[CostOfGoods]]</f>
        <v>25.5</v>
      </c>
      <c r="AG98" s="9">
        <f>IF(Table1[[#This Row],[GrossRevenue]]=0,0,Table1[[#This Row],[GrossProfit]]/Table1[[#This Row],[GrossRevenue]])</f>
        <v>0.14813523875914952</v>
      </c>
    </row>
    <row r="99" spans="1:33" x14ac:dyDescent="0.45">
      <c r="A99" t="s">
        <v>112</v>
      </c>
      <c r="B99">
        <v>1</v>
      </c>
      <c r="C99" s="3">
        <v>45440</v>
      </c>
      <c r="D99" s="6">
        <f>YEAR(Table1[[#This Row],[OrderDate]]) * 100 + MONTH(Table1[[#This Row],[OrderDate]])</f>
        <v>202405</v>
      </c>
      <c r="E99" s="6">
        <f>_xlfn.MINIFS(Table1[OrderMonthKey],Table1[Country],Table1[[#This Row],[Country]])</f>
        <v>202301</v>
      </c>
      <c r="F99" s="6">
        <f>Table1[[#This Row],[CountryFirstMonthKey]]</f>
        <v>202301</v>
      </c>
      <c r="G99" s="6">
        <f>12*(INT(Table1[[#This Row],[OrderMonthKey]]/100)-INT(Table1[[#This Row],[CohortMonthKey]]/100)) + (MOD(Table1[[#This Row],[OrderMonthKey]],100)-MOD(Table1[[#This Row],[CohortMonthKey]],100))</f>
        <v>16</v>
      </c>
      <c r="H99" s="3" t="str">
        <f>TEXT(Table1[[#This Row],[OrderDate]],"MMM-YYYY")</f>
        <v>May-2024</v>
      </c>
      <c r="I99" s="3" t="str">
        <f t="shared" si="3"/>
        <v>Q3-2025</v>
      </c>
      <c r="J99" s="26" t="str">
        <f>IF(Table1[[#This Row],[LeadTimeDays]]&lt;=7,"Yes","No")</f>
        <v>Yes</v>
      </c>
      <c r="K99" s="6">
        <f>_xlfn.DAYS(Table1[[#This Row],[CorrectedRequiredDate]],Table1[[#This Row],[OrderDate]])</f>
        <v>0</v>
      </c>
      <c r="L99" s="3">
        <f>IF(Table1[[#This Row],[RequiredDate]]&lt;Table1[[#This Row],[OrderDate]],Table1[[#This Row],[OrderDate]],Table1[[#This Row],[RequiredDate]])</f>
        <v>45440</v>
      </c>
      <c r="M99" s="3">
        <v>45438</v>
      </c>
      <c r="N99" t="s">
        <v>646</v>
      </c>
      <c r="O99" t="s">
        <v>651</v>
      </c>
      <c r="P99" t="s">
        <v>669</v>
      </c>
      <c r="Q99" t="s">
        <v>706</v>
      </c>
      <c r="R99" t="s">
        <v>708</v>
      </c>
      <c r="S99" t="s">
        <v>721</v>
      </c>
      <c r="T99" t="s">
        <v>733</v>
      </c>
      <c r="U99" t="s">
        <v>831</v>
      </c>
      <c r="V99" s="8">
        <v>1227.08</v>
      </c>
      <c r="W99" s="8">
        <v>1896.62</v>
      </c>
      <c r="X99" s="8">
        <f t="shared" si="4"/>
        <v>815.10700000000008</v>
      </c>
      <c r="Y99" s="8">
        <f t="shared" si="5"/>
        <v>1620.05</v>
      </c>
      <c r="Z99" s="8" t="str">
        <f>IF(W98 &lt;= X97, "Low",IF(W98 &lt;= Y98, "Medium", "High"))</f>
        <v>Low</v>
      </c>
      <c r="AA99">
        <v>0</v>
      </c>
      <c r="AB99">
        <f>IF(Table1[[#This Row],[DiscountPct]]&gt;0.2,1,0)</f>
        <v>0</v>
      </c>
      <c r="AC99" s="6">
        <v>18</v>
      </c>
      <c r="AD99" s="8">
        <f>Table1[[#This Row],[UnitPrice]]*Table1[[#This Row],[Quantity]]</f>
        <v>34139.159999999996</v>
      </c>
      <c r="AE99" s="8">
        <f>Table1[[#This Row],[UnitCost]]*Table1[[#This Row],[Quantity]]</f>
        <v>22087.439999999999</v>
      </c>
      <c r="AF99" s="8">
        <f>Table1[[#This Row],[GrossRevenue]]-Table1[[#This Row],[CostOfGoods]]</f>
        <v>12051.719999999998</v>
      </c>
      <c r="AG99" s="9">
        <f>IF(Table1[[#This Row],[GrossRevenue]]=0,0,Table1[[#This Row],[GrossProfit]]/Table1[[#This Row],[GrossRevenue]])</f>
        <v>0.353017473189147</v>
      </c>
    </row>
    <row r="100" spans="1:33" x14ac:dyDescent="0.45">
      <c r="A100" t="s">
        <v>113</v>
      </c>
      <c r="B100">
        <v>1</v>
      </c>
      <c r="C100" s="3">
        <v>45860</v>
      </c>
      <c r="D100" s="6">
        <f>YEAR(Table1[[#This Row],[OrderDate]]) * 100 + MONTH(Table1[[#This Row],[OrderDate]])</f>
        <v>202507</v>
      </c>
      <c r="E100" s="6">
        <f>_xlfn.MINIFS(Table1[OrderMonthKey],Table1[Country],Table1[[#This Row],[Country]])</f>
        <v>202301</v>
      </c>
      <c r="F100" s="6">
        <f>Table1[[#This Row],[CountryFirstMonthKey]]</f>
        <v>202301</v>
      </c>
      <c r="G100" s="6">
        <f>12*(INT(Table1[[#This Row],[OrderMonthKey]]/100)-INT(Table1[[#This Row],[CohortMonthKey]]/100)) + (MOD(Table1[[#This Row],[OrderMonthKey]],100)-MOD(Table1[[#This Row],[CohortMonthKey]],100))</f>
        <v>30</v>
      </c>
      <c r="H100" s="3" t="str">
        <f>TEXT(Table1[[#This Row],[OrderDate]],"MMM-YYYY")</f>
        <v>Jul-2025</v>
      </c>
      <c r="I100" s="3" t="str">
        <f t="shared" si="3"/>
        <v>Q2-2024</v>
      </c>
      <c r="J100" s="26" t="str">
        <f>IF(Table1[[#This Row],[LeadTimeDays]]&lt;=7,"Yes","No")</f>
        <v>No</v>
      </c>
      <c r="K100" s="6">
        <f>_xlfn.DAYS(Table1[[#This Row],[CorrectedRequiredDate]],Table1[[#This Row],[OrderDate]])</f>
        <v>27</v>
      </c>
      <c r="L100" s="3">
        <f>IF(Table1[[#This Row],[RequiredDate]]&lt;Table1[[#This Row],[OrderDate]],Table1[[#This Row],[OrderDate]],Table1[[#This Row],[RequiredDate]])</f>
        <v>45887</v>
      </c>
      <c r="M100" s="3">
        <v>45887</v>
      </c>
      <c r="N100" t="s">
        <v>647</v>
      </c>
      <c r="O100" t="s">
        <v>659</v>
      </c>
      <c r="P100" t="s">
        <v>676</v>
      </c>
      <c r="Q100" t="s">
        <v>703</v>
      </c>
      <c r="R100" t="s">
        <v>709</v>
      </c>
      <c r="S100" t="s">
        <v>724</v>
      </c>
      <c r="T100" t="s">
        <v>729</v>
      </c>
      <c r="U100" t="s">
        <v>832</v>
      </c>
      <c r="V100" s="8">
        <v>547.32000000000005</v>
      </c>
      <c r="W100" s="8">
        <v>419.17</v>
      </c>
      <c r="X100" s="8">
        <f t="shared" si="4"/>
        <v>815.10700000000008</v>
      </c>
      <c r="Y100" s="8">
        <f t="shared" si="5"/>
        <v>1620.05</v>
      </c>
      <c r="Z100" s="8" t="str">
        <f>IF(W99 &lt;= X98, "Low",IF(W99 &lt;= Y99, "Medium", "High"))</f>
        <v>High</v>
      </c>
      <c r="AA100">
        <v>9.1999999999999998E-2</v>
      </c>
      <c r="AB100">
        <f>IF(Table1[[#This Row],[DiscountPct]]&gt;0.2,1,0)</f>
        <v>0</v>
      </c>
      <c r="AC100" s="6">
        <v>14</v>
      </c>
      <c r="AD100" s="8">
        <f>Table1[[#This Row],[UnitPrice]]*Table1[[#This Row],[Quantity]]</f>
        <v>5868.38</v>
      </c>
      <c r="AE100" s="8">
        <f>Table1[[#This Row],[UnitCost]]*Table1[[#This Row],[Quantity]]</f>
        <v>7662.4800000000005</v>
      </c>
      <c r="AF100" s="8">
        <f>Table1[[#This Row],[GrossRevenue]]-Table1[[#This Row],[CostOfGoods]]</f>
        <v>-1794.1000000000004</v>
      </c>
      <c r="AG100" s="9">
        <f>IF(Table1[[#This Row],[GrossRevenue]]=0,0,Table1[[#This Row],[GrossProfit]]/Table1[[#This Row],[GrossRevenue]])</f>
        <v>-0.30572321492473226</v>
      </c>
    </row>
    <row r="101" spans="1:33" hidden="1" x14ac:dyDescent="0.45">
      <c r="A101" t="s">
        <v>114</v>
      </c>
      <c r="C101" s="3">
        <v>44985</v>
      </c>
      <c r="D101" s="3">
        <f>YEAR(Table1[[#This Row],[OrderDate]]) * 100 + MONTH(Table1[[#This Row],[OrderDate]])</f>
        <v>202302</v>
      </c>
      <c r="E101" s="3">
        <f>_xlfn.MINIFS(Table1[OrderMonthKey],Table1[Country],Table1[[#This Row],[Country]])</f>
        <v>202301</v>
      </c>
      <c r="F101" s="3">
        <f>Table1[[#This Row],[CountryFirstMonthKey]]</f>
        <v>202301</v>
      </c>
      <c r="G101" s="3">
        <f>12*(INT(Table1[[#This Row],[OrderMonthKey]]/100)-INT(Table1[[#This Row],[CohortMonthKey]]/100)) + (MOD(Table1[[#This Row],[OrderMonthKey]],100)-MOD(Table1[[#This Row],[CohortMonthKey]],100))</f>
        <v>1</v>
      </c>
      <c r="H101" s="3" t="str">
        <f>TEXT(Table1[[#This Row],[OrderDate]],"MMM-YYYY")</f>
        <v>Feb-2023</v>
      </c>
      <c r="I101" s="3" t="str">
        <f t="shared" si="3"/>
        <v>Q3-2025</v>
      </c>
      <c r="J101" s="3" t="str">
        <f>IF(Table1[[#This Row],[LeadTimeDays]]&lt;=7,"Yes","No")</f>
        <v>No</v>
      </c>
      <c r="K101" s="3">
        <f>_xlfn.DAYS(Table1[[#This Row],[CorrectedRequiredDate]],Table1[[#This Row],[OrderDate]])</f>
        <v>20</v>
      </c>
      <c r="L101" s="3">
        <f>IF(Table1[[#This Row],[RequiredDate]]&lt;Table1[[#This Row],[OrderDate]],Table1[[#This Row],[OrderDate]],Table1[[#This Row],[RequiredDate]])</f>
        <v>45005</v>
      </c>
      <c r="M101" s="3">
        <v>45005</v>
      </c>
      <c r="N101" t="s">
        <v>649</v>
      </c>
      <c r="O101" t="s">
        <v>656</v>
      </c>
      <c r="P101" t="s">
        <v>671</v>
      </c>
      <c r="Q101" t="s">
        <v>705</v>
      </c>
      <c r="R101" t="s">
        <v>711</v>
      </c>
      <c r="S101" t="s">
        <v>722</v>
      </c>
      <c r="T101" t="s">
        <v>731</v>
      </c>
      <c r="U101" t="s">
        <v>833</v>
      </c>
      <c r="V101" s="8">
        <v>1200.78</v>
      </c>
      <c r="W101" s="8">
        <v>2001.17</v>
      </c>
      <c r="X101" s="8">
        <f t="shared" si="4"/>
        <v>815.10700000000008</v>
      </c>
      <c r="Y101" s="8">
        <f t="shared" si="5"/>
        <v>1620.05</v>
      </c>
      <c r="AA101">
        <v>0.29199999999999998</v>
      </c>
      <c r="AB101">
        <f>IF(Table1[[#This Row],[DiscountPct]]&gt;0.2,1,0)</f>
        <v>1</v>
      </c>
      <c r="AC101" s="6">
        <v>18</v>
      </c>
      <c r="AD101" s="8">
        <f>Table1[[#This Row],[UnitPrice]]*Table1[[#This Row],[Quantity]]</f>
        <v>36021.06</v>
      </c>
      <c r="AE101" s="8">
        <f>Table1[[#This Row],[UnitCost]]*Table1[[#This Row],[Quantity]]</f>
        <v>21614.04</v>
      </c>
      <c r="AF101" s="8">
        <f>Table1[[#This Row],[GrossRevenue]]-Table1[[#This Row],[CostOfGoods]]</f>
        <v>14407.019999999997</v>
      </c>
      <c r="AG101" s="8">
        <f>IF(Table1[[#This Row],[GrossRevenue]]=0,0,Table1[[#This Row],[GrossProfit]]/Table1[[#This Row],[GrossRevenue]])</f>
        <v>0.39996102280166096</v>
      </c>
    </row>
    <row r="102" spans="1:33" x14ac:dyDescent="0.45">
      <c r="A102" t="s">
        <v>115</v>
      </c>
      <c r="B102">
        <v>1</v>
      </c>
      <c r="C102" s="3">
        <v>45684</v>
      </c>
      <c r="D102" s="6">
        <f>YEAR(Table1[[#This Row],[OrderDate]]) * 100 + MONTH(Table1[[#This Row],[OrderDate]])</f>
        <v>202501</v>
      </c>
      <c r="E102" s="6">
        <f>_xlfn.MINIFS(Table1[OrderMonthKey],Table1[Country],Table1[[#This Row],[Country]])</f>
        <v>202301</v>
      </c>
      <c r="F102" s="6">
        <f>Table1[[#This Row],[CountryFirstMonthKey]]</f>
        <v>202301</v>
      </c>
      <c r="G102" s="6">
        <f>12*(INT(Table1[[#This Row],[OrderMonthKey]]/100)-INT(Table1[[#This Row],[CohortMonthKey]]/100)) + (MOD(Table1[[#This Row],[OrderMonthKey]],100)-MOD(Table1[[#This Row],[CohortMonthKey]],100))</f>
        <v>24</v>
      </c>
      <c r="H102" s="3" t="str">
        <f>TEXT(Table1[[#This Row],[OrderDate]],"MMM-YYYY")</f>
        <v>Jan-2025</v>
      </c>
      <c r="I102" s="3" t="str">
        <f t="shared" si="3"/>
        <v>Q1-2023</v>
      </c>
      <c r="J102" s="26" t="str">
        <f>IF(Table1[[#This Row],[LeadTimeDays]]&lt;=7,"Yes","No")</f>
        <v>No</v>
      </c>
      <c r="K102" s="6">
        <f>_xlfn.DAYS(Table1[[#This Row],[CorrectedRequiredDate]],Table1[[#This Row],[OrderDate]])</f>
        <v>19</v>
      </c>
      <c r="L102" s="3">
        <f>IF(Table1[[#This Row],[RequiredDate]]&lt;Table1[[#This Row],[OrderDate]],Table1[[#This Row],[OrderDate]],Table1[[#This Row],[RequiredDate]])</f>
        <v>45703</v>
      </c>
      <c r="M102" s="3">
        <v>45703</v>
      </c>
      <c r="N102" t="s">
        <v>647</v>
      </c>
      <c r="O102" t="s">
        <v>659</v>
      </c>
      <c r="P102" t="s">
        <v>676</v>
      </c>
      <c r="Q102" t="s">
        <v>703</v>
      </c>
      <c r="R102" t="s">
        <v>711</v>
      </c>
      <c r="S102" t="s">
        <v>716</v>
      </c>
      <c r="T102" t="s">
        <v>730</v>
      </c>
      <c r="U102" t="s">
        <v>834</v>
      </c>
      <c r="V102" s="8">
        <v>1253.22</v>
      </c>
      <c r="W102" s="8">
        <v>3104.71</v>
      </c>
      <c r="X102" s="8">
        <f t="shared" si="4"/>
        <v>815.10700000000008</v>
      </c>
      <c r="Y102" s="8">
        <f t="shared" si="5"/>
        <v>1620.05</v>
      </c>
      <c r="Z102" s="8" t="str">
        <f>IF(W101 &lt;= X100, "Low",IF(W101 &lt;= Y101, "Medium", "High"))</f>
        <v>High</v>
      </c>
      <c r="AA102">
        <v>0</v>
      </c>
      <c r="AB102">
        <f>IF(Table1[[#This Row],[DiscountPct]]&gt;0.2,1,0)</f>
        <v>0</v>
      </c>
      <c r="AC102" s="6">
        <v>17</v>
      </c>
      <c r="AD102" s="8">
        <f>Table1[[#This Row],[UnitPrice]]*Table1[[#This Row],[Quantity]]</f>
        <v>52780.07</v>
      </c>
      <c r="AE102" s="8">
        <f>Table1[[#This Row],[UnitCost]]*Table1[[#This Row],[Quantity]]</f>
        <v>21304.74</v>
      </c>
      <c r="AF102" s="8">
        <f>Table1[[#This Row],[GrossRevenue]]-Table1[[#This Row],[CostOfGoods]]</f>
        <v>31475.329999999998</v>
      </c>
      <c r="AG102" s="9">
        <f>IF(Table1[[#This Row],[GrossRevenue]]=0,0,Table1[[#This Row],[GrossProfit]]/Table1[[#This Row],[GrossRevenue]])</f>
        <v>0.59634877331538205</v>
      </c>
    </row>
    <row r="103" spans="1:33" x14ac:dyDescent="0.45">
      <c r="A103" t="s">
        <v>116</v>
      </c>
      <c r="B103">
        <v>1</v>
      </c>
      <c r="C103" s="3">
        <v>45304</v>
      </c>
      <c r="D103" s="6">
        <f>YEAR(Table1[[#This Row],[OrderDate]]) * 100 + MONTH(Table1[[#This Row],[OrderDate]])</f>
        <v>202401</v>
      </c>
      <c r="E103" s="6">
        <f>_xlfn.MINIFS(Table1[OrderMonthKey],Table1[Country],Table1[[#This Row],[Country]])</f>
        <v>202302</v>
      </c>
      <c r="F103" s="6">
        <f>Table1[[#This Row],[CountryFirstMonthKey]]</f>
        <v>202302</v>
      </c>
      <c r="G103" s="6">
        <f>12*(INT(Table1[[#This Row],[OrderMonthKey]]/100)-INT(Table1[[#This Row],[CohortMonthKey]]/100)) + (MOD(Table1[[#This Row],[OrderMonthKey]],100)-MOD(Table1[[#This Row],[CohortMonthKey]],100))</f>
        <v>11</v>
      </c>
      <c r="H103" s="3" t="str">
        <f>TEXT(Table1[[#This Row],[OrderDate]],"MMM-YYYY")</f>
        <v>Jan-2024</v>
      </c>
      <c r="I103" s="3" t="str">
        <f t="shared" si="3"/>
        <v>Q1-2025</v>
      </c>
      <c r="J103" s="26" t="str">
        <f>IF(Table1[[#This Row],[LeadTimeDays]]&lt;=7,"Yes","No")</f>
        <v>No</v>
      </c>
      <c r="K103" s="6">
        <f>_xlfn.DAYS(Table1[[#This Row],[CorrectedRequiredDate]],Table1[[#This Row],[OrderDate]])</f>
        <v>9</v>
      </c>
      <c r="L103" s="3">
        <f>IF(Table1[[#This Row],[RequiredDate]]&lt;Table1[[#This Row],[OrderDate]],Table1[[#This Row],[OrderDate]],Table1[[#This Row],[RequiredDate]])</f>
        <v>45313</v>
      </c>
      <c r="M103" s="3">
        <v>45313</v>
      </c>
      <c r="N103" t="s">
        <v>647</v>
      </c>
      <c r="O103" t="s">
        <v>654</v>
      </c>
      <c r="P103" t="s">
        <v>691</v>
      </c>
      <c r="Q103" t="s">
        <v>706</v>
      </c>
      <c r="R103" t="s">
        <v>709</v>
      </c>
      <c r="S103" t="s">
        <v>713</v>
      </c>
      <c r="T103" t="s">
        <v>727</v>
      </c>
      <c r="U103" t="s">
        <v>835</v>
      </c>
      <c r="V103" s="8">
        <v>313.60000000000002</v>
      </c>
      <c r="W103" s="8">
        <v>334.28</v>
      </c>
      <c r="X103" s="8">
        <f t="shared" si="4"/>
        <v>815.10700000000008</v>
      </c>
      <c r="Y103" s="8">
        <f t="shared" si="5"/>
        <v>1620.05</v>
      </c>
      <c r="Z103" s="8" t="str">
        <f>IF(W102 &lt;= X101, "Low",IF(W102 &lt;= Y102, "Medium", "High"))</f>
        <v>High</v>
      </c>
      <c r="AA103">
        <v>0.14000000000000001</v>
      </c>
      <c r="AB103">
        <f>IF(Table1[[#This Row],[DiscountPct]]&gt;0.2,1,0)</f>
        <v>0</v>
      </c>
      <c r="AC103" s="6">
        <v>22</v>
      </c>
      <c r="AD103" s="8">
        <f>Table1[[#This Row],[UnitPrice]]*Table1[[#This Row],[Quantity]]</f>
        <v>7354.16</v>
      </c>
      <c r="AE103" s="8">
        <f>Table1[[#This Row],[UnitCost]]*Table1[[#This Row],[Quantity]]</f>
        <v>6899.2000000000007</v>
      </c>
      <c r="AF103" s="8">
        <f>Table1[[#This Row],[GrossRevenue]]-Table1[[#This Row],[CostOfGoods]]</f>
        <v>454.95999999999913</v>
      </c>
      <c r="AG103" s="9">
        <f>IF(Table1[[#This Row],[GrossRevenue]]=0,0,Table1[[#This Row],[GrossProfit]]/Table1[[#This Row],[GrossRevenue]])</f>
        <v>6.1864305372741298E-2</v>
      </c>
    </row>
    <row r="104" spans="1:33" hidden="1" x14ac:dyDescent="0.45">
      <c r="A104" t="s">
        <v>117</v>
      </c>
      <c r="C104" s="3">
        <v>45747</v>
      </c>
      <c r="D104" s="3">
        <f>YEAR(Table1[[#This Row],[OrderDate]]) * 100 + MONTH(Table1[[#This Row],[OrderDate]])</f>
        <v>202503</v>
      </c>
      <c r="E104" s="3">
        <f>_xlfn.MINIFS(Table1[OrderMonthKey],Table1[Country],Table1[[#This Row],[Country]])</f>
        <v>202301</v>
      </c>
      <c r="F104" s="3">
        <f>Table1[[#This Row],[CountryFirstMonthKey]]</f>
        <v>202301</v>
      </c>
      <c r="G104" s="3">
        <f>12*(INT(Table1[[#This Row],[OrderMonthKey]]/100)-INT(Table1[[#This Row],[CohortMonthKey]]/100)) + (MOD(Table1[[#This Row],[OrderMonthKey]],100)-MOD(Table1[[#This Row],[CohortMonthKey]],100))</f>
        <v>26</v>
      </c>
      <c r="H104" s="3" t="str">
        <f>TEXT(Table1[[#This Row],[OrderDate]],"MMM-YYYY")</f>
        <v>Mar-2025</v>
      </c>
      <c r="I104" s="3" t="str">
        <f t="shared" si="3"/>
        <v>Q1-2024</v>
      </c>
      <c r="J104" s="3" t="str">
        <f>IF(Table1[[#This Row],[LeadTimeDays]]&lt;=7,"Yes","No")</f>
        <v>Yes</v>
      </c>
      <c r="K104" s="3">
        <f>_xlfn.DAYS(Table1[[#This Row],[CorrectedRequiredDate]],Table1[[#This Row],[OrderDate]])</f>
        <v>4</v>
      </c>
      <c r="L104" s="3">
        <f>IF(Table1[[#This Row],[RequiredDate]]&lt;Table1[[#This Row],[OrderDate]],Table1[[#This Row],[OrderDate]],Table1[[#This Row],[RequiredDate]])</f>
        <v>45751</v>
      </c>
      <c r="M104" s="3">
        <v>45751</v>
      </c>
      <c r="N104" t="s">
        <v>646</v>
      </c>
      <c r="O104" t="s">
        <v>650</v>
      </c>
      <c r="P104" t="s">
        <v>678</v>
      </c>
      <c r="Q104" t="s">
        <v>701</v>
      </c>
      <c r="R104" t="s">
        <v>711</v>
      </c>
      <c r="S104" t="s">
        <v>712</v>
      </c>
      <c r="T104" t="s">
        <v>731</v>
      </c>
      <c r="U104" t="s">
        <v>836</v>
      </c>
      <c r="V104" s="8">
        <v>862.08</v>
      </c>
      <c r="W104" s="8">
        <v>1952.83</v>
      </c>
      <c r="X104" s="8">
        <f t="shared" si="4"/>
        <v>815.10700000000008</v>
      </c>
      <c r="Y104" s="8">
        <f t="shared" si="5"/>
        <v>1620.05</v>
      </c>
      <c r="AA104">
        <v>0</v>
      </c>
      <c r="AB104">
        <f>IF(Table1[[#This Row],[DiscountPct]]&gt;0.2,1,0)</f>
        <v>0</v>
      </c>
      <c r="AC104" s="6">
        <v>7</v>
      </c>
      <c r="AD104" s="8">
        <f>Table1[[#This Row],[UnitPrice]]*Table1[[#This Row],[Quantity]]</f>
        <v>13669.81</v>
      </c>
      <c r="AE104" s="8">
        <f>Table1[[#This Row],[UnitCost]]*Table1[[#This Row],[Quantity]]</f>
        <v>6034.56</v>
      </c>
      <c r="AF104" s="8">
        <f>Table1[[#This Row],[GrossRevenue]]-Table1[[#This Row],[CostOfGoods]]</f>
        <v>7635.2499999999991</v>
      </c>
      <c r="AG104" s="8">
        <f>IF(Table1[[#This Row],[GrossRevenue]]=0,0,Table1[[#This Row],[GrossProfit]]/Table1[[#This Row],[GrossRevenue]])</f>
        <v>0.5585483631447693</v>
      </c>
    </row>
    <row r="105" spans="1:33" x14ac:dyDescent="0.45">
      <c r="A105" t="s">
        <v>118</v>
      </c>
      <c r="B105">
        <v>1</v>
      </c>
      <c r="C105" s="3">
        <v>45631</v>
      </c>
      <c r="D105" s="6">
        <f>YEAR(Table1[[#This Row],[OrderDate]]) * 100 + MONTH(Table1[[#This Row],[OrderDate]])</f>
        <v>202412</v>
      </c>
      <c r="E105" s="6">
        <f>_xlfn.MINIFS(Table1[OrderMonthKey],Table1[Country],Table1[[#This Row],[Country]])</f>
        <v>202301</v>
      </c>
      <c r="F105" s="6">
        <f>Table1[[#This Row],[CountryFirstMonthKey]]</f>
        <v>202301</v>
      </c>
      <c r="G105" s="6">
        <f>12*(INT(Table1[[#This Row],[OrderMonthKey]]/100)-INT(Table1[[#This Row],[CohortMonthKey]]/100)) + (MOD(Table1[[#This Row],[OrderMonthKey]],100)-MOD(Table1[[#This Row],[CohortMonthKey]],100))</f>
        <v>23</v>
      </c>
      <c r="H105" s="3" t="str">
        <f>TEXT(Table1[[#This Row],[OrderDate]],"MMM-YYYY")</f>
        <v>Dec-2024</v>
      </c>
      <c r="I105" s="3" t="str">
        <f t="shared" si="3"/>
        <v>Q1-2025</v>
      </c>
      <c r="J105" s="26" t="str">
        <f>IF(Table1[[#This Row],[LeadTimeDays]]&lt;=7,"Yes","No")</f>
        <v>No</v>
      </c>
      <c r="K105" s="6">
        <f>_xlfn.DAYS(Table1[[#This Row],[CorrectedRequiredDate]],Table1[[#This Row],[OrderDate]])</f>
        <v>23</v>
      </c>
      <c r="L105" s="3">
        <f>IF(Table1[[#This Row],[RequiredDate]]&lt;Table1[[#This Row],[OrderDate]],Table1[[#This Row],[OrderDate]],Table1[[#This Row],[RequiredDate]])</f>
        <v>45654</v>
      </c>
      <c r="M105" s="3">
        <v>45654</v>
      </c>
      <c r="N105" t="s">
        <v>648</v>
      </c>
      <c r="O105" t="s">
        <v>653</v>
      </c>
      <c r="P105" t="s">
        <v>688</v>
      </c>
      <c r="Q105" t="s">
        <v>701</v>
      </c>
      <c r="R105" t="s">
        <v>711</v>
      </c>
      <c r="S105" t="s">
        <v>721</v>
      </c>
      <c r="T105" t="s">
        <v>733</v>
      </c>
      <c r="U105" t="s">
        <v>837</v>
      </c>
      <c r="V105" s="8">
        <v>107.03</v>
      </c>
      <c r="W105" s="8">
        <v>242.29</v>
      </c>
      <c r="X105" s="8">
        <f t="shared" si="4"/>
        <v>815.10700000000008</v>
      </c>
      <c r="Y105" s="8">
        <f t="shared" si="5"/>
        <v>1620.05</v>
      </c>
      <c r="Z105" s="8" t="str">
        <f>IF(W104 &lt;= X103, "Low",IF(W104 &lt;= Y104, "Medium", "High"))</f>
        <v>High</v>
      </c>
      <c r="AA105">
        <v>0.18</v>
      </c>
      <c r="AB105">
        <f>IF(Table1[[#This Row],[DiscountPct]]&gt;0.2,1,0)</f>
        <v>0</v>
      </c>
      <c r="AC105" s="6">
        <v>30</v>
      </c>
      <c r="AD105" s="8">
        <f>Table1[[#This Row],[UnitPrice]]*Table1[[#This Row],[Quantity]]</f>
        <v>7268.7</v>
      </c>
      <c r="AE105" s="8">
        <f>Table1[[#This Row],[UnitCost]]*Table1[[#This Row],[Quantity]]</f>
        <v>3210.9</v>
      </c>
      <c r="AF105" s="8">
        <f>Table1[[#This Row],[GrossRevenue]]-Table1[[#This Row],[CostOfGoods]]</f>
        <v>4057.7999999999997</v>
      </c>
      <c r="AG105" s="9">
        <f>IF(Table1[[#This Row],[GrossRevenue]]=0,0,Table1[[#This Row],[GrossProfit]]/Table1[[#This Row],[GrossRevenue]])</f>
        <v>0.55825663461141606</v>
      </c>
    </row>
    <row r="106" spans="1:33" x14ac:dyDescent="0.45">
      <c r="A106" t="s">
        <v>119</v>
      </c>
      <c r="B106">
        <v>1</v>
      </c>
      <c r="C106" s="3">
        <v>45549</v>
      </c>
      <c r="D106" s="6">
        <f>YEAR(Table1[[#This Row],[OrderDate]]) * 100 + MONTH(Table1[[#This Row],[OrderDate]])</f>
        <v>202409</v>
      </c>
      <c r="E106" s="6">
        <f>_xlfn.MINIFS(Table1[OrderMonthKey],Table1[Country],Table1[[#This Row],[Country]])</f>
        <v>202301</v>
      </c>
      <c r="F106" s="6">
        <f>Table1[[#This Row],[CountryFirstMonthKey]]</f>
        <v>202301</v>
      </c>
      <c r="G106" s="6">
        <f>12*(INT(Table1[[#This Row],[OrderMonthKey]]/100)-INT(Table1[[#This Row],[CohortMonthKey]]/100)) + (MOD(Table1[[#This Row],[OrderMonthKey]],100)-MOD(Table1[[#This Row],[CohortMonthKey]],100))</f>
        <v>20</v>
      </c>
      <c r="H106" s="3" t="str">
        <f>TEXT(Table1[[#This Row],[OrderDate]],"MMM-YYYY")</f>
        <v>Sep-2024</v>
      </c>
      <c r="I106" s="3" t="str">
        <f t="shared" si="3"/>
        <v>Q4-2024</v>
      </c>
      <c r="J106" s="26" t="str">
        <f>IF(Table1[[#This Row],[LeadTimeDays]]&lt;=7,"Yes","No")</f>
        <v>No</v>
      </c>
      <c r="K106" s="6">
        <f>_xlfn.DAYS(Table1[[#This Row],[CorrectedRequiredDate]],Table1[[#This Row],[OrderDate]])</f>
        <v>21</v>
      </c>
      <c r="L106" s="3">
        <f>IF(Table1[[#This Row],[RequiredDate]]&lt;Table1[[#This Row],[OrderDate]],Table1[[#This Row],[OrderDate]],Table1[[#This Row],[RequiredDate]])</f>
        <v>45570</v>
      </c>
      <c r="M106" s="3">
        <v>45570</v>
      </c>
      <c r="N106" t="s">
        <v>647</v>
      </c>
      <c r="O106" t="s">
        <v>659</v>
      </c>
      <c r="P106" t="s">
        <v>685</v>
      </c>
      <c r="Q106" t="s">
        <v>705</v>
      </c>
      <c r="R106" t="s">
        <v>708</v>
      </c>
      <c r="S106" t="s">
        <v>722</v>
      </c>
      <c r="T106" t="s">
        <v>731</v>
      </c>
      <c r="U106" t="s">
        <v>838</v>
      </c>
      <c r="V106" s="8">
        <v>1405.56</v>
      </c>
      <c r="W106" s="8">
        <v>2968.87</v>
      </c>
      <c r="X106" s="8">
        <f t="shared" si="4"/>
        <v>815.10700000000008</v>
      </c>
      <c r="Y106" s="8">
        <f t="shared" si="5"/>
        <v>1620.05</v>
      </c>
      <c r="Z106" s="8" t="str">
        <f>IF(W105 &lt;= X104, "Low",IF(W105 &lt;= Y105, "Medium", "High"))</f>
        <v>Low</v>
      </c>
      <c r="AA106">
        <v>0.16900000000000001</v>
      </c>
      <c r="AB106">
        <f>IF(Table1[[#This Row],[DiscountPct]]&gt;0.2,1,0)</f>
        <v>0</v>
      </c>
      <c r="AC106" s="6">
        <v>5</v>
      </c>
      <c r="AD106" s="8">
        <f>Table1[[#This Row],[UnitPrice]]*Table1[[#This Row],[Quantity]]</f>
        <v>14844.349999999999</v>
      </c>
      <c r="AE106" s="8">
        <f>Table1[[#This Row],[UnitCost]]*Table1[[#This Row],[Quantity]]</f>
        <v>7027.7999999999993</v>
      </c>
      <c r="AF106" s="8">
        <f>Table1[[#This Row],[GrossRevenue]]-Table1[[#This Row],[CostOfGoods]]</f>
        <v>7816.5499999999993</v>
      </c>
      <c r="AG106" s="9">
        <f>IF(Table1[[#This Row],[GrossRevenue]]=0,0,Table1[[#This Row],[GrossProfit]]/Table1[[#This Row],[GrossRevenue]])</f>
        <v>0.52656734717249321</v>
      </c>
    </row>
    <row r="107" spans="1:33" hidden="1" x14ac:dyDescent="0.45">
      <c r="A107" t="s">
        <v>120</v>
      </c>
      <c r="C107" s="3">
        <v>45433</v>
      </c>
      <c r="D107" s="3">
        <f>YEAR(Table1[[#This Row],[OrderDate]]) * 100 + MONTH(Table1[[#This Row],[OrderDate]])</f>
        <v>202405</v>
      </c>
      <c r="E107" s="3">
        <f>_xlfn.MINIFS(Table1[OrderMonthKey],Table1[Country],Table1[[#This Row],[Country]])</f>
        <v>202301</v>
      </c>
      <c r="F107" s="3">
        <f>Table1[[#This Row],[CountryFirstMonthKey]]</f>
        <v>202301</v>
      </c>
      <c r="G107" s="3">
        <f>12*(INT(Table1[[#This Row],[OrderMonthKey]]/100)-INT(Table1[[#This Row],[CohortMonthKey]]/100)) + (MOD(Table1[[#This Row],[OrderMonthKey]],100)-MOD(Table1[[#This Row],[CohortMonthKey]],100))</f>
        <v>16</v>
      </c>
      <c r="H107" s="3" t="str">
        <f>TEXT(Table1[[#This Row],[OrderDate]],"MMM-YYYY")</f>
        <v>May-2024</v>
      </c>
      <c r="I107" s="3" t="str">
        <f t="shared" si="3"/>
        <v>Q3-2024</v>
      </c>
      <c r="J107" s="3" t="str">
        <f>IF(Table1[[#This Row],[LeadTimeDays]]&lt;=7,"Yes","No")</f>
        <v>Yes</v>
      </c>
      <c r="K107" s="3">
        <f>_xlfn.DAYS(Table1[[#This Row],[CorrectedRequiredDate]],Table1[[#This Row],[OrderDate]])</f>
        <v>6</v>
      </c>
      <c r="L107" s="3">
        <f>IF(Table1[[#This Row],[RequiredDate]]&lt;Table1[[#This Row],[OrderDate]],Table1[[#This Row],[OrderDate]],Table1[[#This Row],[RequiredDate]])</f>
        <v>45439</v>
      </c>
      <c r="M107" s="3">
        <v>45439</v>
      </c>
      <c r="N107" t="s">
        <v>646</v>
      </c>
      <c r="O107" t="s">
        <v>661</v>
      </c>
      <c r="P107" t="s">
        <v>682</v>
      </c>
      <c r="Q107" t="s">
        <v>703</v>
      </c>
      <c r="R107" t="s">
        <v>708</v>
      </c>
      <c r="S107" t="s">
        <v>724</v>
      </c>
      <c r="T107" t="s">
        <v>727</v>
      </c>
      <c r="U107" t="s">
        <v>839</v>
      </c>
      <c r="V107" s="8">
        <v>1157.51</v>
      </c>
      <c r="W107" s="8">
        <v>1394.3</v>
      </c>
      <c r="X107" s="8">
        <f t="shared" si="4"/>
        <v>815.10700000000008</v>
      </c>
      <c r="Y107" s="8">
        <f t="shared" si="5"/>
        <v>1620.05</v>
      </c>
      <c r="AA107">
        <v>0.27800000000000002</v>
      </c>
      <c r="AB107">
        <f>IF(Table1[[#This Row],[DiscountPct]]&gt;0.2,1,0)</f>
        <v>1</v>
      </c>
      <c r="AC107" s="6">
        <v>12</v>
      </c>
      <c r="AD107" s="8">
        <f>Table1[[#This Row],[UnitPrice]]*Table1[[#This Row],[Quantity]]</f>
        <v>16731.599999999999</v>
      </c>
      <c r="AE107" s="8">
        <f>Table1[[#This Row],[UnitCost]]*Table1[[#This Row],[Quantity]]</f>
        <v>13890.119999999999</v>
      </c>
      <c r="AF107" s="8">
        <f>Table1[[#This Row],[GrossRevenue]]-Table1[[#This Row],[CostOfGoods]]</f>
        <v>2841.4799999999996</v>
      </c>
      <c r="AG107" s="8">
        <f>IF(Table1[[#This Row],[GrossRevenue]]=0,0,Table1[[#This Row],[GrossProfit]]/Table1[[#This Row],[GrossRevenue]])</f>
        <v>0.1698271534103134</v>
      </c>
    </row>
    <row r="108" spans="1:33" hidden="1" x14ac:dyDescent="0.45">
      <c r="A108" t="s">
        <v>121</v>
      </c>
      <c r="C108" s="3">
        <v>45057</v>
      </c>
      <c r="D108" s="3">
        <f>YEAR(Table1[[#This Row],[OrderDate]]) * 100 + MONTH(Table1[[#This Row],[OrderDate]])</f>
        <v>202305</v>
      </c>
      <c r="E108" s="3">
        <f>_xlfn.MINIFS(Table1[OrderMonthKey],Table1[Country],Table1[[#This Row],[Country]])</f>
        <v>202301</v>
      </c>
      <c r="F108" s="3">
        <f>Table1[[#This Row],[CountryFirstMonthKey]]</f>
        <v>202301</v>
      </c>
      <c r="G108" s="3">
        <f>12*(INT(Table1[[#This Row],[OrderMonthKey]]/100)-INT(Table1[[#This Row],[CohortMonthKey]]/100)) + (MOD(Table1[[#This Row],[OrderMonthKey]],100)-MOD(Table1[[#This Row],[CohortMonthKey]],100))</f>
        <v>4</v>
      </c>
      <c r="H108" s="3" t="str">
        <f>TEXT(Table1[[#This Row],[OrderDate]],"MMM-YYYY")</f>
        <v>May-2023</v>
      </c>
      <c r="I108" s="3" t="str">
        <f t="shared" si="3"/>
        <v>Q2-2024</v>
      </c>
      <c r="J108" s="3" t="str">
        <f>IF(Table1[[#This Row],[LeadTimeDays]]&lt;=7,"Yes","No")</f>
        <v>No</v>
      </c>
      <c r="K108" s="3">
        <f>_xlfn.DAYS(Table1[[#This Row],[CorrectedRequiredDate]],Table1[[#This Row],[OrderDate]])</f>
        <v>27</v>
      </c>
      <c r="L108" s="3">
        <f>IF(Table1[[#This Row],[RequiredDate]]&lt;Table1[[#This Row],[OrderDate]],Table1[[#This Row],[OrderDate]],Table1[[#This Row],[RequiredDate]])</f>
        <v>45084</v>
      </c>
      <c r="M108" s="3">
        <v>45084</v>
      </c>
      <c r="N108" t="s">
        <v>646</v>
      </c>
      <c r="O108" t="s">
        <v>650</v>
      </c>
      <c r="P108" t="s">
        <v>675</v>
      </c>
      <c r="Q108" t="s">
        <v>701</v>
      </c>
      <c r="R108" t="s">
        <v>708</v>
      </c>
      <c r="S108" t="s">
        <v>713</v>
      </c>
      <c r="T108" t="s">
        <v>730</v>
      </c>
      <c r="U108" t="s">
        <v>840</v>
      </c>
      <c r="V108" s="8">
        <v>12.85</v>
      </c>
      <c r="W108" s="8">
        <v>15.41</v>
      </c>
      <c r="X108" s="8">
        <f t="shared" si="4"/>
        <v>815.10700000000008</v>
      </c>
      <c r="Y108" s="8">
        <f t="shared" si="5"/>
        <v>1620.05</v>
      </c>
      <c r="AA108">
        <v>0.13700000000000001</v>
      </c>
      <c r="AB108">
        <f>IF(Table1[[#This Row],[DiscountPct]]&gt;0.2,1,0)</f>
        <v>0</v>
      </c>
      <c r="AC108" s="6">
        <v>39</v>
      </c>
      <c r="AD108" s="8">
        <f>Table1[[#This Row],[UnitPrice]]*Table1[[#This Row],[Quantity]]</f>
        <v>600.99</v>
      </c>
      <c r="AE108" s="8">
        <f>Table1[[#This Row],[UnitCost]]*Table1[[#This Row],[Quantity]]</f>
        <v>501.15</v>
      </c>
      <c r="AF108" s="8">
        <f>Table1[[#This Row],[GrossRevenue]]-Table1[[#This Row],[CostOfGoods]]</f>
        <v>99.840000000000032</v>
      </c>
      <c r="AG108" s="8">
        <f>IF(Table1[[#This Row],[GrossRevenue]]=0,0,Table1[[#This Row],[GrossProfit]]/Table1[[#This Row],[GrossRevenue]])</f>
        <v>0.16612589227774177</v>
      </c>
    </row>
    <row r="109" spans="1:33" x14ac:dyDescent="0.45">
      <c r="A109" t="s">
        <v>122</v>
      </c>
      <c r="B109">
        <v>1</v>
      </c>
      <c r="C109" s="3">
        <v>45518</v>
      </c>
      <c r="D109" s="6">
        <f>YEAR(Table1[[#This Row],[OrderDate]]) * 100 + MONTH(Table1[[#This Row],[OrderDate]])</f>
        <v>202408</v>
      </c>
      <c r="E109" s="6">
        <f>_xlfn.MINIFS(Table1[OrderMonthKey],Table1[Country],Table1[[#This Row],[Country]])</f>
        <v>202301</v>
      </c>
      <c r="F109" s="6">
        <f>Table1[[#This Row],[CountryFirstMonthKey]]</f>
        <v>202301</v>
      </c>
      <c r="G109" s="6">
        <f>12*(INT(Table1[[#This Row],[OrderMonthKey]]/100)-INT(Table1[[#This Row],[CohortMonthKey]]/100)) + (MOD(Table1[[#This Row],[OrderMonthKey]],100)-MOD(Table1[[#This Row],[CohortMonthKey]],100))</f>
        <v>19</v>
      </c>
      <c r="H109" s="3" t="str">
        <f>TEXT(Table1[[#This Row],[OrderDate]],"MMM-YYYY")</f>
        <v>Aug-2024</v>
      </c>
      <c r="I109" s="3" t="str">
        <f t="shared" si="3"/>
        <v>Q2-2023</v>
      </c>
      <c r="J109" s="26" t="str">
        <f>IF(Table1[[#This Row],[LeadTimeDays]]&lt;=7,"Yes","No")</f>
        <v>No</v>
      </c>
      <c r="K109" s="6">
        <f>_xlfn.DAYS(Table1[[#This Row],[CorrectedRequiredDate]],Table1[[#This Row],[OrderDate]])</f>
        <v>21</v>
      </c>
      <c r="L109" s="3">
        <f>IF(Table1[[#This Row],[RequiredDate]]&lt;Table1[[#This Row],[OrderDate]],Table1[[#This Row],[OrderDate]],Table1[[#This Row],[RequiredDate]])</f>
        <v>45539</v>
      </c>
      <c r="M109" s="3">
        <v>45539</v>
      </c>
      <c r="N109" t="s">
        <v>649</v>
      </c>
      <c r="O109" t="s">
        <v>658</v>
      </c>
      <c r="P109" t="s">
        <v>1421</v>
      </c>
      <c r="Q109" t="s">
        <v>703</v>
      </c>
      <c r="R109" t="s">
        <v>708</v>
      </c>
      <c r="S109" t="s">
        <v>713</v>
      </c>
      <c r="T109" t="s">
        <v>730</v>
      </c>
      <c r="U109" t="s">
        <v>841</v>
      </c>
      <c r="V109" s="8">
        <v>1138.8</v>
      </c>
      <c r="W109" s="8">
        <v>2250.81</v>
      </c>
      <c r="X109" s="8">
        <f t="shared" si="4"/>
        <v>815.10700000000008</v>
      </c>
      <c r="Y109" s="8">
        <f t="shared" si="5"/>
        <v>1620.05</v>
      </c>
      <c r="Z109" s="8" t="str">
        <f>IF(W108 &lt;= X107, "Low",IF(W108 &lt;= Y108, "Medium", "High"))</f>
        <v>Low</v>
      </c>
      <c r="AA109">
        <v>0.123</v>
      </c>
      <c r="AB109">
        <f>IF(Table1[[#This Row],[DiscountPct]]&gt;0.2,1,0)</f>
        <v>0</v>
      </c>
      <c r="AC109" s="6">
        <v>12</v>
      </c>
      <c r="AD109" s="8">
        <f>Table1[[#This Row],[UnitPrice]]*Table1[[#This Row],[Quantity]]</f>
        <v>27009.72</v>
      </c>
      <c r="AE109" s="8">
        <f>Table1[[#This Row],[UnitCost]]*Table1[[#This Row],[Quantity]]</f>
        <v>13665.599999999999</v>
      </c>
      <c r="AF109" s="8">
        <f>Table1[[#This Row],[GrossRevenue]]-Table1[[#This Row],[CostOfGoods]]</f>
        <v>13344.120000000003</v>
      </c>
      <c r="AG109" s="9">
        <f>IF(Table1[[#This Row],[GrossRevenue]]=0,0,Table1[[#This Row],[GrossProfit]]/Table1[[#This Row],[GrossRevenue]])</f>
        <v>0.49404880909539239</v>
      </c>
    </row>
    <row r="110" spans="1:33" hidden="1" x14ac:dyDescent="0.45">
      <c r="A110" t="s">
        <v>123</v>
      </c>
      <c r="C110" s="3">
        <v>45581</v>
      </c>
      <c r="D110" s="3">
        <f>YEAR(Table1[[#This Row],[OrderDate]]) * 100 + MONTH(Table1[[#This Row],[OrderDate]])</f>
        <v>202410</v>
      </c>
      <c r="E110" s="3">
        <f>_xlfn.MINIFS(Table1[OrderMonthKey],Table1[Country],Table1[[#This Row],[Country]])</f>
        <v>202303</v>
      </c>
      <c r="F110" s="3">
        <f>Table1[[#This Row],[CountryFirstMonthKey]]</f>
        <v>202303</v>
      </c>
      <c r="G110" s="3">
        <f>12*(INT(Table1[[#This Row],[OrderMonthKey]]/100)-INT(Table1[[#This Row],[CohortMonthKey]]/100)) + (MOD(Table1[[#This Row],[OrderMonthKey]],100)-MOD(Table1[[#This Row],[CohortMonthKey]],100))</f>
        <v>19</v>
      </c>
      <c r="H110" s="3" t="str">
        <f>TEXT(Table1[[#This Row],[OrderDate]],"MMM-YYYY")</f>
        <v>Oct-2024</v>
      </c>
      <c r="I110" s="3" t="str">
        <f t="shared" si="3"/>
        <v>Q3-2024</v>
      </c>
      <c r="J110" s="3" t="str">
        <f>IF(Table1[[#This Row],[LeadTimeDays]]&lt;=7,"Yes","No")</f>
        <v>No</v>
      </c>
      <c r="K110" s="3">
        <f>_xlfn.DAYS(Table1[[#This Row],[CorrectedRequiredDate]],Table1[[#This Row],[OrderDate]])</f>
        <v>23</v>
      </c>
      <c r="L110" s="3">
        <f>IF(Table1[[#This Row],[RequiredDate]]&lt;Table1[[#This Row],[OrderDate]],Table1[[#This Row],[OrderDate]],Table1[[#This Row],[RequiredDate]])</f>
        <v>45604</v>
      </c>
      <c r="M110" s="3">
        <v>45604</v>
      </c>
      <c r="N110" t="s">
        <v>647</v>
      </c>
      <c r="O110" t="s">
        <v>652</v>
      </c>
      <c r="P110" t="s">
        <v>666</v>
      </c>
      <c r="Q110" t="s">
        <v>705</v>
      </c>
      <c r="R110" t="s">
        <v>707</v>
      </c>
      <c r="S110" t="s">
        <v>713</v>
      </c>
      <c r="T110" t="s">
        <v>729</v>
      </c>
      <c r="U110" t="s">
        <v>842</v>
      </c>
      <c r="V110" s="8">
        <v>82.14</v>
      </c>
      <c r="W110" s="8">
        <v>166.04</v>
      </c>
      <c r="X110" s="8">
        <f t="shared" si="4"/>
        <v>815.10700000000008</v>
      </c>
      <c r="Y110" s="8">
        <f t="shared" si="5"/>
        <v>1620.05</v>
      </c>
      <c r="AA110">
        <v>0</v>
      </c>
      <c r="AB110">
        <f>IF(Table1[[#This Row],[DiscountPct]]&gt;0.2,1,0)</f>
        <v>0</v>
      </c>
      <c r="AC110" s="6">
        <v>10</v>
      </c>
      <c r="AD110" s="8">
        <f>Table1[[#This Row],[UnitPrice]]*Table1[[#This Row],[Quantity]]</f>
        <v>1660.3999999999999</v>
      </c>
      <c r="AE110" s="8">
        <f>Table1[[#This Row],[UnitCost]]*Table1[[#This Row],[Quantity]]</f>
        <v>821.4</v>
      </c>
      <c r="AF110" s="8">
        <f>Table1[[#This Row],[GrossRevenue]]-Table1[[#This Row],[CostOfGoods]]</f>
        <v>838.99999999999989</v>
      </c>
      <c r="AG110" s="8">
        <f>IF(Table1[[#This Row],[GrossRevenue]]=0,0,Table1[[#This Row],[GrossProfit]]/Table1[[#This Row],[GrossRevenue]])</f>
        <v>0.50529992772825827</v>
      </c>
    </row>
    <row r="111" spans="1:33" hidden="1" x14ac:dyDescent="0.45">
      <c r="A111" t="s">
        <v>124</v>
      </c>
      <c r="C111" s="3">
        <v>45445</v>
      </c>
      <c r="D111" s="3">
        <f>YEAR(Table1[[#This Row],[OrderDate]]) * 100 + MONTH(Table1[[#This Row],[OrderDate]])</f>
        <v>202406</v>
      </c>
      <c r="E111" s="3">
        <f>_xlfn.MINIFS(Table1[OrderMonthKey],Table1[Country],Table1[[#This Row],[Country]])</f>
        <v>202301</v>
      </c>
      <c r="F111" s="3">
        <f>Table1[[#This Row],[CountryFirstMonthKey]]</f>
        <v>202301</v>
      </c>
      <c r="G111" s="3">
        <f>12*(INT(Table1[[#This Row],[OrderMonthKey]]/100)-INT(Table1[[#This Row],[CohortMonthKey]]/100)) + (MOD(Table1[[#This Row],[OrderMonthKey]],100)-MOD(Table1[[#This Row],[CohortMonthKey]],100))</f>
        <v>17</v>
      </c>
      <c r="H111" s="3" t="str">
        <f>TEXT(Table1[[#This Row],[OrderDate]],"MMM-YYYY")</f>
        <v>Jun-2024</v>
      </c>
      <c r="I111" s="3" t="str">
        <f t="shared" si="3"/>
        <v>Q4-2024</v>
      </c>
      <c r="J111" s="3" t="str">
        <f>IF(Table1[[#This Row],[LeadTimeDays]]&lt;=7,"Yes","No")</f>
        <v>Yes</v>
      </c>
      <c r="K111" s="3">
        <f>_xlfn.DAYS(Table1[[#This Row],[CorrectedRequiredDate]],Table1[[#This Row],[OrderDate]])</f>
        <v>6</v>
      </c>
      <c r="L111" s="3">
        <f>IF(Table1[[#This Row],[RequiredDate]]&lt;Table1[[#This Row],[OrderDate]],Table1[[#This Row],[OrderDate]],Table1[[#This Row],[RequiredDate]])</f>
        <v>45451</v>
      </c>
      <c r="M111" s="3">
        <v>45451</v>
      </c>
      <c r="N111" t="s">
        <v>646</v>
      </c>
      <c r="O111" t="s">
        <v>650</v>
      </c>
      <c r="P111" t="s">
        <v>662</v>
      </c>
      <c r="Q111" t="s">
        <v>704</v>
      </c>
      <c r="R111" t="s">
        <v>709</v>
      </c>
      <c r="S111" t="s">
        <v>720</v>
      </c>
      <c r="T111" t="s">
        <v>733</v>
      </c>
      <c r="U111" t="s">
        <v>843</v>
      </c>
      <c r="V111" s="8">
        <v>292.94</v>
      </c>
      <c r="W111" s="8">
        <v>356.55</v>
      </c>
      <c r="X111" s="8">
        <f t="shared" si="4"/>
        <v>815.10700000000008</v>
      </c>
      <c r="Y111" s="8">
        <f t="shared" si="5"/>
        <v>1620.05</v>
      </c>
      <c r="AA111">
        <v>0.22900000000000001</v>
      </c>
      <c r="AB111">
        <f>IF(Table1[[#This Row],[DiscountPct]]&gt;0.2,1,0)</f>
        <v>1</v>
      </c>
      <c r="AC111" s="6">
        <v>2</v>
      </c>
      <c r="AD111" s="8">
        <f>Table1[[#This Row],[UnitPrice]]*Table1[[#This Row],[Quantity]]</f>
        <v>713.1</v>
      </c>
      <c r="AE111" s="8">
        <f>Table1[[#This Row],[UnitCost]]*Table1[[#This Row],[Quantity]]</f>
        <v>585.88</v>
      </c>
      <c r="AF111" s="8">
        <f>Table1[[#This Row],[GrossRevenue]]-Table1[[#This Row],[CostOfGoods]]</f>
        <v>127.22000000000003</v>
      </c>
      <c r="AG111" s="8">
        <f>IF(Table1[[#This Row],[GrossRevenue]]=0,0,Table1[[#This Row],[GrossProfit]]/Table1[[#This Row],[GrossRevenue]])</f>
        <v>0.17840415089047823</v>
      </c>
    </row>
    <row r="112" spans="1:33" x14ac:dyDescent="0.45">
      <c r="A112" t="s">
        <v>125</v>
      </c>
      <c r="B112">
        <v>1</v>
      </c>
      <c r="C112" s="3">
        <v>45452</v>
      </c>
      <c r="D112" s="6">
        <f>YEAR(Table1[[#This Row],[OrderDate]]) * 100 + MONTH(Table1[[#This Row],[OrderDate]])</f>
        <v>202406</v>
      </c>
      <c r="E112" s="6">
        <f>_xlfn.MINIFS(Table1[OrderMonthKey],Table1[Country],Table1[[#This Row],[Country]])</f>
        <v>202301</v>
      </c>
      <c r="F112" s="6">
        <f>Table1[[#This Row],[CountryFirstMonthKey]]</f>
        <v>202301</v>
      </c>
      <c r="G112" s="6">
        <f>12*(INT(Table1[[#This Row],[OrderMonthKey]]/100)-INT(Table1[[#This Row],[CohortMonthKey]]/100)) + (MOD(Table1[[#This Row],[OrderMonthKey]],100)-MOD(Table1[[#This Row],[CohortMonthKey]],100))</f>
        <v>17</v>
      </c>
      <c r="H112" s="3" t="str">
        <f>TEXT(Table1[[#This Row],[OrderDate]],"MMM-YYYY")</f>
        <v>Jun-2024</v>
      </c>
      <c r="I112" s="3" t="str">
        <f t="shared" si="3"/>
        <v>Q2-2024</v>
      </c>
      <c r="J112" s="26" t="str">
        <f>IF(Table1[[#This Row],[LeadTimeDays]]&lt;=7,"Yes","No")</f>
        <v>No</v>
      </c>
      <c r="K112" s="6">
        <f>_xlfn.DAYS(Table1[[#This Row],[CorrectedRequiredDate]],Table1[[#This Row],[OrderDate]])</f>
        <v>28</v>
      </c>
      <c r="L112" s="3">
        <f>IF(Table1[[#This Row],[RequiredDate]]&lt;Table1[[#This Row],[OrderDate]],Table1[[#This Row],[OrderDate]],Table1[[#This Row],[RequiredDate]])</f>
        <v>45480</v>
      </c>
      <c r="M112" s="3">
        <v>45480</v>
      </c>
      <c r="N112" t="s">
        <v>647</v>
      </c>
      <c r="O112" t="s">
        <v>659</v>
      </c>
      <c r="P112" t="s">
        <v>676</v>
      </c>
      <c r="Q112" t="s">
        <v>701</v>
      </c>
      <c r="R112" t="s">
        <v>708</v>
      </c>
      <c r="S112" t="s">
        <v>713</v>
      </c>
      <c r="T112" t="s">
        <v>727</v>
      </c>
      <c r="U112" t="s">
        <v>844</v>
      </c>
      <c r="V112" s="8">
        <v>550.22</v>
      </c>
      <c r="W112" s="8">
        <v>1025.05</v>
      </c>
      <c r="X112" s="8">
        <f t="shared" si="4"/>
        <v>815.10700000000008</v>
      </c>
      <c r="Y112" s="8">
        <f t="shared" si="5"/>
        <v>1620.05</v>
      </c>
      <c r="Z112" s="8" t="str">
        <f>IF(W111 &lt;= X110, "Low",IF(W111 &lt;= Y111, "Medium", "High"))</f>
        <v>Low</v>
      </c>
      <c r="AA112">
        <v>0</v>
      </c>
      <c r="AB112">
        <f>IF(Table1[[#This Row],[DiscountPct]]&gt;0.2,1,0)</f>
        <v>0</v>
      </c>
      <c r="AC112" s="6">
        <v>27</v>
      </c>
      <c r="AD112" s="8">
        <f>Table1[[#This Row],[UnitPrice]]*Table1[[#This Row],[Quantity]]</f>
        <v>27676.35</v>
      </c>
      <c r="AE112" s="8">
        <f>Table1[[#This Row],[UnitCost]]*Table1[[#This Row],[Quantity]]</f>
        <v>14855.94</v>
      </c>
      <c r="AF112" s="8">
        <f>Table1[[#This Row],[GrossRevenue]]-Table1[[#This Row],[CostOfGoods]]</f>
        <v>12820.409999999998</v>
      </c>
      <c r="AG112" s="9">
        <f>IF(Table1[[#This Row],[GrossRevenue]]=0,0,Table1[[#This Row],[GrossProfit]]/Table1[[#This Row],[GrossRevenue]])</f>
        <v>0.46322618408858102</v>
      </c>
    </row>
    <row r="113" spans="1:33" x14ac:dyDescent="0.45">
      <c r="A113" t="s">
        <v>126</v>
      </c>
      <c r="B113">
        <v>1</v>
      </c>
      <c r="C113" s="3">
        <v>45453</v>
      </c>
      <c r="D113" s="6">
        <f>YEAR(Table1[[#This Row],[OrderDate]]) * 100 + MONTH(Table1[[#This Row],[OrderDate]])</f>
        <v>202406</v>
      </c>
      <c r="E113" s="6">
        <f>_xlfn.MINIFS(Table1[OrderMonthKey],Table1[Country],Table1[[#This Row],[Country]])</f>
        <v>202301</v>
      </c>
      <c r="F113" s="6">
        <f>Table1[[#This Row],[CountryFirstMonthKey]]</f>
        <v>202301</v>
      </c>
      <c r="G113" s="6">
        <f>12*(INT(Table1[[#This Row],[OrderMonthKey]]/100)-INT(Table1[[#This Row],[CohortMonthKey]]/100)) + (MOD(Table1[[#This Row],[OrderMonthKey]],100)-MOD(Table1[[#This Row],[CohortMonthKey]],100))</f>
        <v>17</v>
      </c>
      <c r="H113" s="3" t="str">
        <f>TEXT(Table1[[#This Row],[OrderDate]],"MMM-YYYY")</f>
        <v>Jun-2024</v>
      </c>
      <c r="I113" s="3" t="str">
        <f t="shared" si="3"/>
        <v>Q2-2024</v>
      </c>
      <c r="J113" s="26" t="str">
        <f>IF(Table1[[#This Row],[LeadTimeDays]]&lt;=7,"Yes","No")</f>
        <v>Yes</v>
      </c>
      <c r="K113" s="6">
        <f>_xlfn.DAYS(Table1[[#This Row],[CorrectedRequiredDate]],Table1[[#This Row],[OrderDate]])</f>
        <v>1</v>
      </c>
      <c r="L113" s="3">
        <f>IF(Table1[[#This Row],[RequiredDate]]&lt;Table1[[#This Row],[OrderDate]],Table1[[#This Row],[OrderDate]],Table1[[#This Row],[RequiredDate]])</f>
        <v>45454</v>
      </c>
      <c r="M113" s="3">
        <v>45454</v>
      </c>
      <c r="N113" t="s">
        <v>649</v>
      </c>
      <c r="O113" t="s">
        <v>658</v>
      </c>
      <c r="P113" t="s">
        <v>674</v>
      </c>
      <c r="Q113" t="s">
        <v>705</v>
      </c>
      <c r="R113" t="s">
        <v>709</v>
      </c>
      <c r="S113" t="s">
        <v>724</v>
      </c>
      <c r="T113" t="s">
        <v>731</v>
      </c>
      <c r="U113" t="s">
        <v>845</v>
      </c>
      <c r="V113" s="8">
        <v>1187.1300000000001</v>
      </c>
      <c r="W113" s="8">
        <v>1795.17</v>
      </c>
      <c r="X113" s="8">
        <f t="shared" si="4"/>
        <v>815.10700000000008</v>
      </c>
      <c r="Y113" s="8">
        <f t="shared" si="5"/>
        <v>1620.05</v>
      </c>
      <c r="Z113" s="8" t="str">
        <f>IF(W112 &lt;= X111, "Low",IF(W112 &lt;= Y112, "Medium", "High"))</f>
        <v>Medium</v>
      </c>
      <c r="AA113">
        <v>1.2E-2</v>
      </c>
      <c r="AB113">
        <f>IF(Table1[[#This Row],[DiscountPct]]&gt;0.2,1,0)</f>
        <v>0</v>
      </c>
      <c r="AC113" s="6">
        <v>17</v>
      </c>
      <c r="AD113" s="8">
        <f>Table1[[#This Row],[UnitPrice]]*Table1[[#This Row],[Quantity]]</f>
        <v>30517.89</v>
      </c>
      <c r="AE113" s="8">
        <f>Table1[[#This Row],[UnitCost]]*Table1[[#This Row],[Quantity]]</f>
        <v>20181.210000000003</v>
      </c>
      <c r="AF113" s="8">
        <f>Table1[[#This Row],[GrossRevenue]]-Table1[[#This Row],[CostOfGoods]]</f>
        <v>10336.679999999997</v>
      </c>
      <c r="AG113" s="9">
        <f>IF(Table1[[#This Row],[GrossRevenue]]=0,0,Table1[[#This Row],[GrossProfit]]/Table1[[#This Row],[GrossRevenue]])</f>
        <v>0.33870886879794104</v>
      </c>
    </row>
    <row r="114" spans="1:33" hidden="1" x14ac:dyDescent="0.45">
      <c r="A114" t="s">
        <v>127</v>
      </c>
      <c r="C114" s="3">
        <v>45472</v>
      </c>
      <c r="D114" s="3">
        <f>YEAR(Table1[[#This Row],[OrderDate]]) * 100 + MONTH(Table1[[#This Row],[OrderDate]])</f>
        <v>202406</v>
      </c>
      <c r="E114" s="3">
        <f>_xlfn.MINIFS(Table1[OrderMonthKey],Table1[Country],Table1[[#This Row],[Country]])</f>
        <v>202301</v>
      </c>
      <c r="F114" s="3">
        <f>Table1[[#This Row],[CountryFirstMonthKey]]</f>
        <v>202301</v>
      </c>
      <c r="G114" s="3">
        <f>12*(INT(Table1[[#This Row],[OrderMonthKey]]/100)-INT(Table1[[#This Row],[CohortMonthKey]]/100)) + (MOD(Table1[[#This Row],[OrderMonthKey]],100)-MOD(Table1[[#This Row],[CohortMonthKey]],100))</f>
        <v>17</v>
      </c>
      <c r="H114" s="3" t="str">
        <f>TEXT(Table1[[#This Row],[OrderDate]],"MMM-YYYY")</f>
        <v>Jun-2024</v>
      </c>
      <c r="I114" s="3" t="str">
        <f t="shared" si="3"/>
        <v>Q2-2024</v>
      </c>
      <c r="J114" s="3" t="str">
        <f>IF(Table1[[#This Row],[LeadTimeDays]]&lt;=7,"Yes","No")</f>
        <v>No</v>
      </c>
      <c r="K114" s="3">
        <f>_xlfn.DAYS(Table1[[#This Row],[CorrectedRequiredDate]],Table1[[#This Row],[OrderDate]])</f>
        <v>27</v>
      </c>
      <c r="L114" s="3">
        <f>IF(Table1[[#This Row],[RequiredDate]]&lt;Table1[[#This Row],[OrderDate]],Table1[[#This Row],[OrderDate]],Table1[[#This Row],[RequiredDate]])</f>
        <v>45499</v>
      </c>
      <c r="M114" s="3">
        <v>45499</v>
      </c>
      <c r="N114" t="s">
        <v>646</v>
      </c>
      <c r="O114" t="s">
        <v>661</v>
      </c>
      <c r="P114" t="s">
        <v>687</v>
      </c>
      <c r="Q114" t="s">
        <v>706</v>
      </c>
      <c r="R114" t="s">
        <v>710</v>
      </c>
      <c r="S114" t="s">
        <v>717</v>
      </c>
      <c r="T114" t="s">
        <v>729</v>
      </c>
      <c r="U114" t="s">
        <v>846</v>
      </c>
      <c r="V114" s="8">
        <v>5.36</v>
      </c>
      <c r="W114" s="8">
        <v>4.37</v>
      </c>
      <c r="X114" s="8">
        <f t="shared" si="4"/>
        <v>815.10700000000008</v>
      </c>
      <c r="Y114" s="8">
        <f t="shared" si="5"/>
        <v>1620.05</v>
      </c>
      <c r="AA114">
        <v>0.11799999999999999</v>
      </c>
      <c r="AB114">
        <f>IF(Table1[[#This Row],[DiscountPct]]&gt;0.2,1,0)</f>
        <v>0</v>
      </c>
      <c r="AC114" s="6">
        <v>9</v>
      </c>
      <c r="AD114" s="8">
        <f>Table1[[#This Row],[UnitPrice]]*Table1[[#This Row],[Quantity]]</f>
        <v>39.33</v>
      </c>
      <c r="AE114" s="8">
        <f>Table1[[#This Row],[UnitCost]]*Table1[[#This Row],[Quantity]]</f>
        <v>48.24</v>
      </c>
      <c r="AF114" s="8">
        <f>Table1[[#This Row],[GrossRevenue]]-Table1[[#This Row],[CostOfGoods]]</f>
        <v>-8.9100000000000037</v>
      </c>
      <c r="AG114" s="8">
        <f>IF(Table1[[#This Row],[GrossRevenue]]=0,0,Table1[[#This Row],[GrossProfit]]/Table1[[#This Row],[GrossRevenue]])</f>
        <v>-0.22654462242562939</v>
      </c>
    </row>
    <row r="115" spans="1:33" hidden="1" x14ac:dyDescent="0.45">
      <c r="A115" t="s">
        <v>128</v>
      </c>
      <c r="C115" s="3">
        <v>45674</v>
      </c>
      <c r="D115" s="3">
        <f>YEAR(Table1[[#This Row],[OrderDate]]) * 100 + MONTH(Table1[[#This Row],[OrderDate]])</f>
        <v>202501</v>
      </c>
      <c r="E115" s="3">
        <f>_xlfn.MINIFS(Table1[OrderMonthKey],Table1[Country],Table1[[#This Row],[Country]])</f>
        <v>202301</v>
      </c>
      <c r="F115" s="3">
        <f>Table1[[#This Row],[CountryFirstMonthKey]]</f>
        <v>202301</v>
      </c>
      <c r="G115" s="3">
        <f>12*(INT(Table1[[#This Row],[OrderMonthKey]]/100)-INT(Table1[[#This Row],[CohortMonthKey]]/100)) + (MOD(Table1[[#This Row],[OrderMonthKey]],100)-MOD(Table1[[#This Row],[CohortMonthKey]],100))</f>
        <v>24</v>
      </c>
      <c r="H115" s="3" t="str">
        <f>TEXT(Table1[[#This Row],[OrderDate]],"MMM-YYYY")</f>
        <v>Jan-2025</v>
      </c>
      <c r="I115" s="3" t="str">
        <f t="shared" si="3"/>
        <v>Q2-2024</v>
      </c>
      <c r="J115" s="3" t="str">
        <f>IF(Table1[[#This Row],[LeadTimeDays]]&lt;=7,"Yes","No")</f>
        <v>Yes</v>
      </c>
      <c r="K115" s="3">
        <f>_xlfn.DAYS(Table1[[#This Row],[CorrectedRequiredDate]],Table1[[#This Row],[OrderDate]])</f>
        <v>7</v>
      </c>
      <c r="L115" s="3">
        <f>IF(Table1[[#This Row],[RequiredDate]]&lt;Table1[[#This Row],[OrderDate]],Table1[[#This Row],[OrderDate]],Table1[[#This Row],[RequiredDate]])</f>
        <v>45681</v>
      </c>
      <c r="M115" s="3">
        <v>45681</v>
      </c>
      <c r="N115" t="s">
        <v>648</v>
      </c>
      <c r="O115" t="s">
        <v>660</v>
      </c>
      <c r="P115" t="s">
        <v>697</v>
      </c>
      <c r="Q115" t="s">
        <v>706</v>
      </c>
      <c r="R115" t="s">
        <v>708</v>
      </c>
      <c r="S115" t="s">
        <v>715</v>
      </c>
      <c r="T115" t="s">
        <v>733</v>
      </c>
      <c r="U115" t="s">
        <v>847</v>
      </c>
      <c r="V115" s="8">
        <v>142.09</v>
      </c>
      <c r="W115" s="8">
        <v>218.5</v>
      </c>
      <c r="X115" s="8">
        <f t="shared" si="4"/>
        <v>815.10700000000008</v>
      </c>
      <c r="Y115" s="8">
        <f t="shared" si="5"/>
        <v>1620.05</v>
      </c>
      <c r="AA115">
        <v>0.11899999999999999</v>
      </c>
      <c r="AB115">
        <f>IF(Table1[[#This Row],[DiscountPct]]&gt;0.2,1,0)</f>
        <v>0</v>
      </c>
      <c r="AC115" s="6">
        <v>11</v>
      </c>
      <c r="AD115" s="8">
        <f>Table1[[#This Row],[UnitPrice]]*Table1[[#This Row],[Quantity]]</f>
        <v>2403.5</v>
      </c>
      <c r="AE115" s="8">
        <f>Table1[[#This Row],[UnitCost]]*Table1[[#This Row],[Quantity]]</f>
        <v>1562.99</v>
      </c>
      <c r="AF115" s="8">
        <f>Table1[[#This Row],[GrossRevenue]]-Table1[[#This Row],[CostOfGoods]]</f>
        <v>840.51</v>
      </c>
      <c r="AG115" s="8">
        <f>IF(Table1[[#This Row],[GrossRevenue]]=0,0,Table1[[#This Row],[GrossProfit]]/Table1[[#This Row],[GrossRevenue]])</f>
        <v>0.34970251716247142</v>
      </c>
    </row>
    <row r="116" spans="1:33" hidden="1" x14ac:dyDescent="0.45">
      <c r="A116" t="s">
        <v>129</v>
      </c>
      <c r="C116" s="3">
        <v>45250</v>
      </c>
      <c r="D116" s="3">
        <f>YEAR(Table1[[#This Row],[OrderDate]]) * 100 + MONTH(Table1[[#This Row],[OrderDate]])</f>
        <v>202311</v>
      </c>
      <c r="E116" s="3">
        <f>_xlfn.MINIFS(Table1[OrderMonthKey],Table1[Country],Table1[[#This Row],[Country]])</f>
        <v>202303</v>
      </c>
      <c r="F116" s="3">
        <f>Table1[[#This Row],[CountryFirstMonthKey]]</f>
        <v>202303</v>
      </c>
      <c r="G116" s="3">
        <f>12*(INT(Table1[[#This Row],[OrderMonthKey]]/100)-INT(Table1[[#This Row],[CohortMonthKey]]/100)) + (MOD(Table1[[#This Row],[OrderMonthKey]],100)-MOD(Table1[[#This Row],[CohortMonthKey]],100))</f>
        <v>8</v>
      </c>
      <c r="H116" s="3" t="str">
        <f>TEXT(Table1[[#This Row],[OrderDate]],"MMM-YYYY")</f>
        <v>Nov-2023</v>
      </c>
      <c r="I116" s="3" t="str">
        <f t="shared" si="3"/>
        <v>Q1-2025</v>
      </c>
      <c r="J116" s="3" t="str">
        <f>IF(Table1[[#This Row],[LeadTimeDays]]&lt;=7,"Yes","No")</f>
        <v>No</v>
      </c>
      <c r="K116" s="3">
        <f>_xlfn.DAYS(Table1[[#This Row],[CorrectedRequiredDate]],Table1[[#This Row],[OrderDate]])</f>
        <v>15</v>
      </c>
      <c r="L116" s="3">
        <f>IF(Table1[[#This Row],[RequiredDate]]&lt;Table1[[#This Row],[OrderDate]],Table1[[#This Row],[OrderDate]],Table1[[#This Row],[RequiredDate]])</f>
        <v>45265</v>
      </c>
      <c r="M116" s="3">
        <v>45265</v>
      </c>
      <c r="N116" t="s">
        <v>647</v>
      </c>
      <c r="O116" t="s">
        <v>652</v>
      </c>
      <c r="P116" t="s">
        <v>689</v>
      </c>
      <c r="Q116" t="s">
        <v>706</v>
      </c>
      <c r="R116" t="s">
        <v>707</v>
      </c>
      <c r="S116" t="s">
        <v>716</v>
      </c>
      <c r="T116" t="s">
        <v>729</v>
      </c>
      <c r="U116" t="s">
        <v>848</v>
      </c>
      <c r="V116" s="8">
        <v>354.24</v>
      </c>
      <c r="W116" s="8">
        <v>249.87</v>
      </c>
      <c r="X116" s="8">
        <f t="shared" si="4"/>
        <v>815.10700000000008</v>
      </c>
      <c r="Y116" s="8">
        <f t="shared" si="5"/>
        <v>1620.05</v>
      </c>
      <c r="AA116">
        <v>0</v>
      </c>
      <c r="AB116">
        <f>IF(Table1[[#This Row],[DiscountPct]]&gt;0.2,1,0)</f>
        <v>0</v>
      </c>
      <c r="AC116" s="6">
        <v>6</v>
      </c>
      <c r="AD116" s="8">
        <f>Table1[[#This Row],[UnitPrice]]*Table1[[#This Row],[Quantity]]</f>
        <v>1499.22</v>
      </c>
      <c r="AE116" s="8">
        <f>Table1[[#This Row],[UnitCost]]*Table1[[#This Row],[Quantity]]</f>
        <v>2125.44</v>
      </c>
      <c r="AF116" s="8">
        <f>Table1[[#This Row],[GrossRevenue]]-Table1[[#This Row],[CostOfGoods]]</f>
        <v>-626.22</v>
      </c>
      <c r="AG116" s="8">
        <f>IF(Table1[[#This Row],[GrossRevenue]]=0,0,Table1[[#This Row],[GrossProfit]]/Table1[[#This Row],[GrossRevenue]])</f>
        <v>-0.41769720254532355</v>
      </c>
    </row>
    <row r="117" spans="1:33" x14ac:dyDescent="0.45">
      <c r="A117" t="s">
        <v>130</v>
      </c>
      <c r="B117">
        <v>1</v>
      </c>
      <c r="C117" s="3">
        <v>44987</v>
      </c>
      <c r="D117" s="6">
        <f>YEAR(Table1[[#This Row],[OrderDate]]) * 100 + MONTH(Table1[[#This Row],[OrderDate]])</f>
        <v>202303</v>
      </c>
      <c r="E117" s="6">
        <f>_xlfn.MINIFS(Table1[OrderMonthKey],Table1[Country],Table1[[#This Row],[Country]])</f>
        <v>202301</v>
      </c>
      <c r="F117" s="6">
        <f>Table1[[#This Row],[CountryFirstMonthKey]]</f>
        <v>202301</v>
      </c>
      <c r="G117" s="6">
        <f>12*(INT(Table1[[#This Row],[OrderMonthKey]]/100)-INT(Table1[[#This Row],[CohortMonthKey]]/100)) + (MOD(Table1[[#This Row],[OrderMonthKey]],100)-MOD(Table1[[#This Row],[CohortMonthKey]],100))</f>
        <v>2</v>
      </c>
      <c r="H117" s="3" t="str">
        <f>TEXT(Table1[[#This Row],[OrderDate]],"MMM-YYYY")</f>
        <v>Mar-2023</v>
      </c>
      <c r="I117" s="3" t="str">
        <f t="shared" si="3"/>
        <v>Q4-2023</v>
      </c>
      <c r="J117" s="26" t="str">
        <f>IF(Table1[[#This Row],[LeadTimeDays]]&lt;=7,"Yes","No")</f>
        <v>Yes</v>
      </c>
      <c r="K117" s="6">
        <f>_xlfn.DAYS(Table1[[#This Row],[CorrectedRequiredDate]],Table1[[#This Row],[OrderDate]])</f>
        <v>3</v>
      </c>
      <c r="L117" s="3">
        <f>IF(Table1[[#This Row],[RequiredDate]]&lt;Table1[[#This Row],[OrderDate]],Table1[[#This Row],[OrderDate]],Table1[[#This Row],[RequiredDate]])</f>
        <v>44990</v>
      </c>
      <c r="M117" s="3">
        <v>44990</v>
      </c>
      <c r="N117" t="s">
        <v>648</v>
      </c>
      <c r="O117" t="s">
        <v>655</v>
      </c>
      <c r="P117" t="s">
        <v>672</v>
      </c>
      <c r="Q117" t="s">
        <v>706</v>
      </c>
      <c r="R117" t="s">
        <v>711</v>
      </c>
      <c r="S117" t="s">
        <v>715</v>
      </c>
      <c r="T117" t="s">
        <v>732</v>
      </c>
      <c r="U117" t="s">
        <v>849</v>
      </c>
      <c r="V117" s="8">
        <v>1473.58</v>
      </c>
      <c r="W117" s="8">
        <v>3436.52</v>
      </c>
      <c r="X117" s="8">
        <f t="shared" si="4"/>
        <v>815.10700000000008</v>
      </c>
      <c r="Y117" s="8">
        <f t="shared" si="5"/>
        <v>1620.05</v>
      </c>
      <c r="Z117" s="8" t="str">
        <f>IF(W116 &lt;= X115, "Low",IF(W116 &lt;= Y116, "Medium", "High"))</f>
        <v>Low</v>
      </c>
      <c r="AA117">
        <v>0.108</v>
      </c>
      <c r="AB117">
        <f>IF(Table1[[#This Row],[DiscountPct]]&gt;0.2,1,0)</f>
        <v>0</v>
      </c>
      <c r="AC117" s="6">
        <v>8</v>
      </c>
      <c r="AD117" s="8">
        <f>Table1[[#This Row],[UnitPrice]]*Table1[[#This Row],[Quantity]]</f>
        <v>27492.16</v>
      </c>
      <c r="AE117" s="8">
        <f>Table1[[#This Row],[UnitCost]]*Table1[[#This Row],[Quantity]]</f>
        <v>11788.64</v>
      </c>
      <c r="AF117" s="8">
        <f>Table1[[#This Row],[GrossRevenue]]-Table1[[#This Row],[CostOfGoods]]</f>
        <v>15703.52</v>
      </c>
      <c r="AG117" s="9">
        <f>IF(Table1[[#This Row],[GrossRevenue]]=0,0,Table1[[#This Row],[GrossProfit]]/Table1[[#This Row],[GrossRevenue]])</f>
        <v>0.57119993481778075</v>
      </c>
    </row>
    <row r="118" spans="1:33" x14ac:dyDescent="0.45">
      <c r="A118" t="s">
        <v>131</v>
      </c>
      <c r="B118">
        <v>1</v>
      </c>
      <c r="C118" s="3">
        <v>45811</v>
      </c>
      <c r="D118" s="6">
        <f>YEAR(Table1[[#This Row],[OrderDate]]) * 100 + MONTH(Table1[[#This Row],[OrderDate]])</f>
        <v>202506</v>
      </c>
      <c r="E118" s="6">
        <f>_xlfn.MINIFS(Table1[OrderMonthKey],Table1[Country],Table1[[#This Row],[Country]])</f>
        <v>202301</v>
      </c>
      <c r="F118" s="6">
        <f>Table1[[#This Row],[CountryFirstMonthKey]]</f>
        <v>202301</v>
      </c>
      <c r="G118" s="6">
        <f>12*(INT(Table1[[#This Row],[OrderMonthKey]]/100)-INT(Table1[[#This Row],[CohortMonthKey]]/100)) + (MOD(Table1[[#This Row],[OrderMonthKey]],100)-MOD(Table1[[#This Row],[CohortMonthKey]],100))</f>
        <v>29</v>
      </c>
      <c r="H118" s="3" t="str">
        <f>TEXT(Table1[[#This Row],[OrderDate]],"MMM-YYYY")</f>
        <v>Jun-2025</v>
      </c>
      <c r="I118" s="3" t="str">
        <f t="shared" si="3"/>
        <v>Q1-2023</v>
      </c>
      <c r="J118" s="26" t="str">
        <f>IF(Table1[[#This Row],[LeadTimeDays]]&lt;=7,"Yes","No")</f>
        <v>Yes</v>
      </c>
      <c r="K118" s="6">
        <f>_xlfn.DAYS(Table1[[#This Row],[CorrectedRequiredDate]],Table1[[#This Row],[OrderDate]])</f>
        <v>7</v>
      </c>
      <c r="L118" s="3">
        <f>IF(Table1[[#This Row],[RequiredDate]]&lt;Table1[[#This Row],[OrderDate]],Table1[[#This Row],[OrderDate]],Table1[[#This Row],[RequiredDate]])</f>
        <v>45818</v>
      </c>
      <c r="M118" s="3">
        <v>45818</v>
      </c>
      <c r="N118" t="s">
        <v>648</v>
      </c>
      <c r="O118" t="s">
        <v>653</v>
      </c>
      <c r="P118" t="s">
        <v>667</v>
      </c>
      <c r="Q118" t="s">
        <v>704</v>
      </c>
      <c r="R118" t="s">
        <v>710</v>
      </c>
      <c r="S118" t="s">
        <v>719</v>
      </c>
      <c r="T118" t="s">
        <v>728</v>
      </c>
      <c r="U118" t="s">
        <v>850</v>
      </c>
      <c r="V118" s="8">
        <v>75.180000000000007</v>
      </c>
      <c r="W118" s="8">
        <v>53.45</v>
      </c>
      <c r="X118" s="8">
        <f t="shared" si="4"/>
        <v>815.10700000000008</v>
      </c>
      <c r="Y118" s="8">
        <f t="shared" si="5"/>
        <v>1620.05</v>
      </c>
      <c r="Z118" s="8" t="str">
        <f>IF(W117 &lt;= X116, "Low",IF(W117 &lt;= Y117, "Medium", "High"))</f>
        <v>High</v>
      </c>
      <c r="AA118">
        <v>0.157</v>
      </c>
      <c r="AB118">
        <f>IF(Table1[[#This Row],[DiscountPct]]&gt;0.2,1,0)</f>
        <v>0</v>
      </c>
      <c r="AC118" s="6">
        <v>17</v>
      </c>
      <c r="AD118" s="8">
        <f>Table1[[#This Row],[UnitPrice]]*Table1[[#This Row],[Quantity]]</f>
        <v>908.65000000000009</v>
      </c>
      <c r="AE118" s="8">
        <f>Table1[[#This Row],[UnitCost]]*Table1[[#This Row],[Quantity]]</f>
        <v>1278.0600000000002</v>
      </c>
      <c r="AF118" s="8">
        <f>Table1[[#This Row],[GrossRevenue]]-Table1[[#This Row],[CostOfGoods]]</f>
        <v>-369.41000000000008</v>
      </c>
      <c r="AG118" s="9">
        <f>IF(Table1[[#This Row],[GrossRevenue]]=0,0,Table1[[#This Row],[GrossProfit]]/Table1[[#This Row],[GrossRevenue]])</f>
        <v>-0.40654817586529474</v>
      </c>
    </row>
    <row r="119" spans="1:33" hidden="1" x14ac:dyDescent="0.45">
      <c r="A119" t="s">
        <v>132</v>
      </c>
      <c r="C119" s="3">
        <v>45653</v>
      </c>
      <c r="D119" s="3">
        <f>YEAR(Table1[[#This Row],[OrderDate]]) * 100 + MONTH(Table1[[#This Row],[OrderDate]])</f>
        <v>202412</v>
      </c>
      <c r="E119" s="3">
        <f>_xlfn.MINIFS(Table1[OrderMonthKey],Table1[Country],Table1[[#This Row],[Country]])</f>
        <v>202301</v>
      </c>
      <c r="F119" s="3">
        <f>Table1[[#This Row],[CountryFirstMonthKey]]</f>
        <v>202301</v>
      </c>
      <c r="G119" s="3">
        <f>12*(INT(Table1[[#This Row],[OrderMonthKey]]/100)-INT(Table1[[#This Row],[CohortMonthKey]]/100)) + (MOD(Table1[[#This Row],[OrderMonthKey]],100)-MOD(Table1[[#This Row],[CohortMonthKey]],100))</f>
        <v>23</v>
      </c>
      <c r="H119" s="3" t="str">
        <f>TEXT(Table1[[#This Row],[OrderDate]],"MMM-YYYY")</f>
        <v>Dec-2024</v>
      </c>
      <c r="I119" s="3" t="str">
        <f t="shared" si="3"/>
        <v>Q2-2025</v>
      </c>
      <c r="J119" s="3" t="str">
        <f>IF(Table1[[#This Row],[LeadTimeDays]]&lt;=7,"Yes","No")</f>
        <v>Yes</v>
      </c>
      <c r="K119" s="3">
        <f>_xlfn.DAYS(Table1[[#This Row],[CorrectedRequiredDate]],Table1[[#This Row],[OrderDate]])</f>
        <v>6</v>
      </c>
      <c r="L119" s="3">
        <f>IF(Table1[[#This Row],[RequiredDate]]&lt;Table1[[#This Row],[OrderDate]],Table1[[#This Row],[OrderDate]],Table1[[#This Row],[RequiredDate]])</f>
        <v>45659</v>
      </c>
      <c r="M119" s="3">
        <v>45659</v>
      </c>
      <c r="N119" t="s">
        <v>649</v>
      </c>
      <c r="O119" t="s">
        <v>656</v>
      </c>
      <c r="P119" t="s">
        <v>698</v>
      </c>
      <c r="Q119" t="s">
        <v>702</v>
      </c>
      <c r="R119" t="s">
        <v>711</v>
      </c>
      <c r="S119" t="s">
        <v>721</v>
      </c>
      <c r="T119" t="s">
        <v>731</v>
      </c>
      <c r="U119" t="s">
        <v>851</v>
      </c>
      <c r="V119" s="8">
        <v>1391.99</v>
      </c>
      <c r="W119" s="8">
        <v>3469.7</v>
      </c>
      <c r="X119" s="8">
        <f t="shared" si="4"/>
        <v>815.10700000000008</v>
      </c>
      <c r="Y119" s="8">
        <f t="shared" si="5"/>
        <v>1620.05</v>
      </c>
      <c r="AA119">
        <v>0.184</v>
      </c>
      <c r="AB119">
        <f>IF(Table1[[#This Row],[DiscountPct]]&gt;0.2,1,0)</f>
        <v>0</v>
      </c>
      <c r="AC119" s="6">
        <v>23</v>
      </c>
      <c r="AD119" s="8">
        <f>Table1[[#This Row],[UnitPrice]]*Table1[[#This Row],[Quantity]]</f>
        <v>79803.099999999991</v>
      </c>
      <c r="AE119" s="8">
        <f>Table1[[#This Row],[UnitCost]]*Table1[[#This Row],[Quantity]]</f>
        <v>32015.77</v>
      </c>
      <c r="AF119" s="8">
        <f>Table1[[#This Row],[GrossRevenue]]-Table1[[#This Row],[CostOfGoods]]</f>
        <v>47787.329999999987</v>
      </c>
      <c r="AG119" s="8">
        <f>IF(Table1[[#This Row],[GrossRevenue]]=0,0,Table1[[#This Row],[GrossProfit]]/Table1[[#This Row],[GrossRevenue]])</f>
        <v>0.59881545954981685</v>
      </c>
    </row>
    <row r="120" spans="1:33" x14ac:dyDescent="0.45">
      <c r="A120" t="s">
        <v>133</v>
      </c>
      <c r="B120">
        <v>1</v>
      </c>
      <c r="C120" s="3">
        <v>45086</v>
      </c>
      <c r="D120" s="6">
        <f>YEAR(Table1[[#This Row],[OrderDate]]) * 100 + MONTH(Table1[[#This Row],[OrderDate]])</f>
        <v>202306</v>
      </c>
      <c r="E120" s="6">
        <f>_xlfn.MINIFS(Table1[OrderMonthKey],Table1[Country],Table1[[#This Row],[Country]])</f>
        <v>202301</v>
      </c>
      <c r="F120" s="6">
        <f>Table1[[#This Row],[CountryFirstMonthKey]]</f>
        <v>202301</v>
      </c>
      <c r="G120" s="6">
        <f>12*(INT(Table1[[#This Row],[OrderMonthKey]]/100)-INT(Table1[[#This Row],[CohortMonthKey]]/100)) + (MOD(Table1[[#This Row],[OrderMonthKey]],100)-MOD(Table1[[#This Row],[CohortMonthKey]],100))</f>
        <v>5</v>
      </c>
      <c r="H120" s="3" t="str">
        <f>TEXT(Table1[[#This Row],[OrderDate]],"MMM-YYYY")</f>
        <v>Jun-2023</v>
      </c>
      <c r="I120" s="3" t="str">
        <f t="shared" si="3"/>
        <v>Q4-2024</v>
      </c>
      <c r="J120" s="26" t="str">
        <f>IF(Table1[[#This Row],[LeadTimeDays]]&lt;=7,"Yes","No")</f>
        <v>No</v>
      </c>
      <c r="K120" s="6">
        <f>_xlfn.DAYS(Table1[[#This Row],[CorrectedRequiredDate]],Table1[[#This Row],[OrderDate]])</f>
        <v>10</v>
      </c>
      <c r="L120" s="3">
        <f>IF(Table1[[#This Row],[RequiredDate]]&lt;Table1[[#This Row],[OrderDate]],Table1[[#This Row],[OrderDate]],Table1[[#This Row],[RequiredDate]])</f>
        <v>45096</v>
      </c>
      <c r="M120" s="3">
        <v>45096</v>
      </c>
      <c r="N120" t="s">
        <v>647</v>
      </c>
      <c r="O120" t="s">
        <v>659</v>
      </c>
      <c r="P120" t="s">
        <v>699</v>
      </c>
      <c r="Q120" t="s">
        <v>706</v>
      </c>
      <c r="R120" t="s">
        <v>707</v>
      </c>
      <c r="S120" t="s">
        <v>721</v>
      </c>
      <c r="T120" t="s">
        <v>732</v>
      </c>
      <c r="U120" t="s">
        <v>852</v>
      </c>
      <c r="V120" s="8">
        <v>339.61</v>
      </c>
      <c r="W120" s="8">
        <v>621.02</v>
      </c>
      <c r="X120" s="8">
        <f t="shared" si="4"/>
        <v>815.10700000000008</v>
      </c>
      <c r="Y120" s="8">
        <f t="shared" si="5"/>
        <v>1620.05</v>
      </c>
      <c r="Z120" s="8" t="str">
        <f>IF(W119 &lt;= X118, "Low",IF(W119 &lt;= Y119, "Medium", "High"))</f>
        <v>High</v>
      </c>
      <c r="AA120">
        <v>7.0999999999999994E-2</v>
      </c>
      <c r="AB120">
        <f>IF(Table1[[#This Row],[DiscountPct]]&gt;0.2,1,0)</f>
        <v>0</v>
      </c>
      <c r="AC120" s="6">
        <v>10</v>
      </c>
      <c r="AD120" s="8">
        <f>Table1[[#This Row],[UnitPrice]]*Table1[[#This Row],[Quantity]]</f>
        <v>6210.2</v>
      </c>
      <c r="AE120" s="8">
        <f>Table1[[#This Row],[UnitCost]]*Table1[[#This Row],[Quantity]]</f>
        <v>3396.1000000000004</v>
      </c>
      <c r="AF120" s="8">
        <f>Table1[[#This Row],[GrossRevenue]]-Table1[[#This Row],[CostOfGoods]]</f>
        <v>2814.0999999999995</v>
      </c>
      <c r="AG120" s="9">
        <f>IF(Table1[[#This Row],[GrossRevenue]]=0,0,Table1[[#This Row],[GrossProfit]]/Table1[[#This Row],[GrossRevenue]])</f>
        <v>0.45314160574538653</v>
      </c>
    </row>
    <row r="121" spans="1:33" x14ac:dyDescent="0.45">
      <c r="A121" t="s">
        <v>134</v>
      </c>
      <c r="B121">
        <v>1</v>
      </c>
      <c r="C121" s="3">
        <v>45847</v>
      </c>
      <c r="D121" s="6">
        <f>YEAR(Table1[[#This Row],[OrderDate]]) * 100 + MONTH(Table1[[#This Row],[OrderDate]])</f>
        <v>202507</v>
      </c>
      <c r="E121" s="6">
        <f>_xlfn.MINIFS(Table1[OrderMonthKey],Table1[Country],Table1[[#This Row],[Country]])</f>
        <v>202301</v>
      </c>
      <c r="F121" s="6">
        <f>Table1[[#This Row],[CountryFirstMonthKey]]</f>
        <v>202301</v>
      </c>
      <c r="G121" s="6">
        <f>12*(INT(Table1[[#This Row],[OrderMonthKey]]/100)-INT(Table1[[#This Row],[CohortMonthKey]]/100)) + (MOD(Table1[[#This Row],[OrderMonthKey]],100)-MOD(Table1[[#This Row],[CohortMonthKey]],100))</f>
        <v>30</v>
      </c>
      <c r="H121" s="3" t="str">
        <f>TEXT(Table1[[#This Row],[OrderDate]],"MMM-YYYY")</f>
        <v>Jul-2025</v>
      </c>
      <c r="I121" s="3" t="str">
        <f t="shared" si="3"/>
        <v>Q2-2023</v>
      </c>
      <c r="J121" s="26" t="str">
        <f>IF(Table1[[#This Row],[LeadTimeDays]]&lt;=7,"Yes","No")</f>
        <v>No</v>
      </c>
      <c r="K121" s="6">
        <f>_xlfn.DAYS(Table1[[#This Row],[CorrectedRequiredDate]],Table1[[#This Row],[OrderDate]])</f>
        <v>9</v>
      </c>
      <c r="L121" s="3">
        <f>IF(Table1[[#This Row],[RequiredDate]]&lt;Table1[[#This Row],[OrderDate]],Table1[[#This Row],[OrderDate]],Table1[[#This Row],[RequiredDate]])</f>
        <v>45856</v>
      </c>
      <c r="M121" s="3">
        <v>45856</v>
      </c>
      <c r="N121" t="s">
        <v>648</v>
      </c>
      <c r="O121" t="s">
        <v>653</v>
      </c>
      <c r="P121" t="s">
        <v>688</v>
      </c>
      <c r="Q121" t="s">
        <v>702</v>
      </c>
      <c r="R121" t="s">
        <v>710</v>
      </c>
      <c r="S121" t="s">
        <v>714</v>
      </c>
      <c r="T121" t="s">
        <v>731</v>
      </c>
      <c r="U121" t="s">
        <v>853</v>
      </c>
      <c r="V121" s="8">
        <v>57.96</v>
      </c>
      <c r="W121" s="8">
        <v>88.51</v>
      </c>
      <c r="X121" s="8">
        <f t="shared" si="4"/>
        <v>815.10700000000008</v>
      </c>
      <c r="Y121" s="8">
        <f t="shared" si="5"/>
        <v>1620.05</v>
      </c>
      <c r="Z121" s="8" t="str">
        <f>IF(W120 &lt;= X119, "Low",IF(W120 &lt;= Y120, "Medium", "High"))</f>
        <v>Low</v>
      </c>
      <c r="AA121">
        <v>4.2999999999999997E-2</v>
      </c>
      <c r="AB121">
        <f>IF(Table1[[#This Row],[DiscountPct]]&gt;0.2,1,0)</f>
        <v>0</v>
      </c>
      <c r="AC121" s="6">
        <v>7</v>
      </c>
      <c r="AD121" s="8">
        <f>Table1[[#This Row],[UnitPrice]]*Table1[[#This Row],[Quantity]]</f>
        <v>619.57000000000005</v>
      </c>
      <c r="AE121" s="8">
        <f>Table1[[#This Row],[UnitCost]]*Table1[[#This Row],[Quantity]]</f>
        <v>405.72</v>
      </c>
      <c r="AF121" s="8">
        <f>Table1[[#This Row],[GrossRevenue]]-Table1[[#This Row],[CostOfGoods]]</f>
        <v>213.85000000000002</v>
      </c>
      <c r="AG121" s="9">
        <f>IF(Table1[[#This Row],[GrossRevenue]]=0,0,Table1[[#This Row],[GrossProfit]]/Table1[[#This Row],[GrossRevenue]])</f>
        <v>0.34515873912552253</v>
      </c>
    </row>
    <row r="122" spans="1:33" x14ac:dyDescent="0.45">
      <c r="A122" t="s">
        <v>135</v>
      </c>
      <c r="B122">
        <v>1</v>
      </c>
      <c r="C122" s="3">
        <v>45827</v>
      </c>
      <c r="D122" s="6">
        <f>YEAR(Table1[[#This Row],[OrderDate]]) * 100 + MONTH(Table1[[#This Row],[OrderDate]])</f>
        <v>202506</v>
      </c>
      <c r="E122" s="6">
        <f>_xlfn.MINIFS(Table1[OrderMonthKey],Table1[Country],Table1[[#This Row],[Country]])</f>
        <v>202301</v>
      </c>
      <c r="F122" s="6">
        <f>Table1[[#This Row],[CountryFirstMonthKey]]</f>
        <v>202301</v>
      </c>
      <c r="G122" s="6">
        <f>12*(INT(Table1[[#This Row],[OrderMonthKey]]/100)-INT(Table1[[#This Row],[CohortMonthKey]]/100)) + (MOD(Table1[[#This Row],[OrderMonthKey]],100)-MOD(Table1[[#This Row],[CohortMonthKey]],100))</f>
        <v>29</v>
      </c>
      <c r="H122" s="3" t="str">
        <f>TEXT(Table1[[#This Row],[OrderDate]],"MMM-YYYY")</f>
        <v>Jun-2025</v>
      </c>
      <c r="I122" s="3" t="str">
        <f t="shared" si="3"/>
        <v>Q3-2025</v>
      </c>
      <c r="J122" s="26" t="str">
        <f>IF(Table1[[#This Row],[LeadTimeDays]]&lt;=7,"Yes","No")</f>
        <v>No</v>
      </c>
      <c r="K122" s="6">
        <f>_xlfn.DAYS(Table1[[#This Row],[CorrectedRequiredDate]],Table1[[#This Row],[OrderDate]])</f>
        <v>23</v>
      </c>
      <c r="L122" s="3">
        <f>IF(Table1[[#This Row],[RequiredDate]]&lt;Table1[[#This Row],[OrderDate]],Table1[[#This Row],[OrderDate]],Table1[[#This Row],[RequiredDate]])</f>
        <v>45850</v>
      </c>
      <c r="M122" s="3">
        <v>45850</v>
      </c>
      <c r="N122" t="s">
        <v>649</v>
      </c>
      <c r="O122" t="s">
        <v>658</v>
      </c>
      <c r="P122" t="s">
        <v>693</v>
      </c>
      <c r="Q122" t="s">
        <v>703</v>
      </c>
      <c r="R122" t="s">
        <v>711</v>
      </c>
      <c r="T122" t="s">
        <v>729</v>
      </c>
      <c r="U122" t="s">
        <v>854</v>
      </c>
      <c r="V122" s="8">
        <v>801.24</v>
      </c>
      <c r="W122" s="8">
        <v>1959.09</v>
      </c>
      <c r="X122" s="8">
        <f t="shared" si="4"/>
        <v>815.10700000000008</v>
      </c>
      <c r="Y122" s="8">
        <f t="shared" si="5"/>
        <v>1620.05</v>
      </c>
      <c r="Z122" s="8" t="str">
        <f>IF(W121 &lt;= X120, "Low",IF(W121 &lt;= Y121, "Medium", "High"))</f>
        <v>Low</v>
      </c>
      <c r="AA122">
        <v>0.123</v>
      </c>
      <c r="AB122">
        <f>IF(Table1[[#This Row],[DiscountPct]]&gt;0.2,1,0)</f>
        <v>0</v>
      </c>
      <c r="AC122" s="6">
        <v>23</v>
      </c>
      <c r="AD122" s="8">
        <f>Table1[[#This Row],[UnitPrice]]*Table1[[#This Row],[Quantity]]</f>
        <v>45059.07</v>
      </c>
      <c r="AE122" s="8">
        <f>Table1[[#This Row],[UnitCost]]*Table1[[#This Row],[Quantity]]</f>
        <v>18428.52</v>
      </c>
      <c r="AF122" s="8">
        <f>Table1[[#This Row],[GrossRevenue]]-Table1[[#This Row],[CostOfGoods]]</f>
        <v>26630.55</v>
      </c>
      <c r="AG122" s="9">
        <f>IF(Table1[[#This Row],[GrossRevenue]]=0,0,Table1[[#This Row],[GrossProfit]]/Table1[[#This Row],[GrossRevenue]])</f>
        <v>0.59101419536621591</v>
      </c>
    </row>
    <row r="123" spans="1:33" hidden="1" x14ac:dyDescent="0.45">
      <c r="A123" t="s">
        <v>136</v>
      </c>
      <c r="C123" s="3">
        <v>45249</v>
      </c>
      <c r="D123" s="3">
        <f>YEAR(Table1[[#This Row],[OrderDate]]) * 100 + MONTH(Table1[[#This Row],[OrderDate]])</f>
        <v>202311</v>
      </c>
      <c r="E123" s="3">
        <f>_xlfn.MINIFS(Table1[OrderMonthKey],Table1[Country],Table1[[#This Row],[Country]])</f>
        <v>202301</v>
      </c>
      <c r="F123" s="3">
        <f>Table1[[#This Row],[CountryFirstMonthKey]]</f>
        <v>202301</v>
      </c>
      <c r="G123" s="3">
        <f>12*(INT(Table1[[#This Row],[OrderMonthKey]]/100)-INT(Table1[[#This Row],[CohortMonthKey]]/100)) + (MOD(Table1[[#This Row],[OrderMonthKey]],100)-MOD(Table1[[#This Row],[CohortMonthKey]],100))</f>
        <v>10</v>
      </c>
      <c r="H123" s="3" t="str">
        <f>TEXT(Table1[[#This Row],[OrderDate]],"MMM-YYYY")</f>
        <v>Nov-2023</v>
      </c>
      <c r="I123" s="3" t="str">
        <f t="shared" si="3"/>
        <v>Q2-2025</v>
      </c>
      <c r="J123" s="3" t="str">
        <f>IF(Table1[[#This Row],[LeadTimeDays]]&lt;=7,"Yes","No")</f>
        <v>No</v>
      </c>
      <c r="K123" s="3">
        <f>_xlfn.DAYS(Table1[[#This Row],[CorrectedRequiredDate]],Table1[[#This Row],[OrderDate]])</f>
        <v>24</v>
      </c>
      <c r="L123" s="3">
        <f>IF(Table1[[#This Row],[RequiredDate]]&lt;Table1[[#This Row],[OrderDate]],Table1[[#This Row],[OrderDate]],Table1[[#This Row],[RequiredDate]])</f>
        <v>45273</v>
      </c>
      <c r="M123" s="3">
        <v>45273</v>
      </c>
      <c r="N123" t="s">
        <v>649</v>
      </c>
      <c r="O123" t="s">
        <v>657</v>
      </c>
      <c r="P123" t="s">
        <v>679</v>
      </c>
      <c r="Q123" t="s">
        <v>703</v>
      </c>
      <c r="R123" t="s">
        <v>711</v>
      </c>
      <c r="S123" t="s">
        <v>722</v>
      </c>
      <c r="T123" t="s">
        <v>732</v>
      </c>
      <c r="U123" t="s">
        <v>855</v>
      </c>
      <c r="V123" s="8">
        <v>1297.42</v>
      </c>
      <c r="W123" s="8">
        <v>2742.97</v>
      </c>
      <c r="X123" s="8">
        <f t="shared" si="4"/>
        <v>815.10700000000008</v>
      </c>
      <c r="Y123" s="8">
        <f t="shared" si="5"/>
        <v>1620.05</v>
      </c>
      <c r="AA123">
        <v>6.9000000000000006E-2</v>
      </c>
      <c r="AB123">
        <f>IF(Table1[[#This Row],[DiscountPct]]&gt;0.2,1,0)</f>
        <v>0</v>
      </c>
      <c r="AC123" s="6">
        <v>9</v>
      </c>
      <c r="AD123" s="8">
        <f>Table1[[#This Row],[UnitPrice]]*Table1[[#This Row],[Quantity]]</f>
        <v>24686.73</v>
      </c>
      <c r="AE123" s="8">
        <f>Table1[[#This Row],[UnitCost]]*Table1[[#This Row],[Quantity]]</f>
        <v>11676.78</v>
      </c>
      <c r="AF123" s="8">
        <f>Table1[[#This Row],[GrossRevenue]]-Table1[[#This Row],[CostOfGoods]]</f>
        <v>13009.949999999999</v>
      </c>
      <c r="AG123" s="8">
        <f>IF(Table1[[#This Row],[GrossRevenue]]=0,0,Table1[[#This Row],[GrossProfit]]/Table1[[#This Row],[GrossRevenue]])</f>
        <v>0.52700175357368106</v>
      </c>
    </row>
    <row r="124" spans="1:33" hidden="1" x14ac:dyDescent="0.45">
      <c r="A124" t="s">
        <v>137</v>
      </c>
      <c r="C124" s="3">
        <v>45289</v>
      </c>
      <c r="D124" s="3">
        <f>YEAR(Table1[[#This Row],[OrderDate]]) * 100 + MONTH(Table1[[#This Row],[OrderDate]])</f>
        <v>202312</v>
      </c>
      <c r="E124" s="3">
        <f>_xlfn.MINIFS(Table1[OrderMonthKey],Table1[Country],Table1[[#This Row],[Country]])</f>
        <v>202301</v>
      </c>
      <c r="F124" s="3">
        <f>Table1[[#This Row],[CountryFirstMonthKey]]</f>
        <v>202301</v>
      </c>
      <c r="G124" s="3">
        <f>12*(INT(Table1[[#This Row],[OrderMonthKey]]/100)-INT(Table1[[#This Row],[CohortMonthKey]]/100)) + (MOD(Table1[[#This Row],[OrderMonthKey]],100)-MOD(Table1[[#This Row],[CohortMonthKey]],100))</f>
        <v>11</v>
      </c>
      <c r="H124" s="3" t="str">
        <f>TEXT(Table1[[#This Row],[OrderDate]],"MMM-YYYY")</f>
        <v>Dec-2023</v>
      </c>
      <c r="I124" s="3" t="str">
        <f t="shared" si="3"/>
        <v>Q4-2023</v>
      </c>
      <c r="J124" s="3" t="str">
        <f>IF(Table1[[#This Row],[LeadTimeDays]]&lt;=7,"Yes","No")</f>
        <v>No</v>
      </c>
      <c r="K124" s="3">
        <f>_xlfn.DAYS(Table1[[#This Row],[CorrectedRequiredDate]],Table1[[#This Row],[OrderDate]])</f>
        <v>22</v>
      </c>
      <c r="L124" s="3">
        <f>IF(Table1[[#This Row],[RequiredDate]]&lt;Table1[[#This Row],[OrderDate]],Table1[[#This Row],[OrderDate]],Table1[[#This Row],[RequiredDate]])</f>
        <v>45311</v>
      </c>
      <c r="M124" s="3">
        <v>45311</v>
      </c>
      <c r="N124" t="s">
        <v>646</v>
      </c>
      <c r="O124" t="s">
        <v>650</v>
      </c>
      <c r="P124" t="s">
        <v>662</v>
      </c>
      <c r="Q124" t="s">
        <v>701</v>
      </c>
      <c r="R124" t="s">
        <v>711</v>
      </c>
      <c r="S124" t="s">
        <v>716</v>
      </c>
      <c r="T124" t="s">
        <v>730</v>
      </c>
      <c r="U124" t="s">
        <v>856</v>
      </c>
      <c r="V124" s="8">
        <v>1395.49</v>
      </c>
      <c r="W124" s="8">
        <v>1679.42</v>
      </c>
      <c r="X124" s="8">
        <f t="shared" si="4"/>
        <v>815.10700000000008</v>
      </c>
      <c r="Y124" s="8">
        <f t="shared" si="5"/>
        <v>1620.05</v>
      </c>
      <c r="AA124">
        <v>0.20300000000000001</v>
      </c>
      <c r="AB124">
        <f>IF(Table1[[#This Row],[DiscountPct]]&gt;0.2,1,0)</f>
        <v>1</v>
      </c>
      <c r="AC124" s="6">
        <v>12</v>
      </c>
      <c r="AD124" s="8">
        <f>Table1[[#This Row],[UnitPrice]]*Table1[[#This Row],[Quantity]]</f>
        <v>20153.04</v>
      </c>
      <c r="AE124" s="8">
        <f>Table1[[#This Row],[UnitCost]]*Table1[[#This Row],[Quantity]]</f>
        <v>16745.88</v>
      </c>
      <c r="AF124" s="8">
        <f>Table1[[#This Row],[GrossRevenue]]-Table1[[#This Row],[CostOfGoods]]</f>
        <v>3407.16</v>
      </c>
      <c r="AG124" s="8">
        <f>IF(Table1[[#This Row],[GrossRevenue]]=0,0,Table1[[#This Row],[GrossProfit]]/Table1[[#This Row],[GrossRevenue]])</f>
        <v>0.16906431982470138</v>
      </c>
    </row>
    <row r="125" spans="1:33" x14ac:dyDescent="0.45">
      <c r="A125" t="s">
        <v>138</v>
      </c>
      <c r="B125">
        <v>1</v>
      </c>
      <c r="C125" s="3">
        <v>45598</v>
      </c>
      <c r="D125" s="6">
        <f>YEAR(Table1[[#This Row],[OrderDate]]) * 100 + MONTH(Table1[[#This Row],[OrderDate]])</f>
        <v>202411</v>
      </c>
      <c r="E125" s="6">
        <f>_xlfn.MINIFS(Table1[OrderMonthKey],Table1[Country],Table1[[#This Row],[Country]])</f>
        <v>202301</v>
      </c>
      <c r="F125" s="6">
        <f>Table1[[#This Row],[CountryFirstMonthKey]]</f>
        <v>202301</v>
      </c>
      <c r="G125" s="6">
        <f>12*(INT(Table1[[#This Row],[OrderMonthKey]]/100)-INT(Table1[[#This Row],[CohortMonthKey]]/100)) + (MOD(Table1[[#This Row],[OrderMonthKey]],100)-MOD(Table1[[#This Row],[CohortMonthKey]],100))</f>
        <v>22</v>
      </c>
      <c r="H125" s="3" t="str">
        <f>TEXT(Table1[[#This Row],[OrderDate]],"MMM-YYYY")</f>
        <v>Nov-2024</v>
      </c>
      <c r="I125" s="3" t="str">
        <f t="shared" si="3"/>
        <v>Q4-2023</v>
      </c>
      <c r="J125" s="26" t="str">
        <f>IF(Table1[[#This Row],[LeadTimeDays]]&lt;=7,"Yes","No")</f>
        <v>No</v>
      </c>
      <c r="K125" s="6">
        <f>_xlfn.DAYS(Table1[[#This Row],[CorrectedRequiredDate]],Table1[[#This Row],[OrderDate]])</f>
        <v>27</v>
      </c>
      <c r="L125" s="3">
        <f>IF(Table1[[#This Row],[RequiredDate]]&lt;Table1[[#This Row],[OrderDate]],Table1[[#This Row],[OrderDate]],Table1[[#This Row],[RequiredDate]])</f>
        <v>45625</v>
      </c>
      <c r="M125" s="3">
        <v>45625</v>
      </c>
      <c r="N125" t="s">
        <v>648</v>
      </c>
      <c r="O125" t="s">
        <v>655</v>
      </c>
      <c r="P125" t="s">
        <v>672</v>
      </c>
      <c r="Q125" t="s">
        <v>705</v>
      </c>
      <c r="R125" t="s">
        <v>711</v>
      </c>
      <c r="S125" t="s">
        <v>714</v>
      </c>
      <c r="T125" t="s">
        <v>729</v>
      </c>
      <c r="U125" t="s">
        <v>857</v>
      </c>
      <c r="V125" s="8">
        <v>1363.51</v>
      </c>
      <c r="W125" s="8">
        <v>1433.9</v>
      </c>
      <c r="X125" s="8">
        <f t="shared" si="4"/>
        <v>815.10700000000008</v>
      </c>
      <c r="Y125" s="8">
        <f t="shared" si="5"/>
        <v>1620.05</v>
      </c>
      <c r="Z125" s="8" t="str">
        <f>IF(W124 &lt;= X123, "Low",IF(W124 &lt;= Y124, "Medium", "High"))</f>
        <v>High</v>
      </c>
      <c r="AA125">
        <v>5.7000000000000002E-2</v>
      </c>
      <c r="AB125">
        <f>IF(Table1[[#This Row],[DiscountPct]]&gt;0.2,1,0)</f>
        <v>0</v>
      </c>
      <c r="AC125" s="6">
        <v>8</v>
      </c>
      <c r="AD125" s="8">
        <f>Table1[[#This Row],[UnitPrice]]*Table1[[#This Row],[Quantity]]</f>
        <v>11471.2</v>
      </c>
      <c r="AE125" s="8">
        <f>Table1[[#This Row],[UnitCost]]*Table1[[#This Row],[Quantity]]</f>
        <v>10908.08</v>
      </c>
      <c r="AF125" s="8">
        <f>Table1[[#This Row],[GrossRevenue]]-Table1[[#This Row],[CostOfGoods]]</f>
        <v>563.1200000000008</v>
      </c>
      <c r="AG125" s="9">
        <f>IF(Table1[[#This Row],[GrossRevenue]]=0,0,Table1[[#This Row],[GrossProfit]]/Table1[[#This Row],[GrossRevenue]])</f>
        <v>4.9089894692795941E-2</v>
      </c>
    </row>
    <row r="126" spans="1:33" x14ac:dyDescent="0.45">
      <c r="A126" t="s">
        <v>139</v>
      </c>
      <c r="B126">
        <v>1</v>
      </c>
      <c r="C126" s="3">
        <v>45159</v>
      </c>
      <c r="D126" s="6">
        <f>YEAR(Table1[[#This Row],[OrderDate]]) * 100 + MONTH(Table1[[#This Row],[OrderDate]])</f>
        <v>202308</v>
      </c>
      <c r="E126" s="6">
        <f>_xlfn.MINIFS(Table1[OrderMonthKey],Table1[Country],Table1[[#This Row],[Country]])</f>
        <v>202301</v>
      </c>
      <c r="F126" s="6">
        <f>Table1[[#This Row],[CountryFirstMonthKey]]</f>
        <v>202301</v>
      </c>
      <c r="G126" s="6">
        <f>12*(INT(Table1[[#This Row],[OrderMonthKey]]/100)-INT(Table1[[#This Row],[CohortMonthKey]]/100)) + (MOD(Table1[[#This Row],[OrderMonthKey]],100)-MOD(Table1[[#This Row],[CohortMonthKey]],100))</f>
        <v>7</v>
      </c>
      <c r="H126" s="3" t="str">
        <f>TEXT(Table1[[#This Row],[OrderDate]],"MMM-YYYY")</f>
        <v>Aug-2023</v>
      </c>
      <c r="I126" s="3" t="str">
        <f t="shared" si="3"/>
        <v>Q4-2024</v>
      </c>
      <c r="J126" s="26" t="str">
        <f>IF(Table1[[#This Row],[LeadTimeDays]]&lt;=7,"Yes","No")</f>
        <v>No</v>
      </c>
      <c r="K126" s="6">
        <f>_xlfn.DAYS(Table1[[#This Row],[CorrectedRequiredDate]],Table1[[#This Row],[OrderDate]])</f>
        <v>14</v>
      </c>
      <c r="L126" s="3">
        <f>IF(Table1[[#This Row],[RequiredDate]]&lt;Table1[[#This Row],[OrderDate]],Table1[[#This Row],[OrderDate]],Table1[[#This Row],[RequiredDate]])</f>
        <v>45173</v>
      </c>
      <c r="M126" s="3">
        <v>45173</v>
      </c>
      <c r="N126" t="s">
        <v>648</v>
      </c>
      <c r="O126" t="s">
        <v>653</v>
      </c>
      <c r="P126" t="s">
        <v>681</v>
      </c>
      <c r="Q126" t="s">
        <v>702</v>
      </c>
      <c r="R126" t="s">
        <v>710</v>
      </c>
      <c r="S126" t="s">
        <v>721</v>
      </c>
      <c r="T126" t="s">
        <v>727</v>
      </c>
      <c r="U126" t="s">
        <v>858</v>
      </c>
      <c r="V126" s="8">
        <v>178.19</v>
      </c>
      <c r="W126" s="8">
        <v>284.43</v>
      </c>
      <c r="X126" s="8">
        <f t="shared" si="4"/>
        <v>815.10700000000008</v>
      </c>
      <c r="Y126" s="8">
        <f t="shared" si="5"/>
        <v>1620.05</v>
      </c>
      <c r="Z126" s="8" t="str">
        <f>IF(W125 &lt;= X124, "Low",IF(W125 &lt;= Y125, "Medium", "High"))</f>
        <v>Medium</v>
      </c>
      <c r="AA126">
        <v>8.8999999999999996E-2</v>
      </c>
      <c r="AB126">
        <f>IF(Table1[[#This Row],[DiscountPct]]&gt;0.2,1,0)</f>
        <v>0</v>
      </c>
      <c r="AC126" s="6">
        <v>8</v>
      </c>
      <c r="AD126" s="8">
        <f>Table1[[#This Row],[UnitPrice]]*Table1[[#This Row],[Quantity]]</f>
        <v>2275.44</v>
      </c>
      <c r="AE126" s="8">
        <f>Table1[[#This Row],[UnitCost]]*Table1[[#This Row],[Quantity]]</f>
        <v>1425.52</v>
      </c>
      <c r="AF126" s="8">
        <f>Table1[[#This Row],[GrossRevenue]]-Table1[[#This Row],[CostOfGoods]]</f>
        <v>849.92000000000007</v>
      </c>
      <c r="AG126" s="9">
        <f>IF(Table1[[#This Row],[GrossRevenue]]=0,0,Table1[[#This Row],[GrossProfit]]/Table1[[#This Row],[GrossRevenue]])</f>
        <v>0.37351896776008159</v>
      </c>
    </row>
    <row r="127" spans="1:33" x14ac:dyDescent="0.45">
      <c r="A127" t="s">
        <v>140</v>
      </c>
      <c r="B127">
        <v>1</v>
      </c>
      <c r="C127" s="3">
        <v>45150</v>
      </c>
      <c r="D127" s="6">
        <f>YEAR(Table1[[#This Row],[OrderDate]]) * 100 + MONTH(Table1[[#This Row],[OrderDate]])</f>
        <v>202308</v>
      </c>
      <c r="E127" s="6">
        <f>_xlfn.MINIFS(Table1[OrderMonthKey],Table1[Country],Table1[[#This Row],[Country]])</f>
        <v>202301</v>
      </c>
      <c r="F127" s="6">
        <f>Table1[[#This Row],[CountryFirstMonthKey]]</f>
        <v>202301</v>
      </c>
      <c r="G127" s="6">
        <f>12*(INT(Table1[[#This Row],[OrderMonthKey]]/100)-INT(Table1[[#This Row],[CohortMonthKey]]/100)) + (MOD(Table1[[#This Row],[OrderMonthKey]],100)-MOD(Table1[[#This Row],[CohortMonthKey]],100))</f>
        <v>7</v>
      </c>
      <c r="H127" s="3" t="str">
        <f>TEXT(Table1[[#This Row],[OrderDate]],"MMM-YYYY")</f>
        <v>Aug-2023</v>
      </c>
      <c r="I127" s="3" t="str">
        <f t="shared" si="3"/>
        <v>Q3-2023</v>
      </c>
      <c r="J127" s="26" t="str">
        <f>IF(Table1[[#This Row],[LeadTimeDays]]&lt;=7,"Yes","No")</f>
        <v>No</v>
      </c>
      <c r="K127" s="6">
        <f>_xlfn.DAYS(Table1[[#This Row],[CorrectedRequiredDate]],Table1[[#This Row],[OrderDate]])</f>
        <v>25</v>
      </c>
      <c r="L127" s="3">
        <f>IF(Table1[[#This Row],[RequiredDate]]&lt;Table1[[#This Row],[OrderDate]],Table1[[#This Row],[OrderDate]],Table1[[#This Row],[RequiredDate]])</f>
        <v>45175</v>
      </c>
      <c r="M127" s="3">
        <v>45175</v>
      </c>
      <c r="N127" t="s">
        <v>647</v>
      </c>
      <c r="O127" t="s">
        <v>659</v>
      </c>
      <c r="P127" t="s">
        <v>685</v>
      </c>
      <c r="Q127" t="s">
        <v>705</v>
      </c>
      <c r="R127" t="s">
        <v>707</v>
      </c>
      <c r="S127" t="s">
        <v>717</v>
      </c>
      <c r="T127" t="s">
        <v>727</v>
      </c>
      <c r="U127" t="s">
        <v>859</v>
      </c>
      <c r="V127" s="8">
        <v>950.77</v>
      </c>
      <c r="W127" s="8">
        <v>694.78</v>
      </c>
      <c r="X127" s="8">
        <f t="shared" si="4"/>
        <v>815.10700000000008</v>
      </c>
      <c r="Y127" s="8">
        <f t="shared" si="5"/>
        <v>1620.05</v>
      </c>
      <c r="Z127" s="8" t="str">
        <f>IF(W126 &lt;= X125, "Low",IF(W126 &lt;= Y126, "Medium", "High"))</f>
        <v>Low</v>
      </c>
      <c r="AA127">
        <v>8.4000000000000005E-2</v>
      </c>
      <c r="AB127">
        <f>IF(Table1[[#This Row],[DiscountPct]]&gt;0.2,1,0)</f>
        <v>0</v>
      </c>
      <c r="AC127" s="6">
        <v>14</v>
      </c>
      <c r="AD127" s="8">
        <f>Table1[[#This Row],[UnitPrice]]*Table1[[#This Row],[Quantity]]</f>
        <v>9726.92</v>
      </c>
      <c r="AE127" s="8">
        <f>Table1[[#This Row],[UnitCost]]*Table1[[#This Row],[Quantity]]</f>
        <v>13310.779999999999</v>
      </c>
      <c r="AF127" s="8">
        <f>Table1[[#This Row],[GrossRevenue]]-Table1[[#This Row],[CostOfGoods]]</f>
        <v>-3583.8599999999988</v>
      </c>
      <c r="AG127" s="9">
        <f>IF(Table1[[#This Row],[GrossRevenue]]=0,0,Table1[[#This Row],[GrossProfit]]/Table1[[#This Row],[GrossRevenue]])</f>
        <v>-0.36844756613604296</v>
      </c>
    </row>
    <row r="128" spans="1:33" hidden="1" x14ac:dyDescent="0.45">
      <c r="A128" t="s">
        <v>141</v>
      </c>
      <c r="C128" s="3">
        <v>45450</v>
      </c>
      <c r="D128" s="3">
        <f>YEAR(Table1[[#This Row],[OrderDate]]) * 100 + MONTH(Table1[[#This Row],[OrderDate]])</f>
        <v>202406</v>
      </c>
      <c r="E128" s="3">
        <f>_xlfn.MINIFS(Table1[OrderMonthKey],Table1[Country],Table1[[#This Row],[Country]])</f>
        <v>202301</v>
      </c>
      <c r="F128" s="3">
        <f>Table1[[#This Row],[CountryFirstMonthKey]]</f>
        <v>202301</v>
      </c>
      <c r="G128" s="3">
        <f>12*(INT(Table1[[#This Row],[OrderMonthKey]]/100)-INT(Table1[[#This Row],[CohortMonthKey]]/100)) + (MOD(Table1[[#This Row],[OrderMonthKey]],100)-MOD(Table1[[#This Row],[CohortMonthKey]],100))</f>
        <v>17</v>
      </c>
      <c r="H128" s="3" t="str">
        <f>TEXT(Table1[[#This Row],[OrderDate]],"MMM-YYYY")</f>
        <v>Jun-2024</v>
      </c>
      <c r="I128" s="3" t="str">
        <f t="shared" si="3"/>
        <v>Q3-2023</v>
      </c>
      <c r="J128" s="3" t="str">
        <f>IF(Table1[[#This Row],[LeadTimeDays]]&lt;=7,"Yes","No")</f>
        <v>No</v>
      </c>
      <c r="K128" s="3">
        <f>_xlfn.DAYS(Table1[[#This Row],[CorrectedRequiredDate]],Table1[[#This Row],[OrderDate]])</f>
        <v>19</v>
      </c>
      <c r="L128" s="3">
        <f>IF(Table1[[#This Row],[RequiredDate]]&lt;Table1[[#This Row],[OrderDate]],Table1[[#This Row],[OrderDate]],Table1[[#This Row],[RequiredDate]])</f>
        <v>45469</v>
      </c>
      <c r="M128" s="3">
        <v>45469</v>
      </c>
      <c r="N128" t="s">
        <v>649</v>
      </c>
      <c r="O128" t="s">
        <v>656</v>
      </c>
      <c r="P128" t="s">
        <v>671</v>
      </c>
      <c r="Q128" t="s">
        <v>703</v>
      </c>
      <c r="R128" t="s">
        <v>709</v>
      </c>
      <c r="S128" t="s">
        <v>724</v>
      </c>
      <c r="T128" t="s">
        <v>727</v>
      </c>
      <c r="U128" t="s">
        <v>860</v>
      </c>
      <c r="V128" s="8">
        <v>1064.32</v>
      </c>
      <c r="W128" s="8">
        <v>1848.39</v>
      </c>
      <c r="X128" s="8">
        <f t="shared" si="4"/>
        <v>815.10700000000008</v>
      </c>
      <c r="Y128" s="8">
        <f t="shared" si="5"/>
        <v>1620.05</v>
      </c>
      <c r="AA128">
        <v>7.2999999999999995E-2</v>
      </c>
      <c r="AB128">
        <f>IF(Table1[[#This Row],[DiscountPct]]&gt;0.2,1,0)</f>
        <v>0</v>
      </c>
      <c r="AC128" s="6">
        <v>38</v>
      </c>
      <c r="AD128" s="8">
        <f>Table1[[#This Row],[UnitPrice]]*Table1[[#This Row],[Quantity]]</f>
        <v>70238.820000000007</v>
      </c>
      <c r="AE128" s="8">
        <f>Table1[[#This Row],[UnitCost]]*Table1[[#This Row],[Quantity]]</f>
        <v>40444.159999999996</v>
      </c>
      <c r="AF128" s="8">
        <f>Table1[[#This Row],[GrossRevenue]]-Table1[[#This Row],[CostOfGoods]]</f>
        <v>29794.660000000011</v>
      </c>
      <c r="AG128" s="8">
        <f>IF(Table1[[#This Row],[GrossRevenue]]=0,0,Table1[[#This Row],[GrossProfit]]/Table1[[#This Row],[GrossRevenue]])</f>
        <v>0.42419078224833517</v>
      </c>
    </row>
    <row r="129" spans="1:33" x14ac:dyDescent="0.45">
      <c r="A129" t="s">
        <v>142</v>
      </c>
      <c r="B129">
        <v>1</v>
      </c>
      <c r="C129" s="3">
        <v>45874</v>
      </c>
      <c r="D129" s="6">
        <f>YEAR(Table1[[#This Row],[OrderDate]]) * 100 + MONTH(Table1[[#This Row],[OrderDate]])</f>
        <v>202508</v>
      </c>
      <c r="E129" s="6">
        <f>_xlfn.MINIFS(Table1[OrderMonthKey],Table1[Country],Table1[[#This Row],[Country]])</f>
        <v>202301</v>
      </c>
      <c r="F129" s="6">
        <f>Table1[[#This Row],[CountryFirstMonthKey]]</f>
        <v>202301</v>
      </c>
      <c r="G129" s="6">
        <f>12*(INT(Table1[[#This Row],[OrderMonthKey]]/100)-INT(Table1[[#This Row],[CohortMonthKey]]/100)) + (MOD(Table1[[#This Row],[OrderMonthKey]],100)-MOD(Table1[[#This Row],[CohortMonthKey]],100))</f>
        <v>31</v>
      </c>
      <c r="H129" s="3" t="str">
        <f>TEXT(Table1[[#This Row],[OrderDate]],"MMM-YYYY")</f>
        <v>Aug-2025</v>
      </c>
      <c r="I129" s="3" t="str">
        <f t="shared" si="3"/>
        <v>Q2-2024</v>
      </c>
      <c r="J129" s="26" t="str">
        <f>IF(Table1[[#This Row],[LeadTimeDays]]&lt;=7,"Yes","No")</f>
        <v>No</v>
      </c>
      <c r="K129" s="6">
        <f>_xlfn.DAYS(Table1[[#This Row],[CorrectedRequiredDate]],Table1[[#This Row],[OrderDate]])</f>
        <v>9</v>
      </c>
      <c r="L129" s="3">
        <f>IF(Table1[[#This Row],[RequiredDate]]&lt;Table1[[#This Row],[OrderDate]],Table1[[#This Row],[OrderDate]],Table1[[#This Row],[RequiredDate]])</f>
        <v>45883</v>
      </c>
      <c r="M129" s="3">
        <v>45883</v>
      </c>
      <c r="N129" t="s">
        <v>649</v>
      </c>
      <c r="O129" t="s">
        <v>658</v>
      </c>
      <c r="P129" t="s">
        <v>683</v>
      </c>
      <c r="Q129" t="s">
        <v>703</v>
      </c>
      <c r="R129" t="s">
        <v>711</v>
      </c>
      <c r="S129" t="s">
        <v>718</v>
      </c>
      <c r="T129" t="s">
        <v>727</v>
      </c>
      <c r="U129" t="s">
        <v>861</v>
      </c>
      <c r="V129" s="8">
        <v>41.76</v>
      </c>
      <c r="W129" s="8">
        <v>45.19</v>
      </c>
      <c r="X129" s="8">
        <f t="shared" si="4"/>
        <v>815.10700000000008</v>
      </c>
      <c r="Y129" s="8">
        <f t="shared" si="5"/>
        <v>1620.05</v>
      </c>
      <c r="Z129" s="8" t="str">
        <f>IF(W128 &lt;= X127, "Low",IF(W128 &lt;= Y128, "Medium", "High"))</f>
        <v>High</v>
      </c>
      <c r="AA129">
        <v>0.17899999999999999</v>
      </c>
      <c r="AB129">
        <f>IF(Table1[[#This Row],[DiscountPct]]&gt;0.2,1,0)</f>
        <v>0</v>
      </c>
      <c r="AC129" s="6">
        <v>23</v>
      </c>
      <c r="AD129" s="8">
        <f>Table1[[#This Row],[UnitPrice]]*Table1[[#This Row],[Quantity]]</f>
        <v>1039.3699999999999</v>
      </c>
      <c r="AE129" s="8">
        <f>Table1[[#This Row],[UnitCost]]*Table1[[#This Row],[Quantity]]</f>
        <v>960.4799999999999</v>
      </c>
      <c r="AF129" s="8">
        <f>Table1[[#This Row],[GrossRevenue]]-Table1[[#This Row],[CostOfGoods]]</f>
        <v>78.889999999999986</v>
      </c>
      <c r="AG129" s="9">
        <f>IF(Table1[[#This Row],[GrossRevenue]]=0,0,Table1[[#This Row],[GrossProfit]]/Table1[[#This Row],[GrossRevenue]])</f>
        <v>7.5901748174374853E-2</v>
      </c>
    </row>
    <row r="130" spans="1:33" hidden="1" x14ac:dyDescent="0.45">
      <c r="A130" t="s">
        <v>143</v>
      </c>
      <c r="C130" s="3">
        <v>45442</v>
      </c>
      <c r="D130" s="3">
        <f>YEAR(Table1[[#This Row],[OrderDate]]) * 100 + MONTH(Table1[[#This Row],[OrderDate]])</f>
        <v>202405</v>
      </c>
      <c r="E130" s="3">
        <f>_xlfn.MINIFS(Table1[OrderMonthKey],Table1[Country],Table1[[#This Row],[Country]])</f>
        <v>202301</v>
      </c>
      <c r="F130" s="3">
        <f>Table1[[#This Row],[CountryFirstMonthKey]]</f>
        <v>202301</v>
      </c>
      <c r="G130" s="3">
        <f>12*(INT(Table1[[#This Row],[OrderMonthKey]]/100)-INT(Table1[[#This Row],[CohortMonthKey]]/100)) + (MOD(Table1[[#This Row],[OrderMonthKey]],100)-MOD(Table1[[#This Row],[CohortMonthKey]],100))</f>
        <v>16</v>
      </c>
      <c r="H130" s="3" t="str">
        <f>TEXT(Table1[[#This Row],[OrderDate]],"MMM-YYYY")</f>
        <v>May-2024</v>
      </c>
      <c r="I130" s="3" t="str">
        <f t="shared" ref="I130:I193" si="6">"Q" &amp; ROUNDUP(MONTH(C129)/3,0) &amp; "-" &amp; YEAR(C129)</f>
        <v>Q3-2025</v>
      </c>
      <c r="J130" s="3" t="str">
        <f>IF(Table1[[#This Row],[LeadTimeDays]]&lt;=7,"Yes","No")</f>
        <v>No</v>
      </c>
      <c r="K130" s="3">
        <f>_xlfn.DAYS(Table1[[#This Row],[CorrectedRequiredDate]],Table1[[#This Row],[OrderDate]])</f>
        <v>14</v>
      </c>
      <c r="L130" s="3">
        <f>IF(Table1[[#This Row],[RequiredDate]]&lt;Table1[[#This Row],[OrderDate]],Table1[[#This Row],[OrderDate]],Table1[[#This Row],[RequiredDate]])</f>
        <v>45456</v>
      </c>
      <c r="M130" s="3">
        <v>45456</v>
      </c>
      <c r="N130" t="s">
        <v>648</v>
      </c>
      <c r="O130" t="s">
        <v>660</v>
      </c>
      <c r="P130" t="s">
        <v>686</v>
      </c>
      <c r="Q130" t="s">
        <v>705</v>
      </c>
      <c r="R130" t="s">
        <v>707</v>
      </c>
      <c r="S130" t="s">
        <v>721</v>
      </c>
      <c r="T130" t="s">
        <v>730</v>
      </c>
      <c r="U130" t="s">
        <v>862</v>
      </c>
      <c r="V130" s="8">
        <v>157.78</v>
      </c>
      <c r="W130" s="8">
        <v>361.1</v>
      </c>
      <c r="X130" s="8">
        <f t="shared" ref="X130:X193" si="7">_xlfn.PERCENTILE.INC(W:W, 0.33)</f>
        <v>815.10700000000008</v>
      </c>
      <c r="Y130" s="8">
        <f t="shared" ref="Y130:Y193" si="8">_xlfn.PERCENTILE.INC(W:W, 0.66)</f>
        <v>1620.05</v>
      </c>
      <c r="AA130">
        <v>0.187</v>
      </c>
      <c r="AB130">
        <f>IF(Table1[[#This Row],[DiscountPct]]&gt;0.2,1,0)</f>
        <v>0</v>
      </c>
      <c r="AC130" s="6">
        <v>9</v>
      </c>
      <c r="AD130" s="8">
        <f>Table1[[#This Row],[UnitPrice]]*Table1[[#This Row],[Quantity]]</f>
        <v>3249.9</v>
      </c>
      <c r="AE130" s="8">
        <f>Table1[[#This Row],[UnitCost]]*Table1[[#This Row],[Quantity]]</f>
        <v>1420.02</v>
      </c>
      <c r="AF130" s="8">
        <f>Table1[[#This Row],[GrossRevenue]]-Table1[[#This Row],[CostOfGoods]]</f>
        <v>1829.88</v>
      </c>
      <c r="AG130" s="8">
        <f>IF(Table1[[#This Row],[GrossRevenue]]=0,0,Table1[[#This Row],[GrossProfit]]/Table1[[#This Row],[GrossRevenue]])</f>
        <v>0.56305732484076432</v>
      </c>
    </row>
    <row r="131" spans="1:33" hidden="1" x14ac:dyDescent="0.45">
      <c r="A131" t="s">
        <v>144</v>
      </c>
      <c r="C131" s="3">
        <v>44948</v>
      </c>
      <c r="D131" s="3">
        <f>YEAR(Table1[[#This Row],[OrderDate]]) * 100 + MONTH(Table1[[#This Row],[OrderDate]])</f>
        <v>202301</v>
      </c>
      <c r="E131" s="3">
        <f>_xlfn.MINIFS(Table1[OrderMonthKey],Table1[Country],Table1[[#This Row],[Country]])</f>
        <v>202301</v>
      </c>
      <c r="F131" s="3">
        <f>Table1[[#This Row],[CountryFirstMonthKey]]</f>
        <v>202301</v>
      </c>
      <c r="G131" s="3">
        <f>12*(INT(Table1[[#This Row],[OrderMonthKey]]/100)-INT(Table1[[#This Row],[CohortMonthKey]]/100)) + (MOD(Table1[[#This Row],[OrderMonthKey]],100)-MOD(Table1[[#This Row],[CohortMonthKey]],100))</f>
        <v>0</v>
      </c>
      <c r="H131" s="3" t="str">
        <f>TEXT(Table1[[#This Row],[OrderDate]],"MMM-YYYY")</f>
        <v>Jan-2023</v>
      </c>
      <c r="I131" s="3" t="str">
        <f t="shared" si="6"/>
        <v>Q2-2024</v>
      </c>
      <c r="J131" s="3" t="str">
        <f>IF(Table1[[#This Row],[LeadTimeDays]]&lt;=7,"Yes","No")</f>
        <v>No</v>
      </c>
      <c r="K131" s="3">
        <f>_xlfn.DAYS(Table1[[#This Row],[CorrectedRequiredDate]],Table1[[#This Row],[OrderDate]])</f>
        <v>8</v>
      </c>
      <c r="L131" s="3">
        <f>IF(Table1[[#This Row],[RequiredDate]]&lt;Table1[[#This Row],[OrderDate]],Table1[[#This Row],[OrderDate]],Table1[[#This Row],[RequiredDate]])</f>
        <v>44956</v>
      </c>
      <c r="M131" s="3">
        <v>44956</v>
      </c>
      <c r="N131" t="s">
        <v>648</v>
      </c>
      <c r="O131" t="s">
        <v>660</v>
      </c>
      <c r="P131" t="s">
        <v>686</v>
      </c>
      <c r="Q131" t="s">
        <v>705</v>
      </c>
      <c r="R131" t="s">
        <v>708</v>
      </c>
      <c r="S131" t="s">
        <v>720</v>
      </c>
      <c r="T131" t="s">
        <v>729</v>
      </c>
      <c r="U131" t="s">
        <v>863</v>
      </c>
      <c r="V131" s="8">
        <v>413.52</v>
      </c>
      <c r="W131" s="8">
        <v>1004.34</v>
      </c>
      <c r="X131" s="8">
        <f t="shared" si="7"/>
        <v>815.10700000000008</v>
      </c>
      <c r="Y131" s="8">
        <f t="shared" si="8"/>
        <v>1620.05</v>
      </c>
      <c r="AA131">
        <v>0.111</v>
      </c>
      <c r="AB131">
        <f>IF(Table1[[#This Row],[DiscountPct]]&gt;0.2,1,0)</f>
        <v>0</v>
      </c>
      <c r="AC131" s="6">
        <v>18</v>
      </c>
      <c r="AD131" s="8">
        <f>Table1[[#This Row],[UnitPrice]]*Table1[[#This Row],[Quantity]]</f>
        <v>18078.12</v>
      </c>
      <c r="AE131" s="8">
        <f>Table1[[#This Row],[UnitCost]]*Table1[[#This Row],[Quantity]]</f>
        <v>7443.36</v>
      </c>
      <c r="AF131" s="8">
        <f>Table1[[#This Row],[GrossRevenue]]-Table1[[#This Row],[CostOfGoods]]</f>
        <v>10634.759999999998</v>
      </c>
      <c r="AG131" s="8">
        <f>IF(Table1[[#This Row],[GrossRevenue]]=0,0,Table1[[#This Row],[GrossProfit]]/Table1[[#This Row],[GrossRevenue]])</f>
        <v>0.5882669215604277</v>
      </c>
    </row>
    <row r="132" spans="1:33" x14ac:dyDescent="0.45">
      <c r="A132" t="s">
        <v>145</v>
      </c>
      <c r="B132">
        <v>1</v>
      </c>
      <c r="C132" s="3">
        <v>45700</v>
      </c>
      <c r="D132" s="6">
        <f>YEAR(Table1[[#This Row],[OrderDate]]) * 100 + MONTH(Table1[[#This Row],[OrderDate]])</f>
        <v>202502</v>
      </c>
      <c r="E132" s="6">
        <f>_xlfn.MINIFS(Table1[OrderMonthKey],Table1[Country],Table1[[#This Row],[Country]])</f>
        <v>202301</v>
      </c>
      <c r="F132" s="6">
        <f>Table1[[#This Row],[CountryFirstMonthKey]]</f>
        <v>202301</v>
      </c>
      <c r="G132" s="6">
        <f>12*(INT(Table1[[#This Row],[OrderMonthKey]]/100)-INT(Table1[[#This Row],[CohortMonthKey]]/100)) + (MOD(Table1[[#This Row],[OrderMonthKey]],100)-MOD(Table1[[#This Row],[CohortMonthKey]],100))</f>
        <v>25</v>
      </c>
      <c r="H132" s="3" t="str">
        <f>TEXT(Table1[[#This Row],[OrderDate]],"MMM-YYYY")</f>
        <v>Feb-2025</v>
      </c>
      <c r="I132" s="3" t="str">
        <f t="shared" si="6"/>
        <v>Q1-2023</v>
      </c>
      <c r="J132" s="26" t="str">
        <f>IF(Table1[[#This Row],[LeadTimeDays]]&lt;=7,"Yes","No")</f>
        <v>No</v>
      </c>
      <c r="K132" s="6">
        <f>_xlfn.DAYS(Table1[[#This Row],[CorrectedRequiredDate]],Table1[[#This Row],[OrderDate]])</f>
        <v>16</v>
      </c>
      <c r="L132" s="3">
        <f>IF(Table1[[#This Row],[RequiredDate]]&lt;Table1[[#This Row],[OrderDate]],Table1[[#This Row],[OrderDate]],Table1[[#This Row],[RequiredDate]])</f>
        <v>45716</v>
      </c>
      <c r="M132" s="3">
        <v>45716</v>
      </c>
      <c r="N132" t="s">
        <v>648</v>
      </c>
      <c r="O132" t="s">
        <v>655</v>
      </c>
      <c r="P132" t="s">
        <v>670</v>
      </c>
      <c r="Q132" t="s">
        <v>703</v>
      </c>
      <c r="R132" t="s">
        <v>711</v>
      </c>
      <c r="S132" t="s">
        <v>717</v>
      </c>
      <c r="T132" t="s">
        <v>732</v>
      </c>
      <c r="U132" t="s">
        <v>864</v>
      </c>
      <c r="V132" s="8">
        <v>414.95</v>
      </c>
      <c r="W132" s="8">
        <v>1027.73</v>
      </c>
      <c r="X132" s="8">
        <f t="shared" si="7"/>
        <v>815.10700000000008</v>
      </c>
      <c r="Y132" s="8">
        <f t="shared" si="8"/>
        <v>1620.05</v>
      </c>
      <c r="Z132" s="8" t="str">
        <f>IF(W131 &lt;= X130, "Low",IF(W131 &lt;= Y131, "Medium", "High"))</f>
        <v>Medium</v>
      </c>
      <c r="AA132">
        <v>6.3E-2</v>
      </c>
      <c r="AB132">
        <f>IF(Table1[[#This Row],[DiscountPct]]&gt;0.2,1,0)</f>
        <v>0</v>
      </c>
      <c r="AC132" s="6">
        <v>8</v>
      </c>
      <c r="AD132" s="8">
        <f>Table1[[#This Row],[UnitPrice]]*Table1[[#This Row],[Quantity]]</f>
        <v>8221.84</v>
      </c>
      <c r="AE132" s="8">
        <f>Table1[[#This Row],[UnitCost]]*Table1[[#This Row],[Quantity]]</f>
        <v>3319.6</v>
      </c>
      <c r="AF132" s="8">
        <f>Table1[[#This Row],[GrossRevenue]]-Table1[[#This Row],[CostOfGoods]]</f>
        <v>4902.24</v>
      </c>
      <c r="AG132" s="9">
        <f>IF(Table1[[#This Row],[GrossRevenue]]=0,0,Table1[[#This Row],[GrossProfit]]/Table1[[#This Row],[GrossRevenue]])</f>
        <v>0.59624609576445176</v>
      </c>
    </row>
    <row r="133" spans="1:33" x14ac:dyDescent="0.45">
      <c r="A133" t="s">
        <v>146</v>
      </c>
      <c r="B133">
        <v>1</v>
      </c>
      <c r="C133" s="3">
        <v>45719</v>
      </c>
      <c r="D133" s="6">
        <f>YEAR(Table1[[#This Row],[OrderDate]]) * 100 + MONTH(Table1[[#This Row],[OrderDate]])</f>
        <v>202503</v>
      </c>
      <c r="E133" s="6">
        <f>_xlfn.MINIFS(Table1[OrderMonthKey],Table1[Country],Table1[[#This Row],[Country]])</f>
        <v>202301</v>
      </c>
      <c r="F133" s="6">
        <f>Table1[[#This Row],[CountryFirstMonthKey]]</f>
        <v>202301</v>
      </c>
      <c r="G133" s="6">
        <f>12*(INT(Table1[[#This Row],[OrderMonthKey]]/100)-INT(Table1[[#This Row],[CohortMonthKey]]/100)) + (MOD(Table1[[#This Row],[OrderMonthKey]],100)-MOD(Table1[[#This Row],[CohortMonthKey]],100))</f>
        <v>26</v>
      </c>
      <c r="H133" s="3" t="str">
        <f>TEXT(Table1[[#This Row],[OrderDate]],"MMM-YYYY")</f>
        <v>Mar-2025</v>
      </c>
      <c r="I133" s="3" t="str">
        <f t="shared" si="6"/>
        <v>Q1-2025</v>
      </c>
      <c r="J133" s="26" t="str">
        <f>IF(Table1[[#This Row],[LeadTimeDays]]&lt;=7,"Yes","No")</f>
        <v>No</v>
      </c>
      <c r="K133" s="6">
        <f>_xlfn.DAYS(Table1[[#This Row],[CorrectedRequiredDate]],Table1[[#This Row],[OrderDate]])</f>
        <v>21</v>
      </c>
      <c r="L133" s="3">
        <f>IF(Table1[[#This Row],[RequiredDate]]&lt;Table1[[#This Row],[OrderDate]],Table1[[#This Row],[OrderDate]],Table1[[#This Row],[RequiredDate]])</f>
        <v>45740</v>
      </c>
      <c r="M133" s="3">
        <v>45740</v>
      </c>
      <c r="N133" t="s">
        <v>646</v>
      </c>
      <c r="O133" t="s">
        <v>651</v>
      </c>
      <c r="P133" t="s">
        <v>669</v>
      </c>
      <c r="Q133" t="s">
        <v>706</v>
      </c>
      <c r="R133" t="s">
        <v>711</v>
      </c>
      <c r="S133" t="s">
        <v>722</v>
      </c>
      <c r="T133" t="s">
        <v>733</v>
      </c>
      <c r="U133" t="s">
        <v>865</v>
      </c>
      <c r="V133" s="8">
        <v>555.95000000000005</v>
      </c>
      <c r="W133" s="8">
        <v>468.09</v>
      </c>
      <c r="X133" s="8">
        <f t="shared" si="7"/>
        <v>815.10700000000008</v>
      </c>
      <c r="Y133" s="8">
        <f t="shared" si="8"/>
        <v>1620.05</v>
      </c>
      <c r="Z133" s="8" t="str">
        <f>IF(W132 &lt;= X131, "Low",IF(W132 &lt;= Y132, "Medium", "High"))</f>
        <v>Medium</v>
      </c>
      <c r="AA133">
        <v>0.14199999999999999</v>
      </c>
      <c r="AB133">
        <f>IF(Table1[[#This Row],[DiscountPct]]&gt;0.2,1,0)</f>
        <v>0</v>
      </c>
      <c r="AC133" s="6">
        <v>11</v>
      </c>
      <c r="AD133" s="8">
        <f>Table1[[#This Row],[UnitPrice]]*Table1[[#This Row],[Quantity]]</f>
        <v>5148.99</v>
      </c>
      <c r="AE133" s="8">
        <f>Table1[[#This Row],[UnitCost]]*Table1[[#This Row],[Quantity]]</f>
        <v>6115.4500000000007</v>
      </c>
      <c r="AF133" s="8">
        <f>Table1[[#This Row],[GrossRevenue]]-Table1[[#This Row],[CostOfGoods]]</f>
        <v>-966.46000000000095</v>
      </c>
      <c r="AG133" s="9">
        <f>IF(Table1[[#This Row],[GrossRevenue]]=0,0,Table1[[#This Row],[GrossProfit]]/Table1[[#This Row],[GrossRevenue]])</f>
        <v>-0.18769894678373836</v>
      </c>
    </row>
    <row r="134" spans="1:33" x14ac:dyDescent="0.45">
      <c r="A134" t="s">
        <v>147</v>
      </c>
      <c r="B134">
        <v>1</v>
      </c>
      <c r="C134" s="3">
        <v>44953</v>
      </c>
      <c r="D134" s="6">
        <f>YEAR(Table1[[#This Row],[OrderDate]]) * 100 + MONTH(Table1[[#This Row],[OrderDate]])</f>
        <v>202301</v>
      </c>
      <c r="E134" s="6">
        <f>_xlfn.MINIFS(Table1[OrderMonthKey],Table1[Country],Table1[[#This Row],[Country]])</f>
        <v>202301</v>
      </c>
      <c r="F134" s="6">
        <f>Table1[[#This Row],[CountryFirstMonthKey]]</f>
        <v>202301</v>
      </c>
      <c r="G134" s="6">
        <f>12*(INT(Table1[[#This Row],[OrderMonthKey]]/100)-INT(Table1[[#This Row],[CohortMonthKey]]/100)) + (MOD(Table1[[#This Row],[OrderMonthKey]],100)-MOD(Table1[[#This Row],[CohortMonthKey]],100))</f>
        <v>0</v>
      </c>
      <c r="H134" s="3" t="str">
        <f>TEXT(Table1[[#This Row],[OrderDate]],"MMM-YYYY")</f>
        <v>Jan-2023</v>
      </c>
      <c r="I134" s="3" t="str">
        <f t="shared" si="6"/>
        <v>Q1-2025</v>
      </c>
      <c r="J134" s="26" t="str">
        <f>IF(Table1[[#This Row],[LeadTimeDays]]&lt;=7,"Yes","No")</f>
        <v>Yes</v>
      </c>
      <c r="K134" s="6">
        <f>_xlfn.DAYS(Table1[[#This Row],[CorrectedRequiredDate]],Table1[[#This Row],[OrderDate]])</f>
        <v>4</v>
      </c>
      <c r="L134" s="3">
        <f>IF(Table1[[#This Row],[RequiredDate]]&lt;Table1[[#This Row],[OrderDate]],Table1[[#This Row],[OrderDate]],Table1[[#This Row],[RequiredDate]])</f>
        <v>44957</v>
      </c>
      <c r="M134" s="3">
        <v>44957</v>
      </c>
      <c r="N134" t="s">
        <v>649</v>
      </c>
      <c r="O134" t="s">
        <v>658</v>
      </c>
      <c r="P134" t="s">
        <v>693</v>
      </c>
      <c r="Q134" t="s">
        <v>706</v>
      </c>
      <c r="R134" t="s">
        <v>708</v>
      </c>
      <c r="S134" t="s">
        <v>725</v>
      </c>
      <c r="T134" t="s">
        <v>731</v>
      </c>
      <c r="U134" t="s">
        <v>866</v>
      </c>
      <c r="V134" s="8">
        <v>941.2</v>
      </c>
      <c r="W134" s="8">
        <v>668.02</v>
      </c>
      <c r="X134" s="8">
        <f t="shared" si="7"/>
        <v>815.10700000000008</v>
      </c>
      <c r="Y134" s="8">
        <f t="shared" si="8"/>
        <v>1620.05</v>
      </c>
      <c r="Z134" s="8" t="str">
        <f>IF(W133 &lt;= X132, "Low",IF(W133 &lt;= Y133, "Medium", "High"))</f>
        <v>Low</v>
      </c>
      <c r="AA134">
        <v>0.22</v>
      </c>
      <c r="AB134">
        <f>IF(Table1[[#This Row],[DiscountPct]]&gt;0.2,1,0)</f>
        <v>1</v>
      </c>
      <c r="AC134" s="6">
        <v>16</v>
      </c>
      <c r="AD134" s="8">
        <f>Table1[[#This Row],[UnitPrice]]*Table1[[#This Row],[Quantity]]</f>
        <v>10688.32</v>
      </c>
      <c r="AE134" s="8">
        <f>Table1[[#This Row],[UnitCost]]*Table1[[#This Row],[Quantity]]</f>
        <v>15059.2</v>
      </c>
      <c r="AF134" s="8">
        <f>Table1[[#This Row],[GrossRevenue]]-Table1[[#This Row],[CostOfGoods]]</f>
        <v>-4370.880000000001</v>
      </c>
      <c r="AG134" s="9">
        <f>IF(Table1[[#This Row],[GrossRevenue]]=0,0,Table1[[#This Row],[GrossProfit]]/Table1[[#This Row],[GrossRevenue]])</f>
        <v>-0.40893985210023664</v>
      </c>
    </row>
    <row r="135" spans="1:33" x14ac:dyDescent="0.45">
      <c r="A135" t="s">
        <v>148</v>
      </c>
      <c r="B135">
        <v>1</v>
      </c>
      <c r="C135" s="3">
        <v>45666</v>
      </c>
      <c r="D135" s="6">
        <f>YEAR(Table1[[#This Row],[OrderDate]]) * 100 + MONTH(Table1[[#This Row],[OrderDate]])</f>
        <v>202501</v>
      </c>
      <c r="E135" s="6">
        <f>_xlfn.MINIFS(Table1[OrderMonthKey],Table1[Country],Table1[[#This Row],[Country]])</f>
        <v>202301</v>
      </c>
      <c r="F135" s="6">
        <f>Table1[[#This Row],[CountryFirstMonthKey]]</f>
        <v>202301</v>
      </c>
      <c r="G135" s="6">
        <f>12*(INT(Table1[[#This Row],[OrderMonthKey]]/100)-INT(Table1[[#This Row],[CohortMonthKey]]/100)) + (MOD(Table1[[#This Row],[OrderMonthKey]],100)-MOD(Table1[[#This Row],[CohortMonthKey]],100))</f>
        <v>24</v>
      </c>
      <c r="H135" s="3" t="str">
        <f>TEXT(Table1[[#This Row],[OrderDate]],"MMM-YYYY")</f>
        <v>Jan-2025</v>
      </c>
      <c r="I135" s="3" t="str">
        <f t="shared" si="6"/>
        <v>Q1-2023</v>
      </c>
      <c r="J135" s="26" t="str">
        <f>IF(Table1[[#This Row],[LeadTimeDays]]&lt;=7,"Yes","No")</f>
        <v>Yes</v>
      </c>
      <c r="K135" s="6">
        <f>_xlfn.DAYS(Table1[[#This Row],[CorrectedRequiredDate]],Table1[[#This Row],[OrderDate]])</f>
        <v>6</v>
      </c>
      <c r="L135" s="3">
        <f>IF(Table1[[#This Row],[RequiredDate]]&lt;Table1[[#This Row],[OrderDate]],Table1[[#This Row],[OrderDate]],Table1[[#This Row],[RequiredDate]])</f>
        <v>45672</v>
      </c>
      <c r="M135" s="3">
        <v>45672</v>
      </c>
      <c r="N135" t="s">
        <v>647</v>
      </c>
      <c r="O135" t="s">
        <v>659</v>
      </c>
      <c r="P135" t="s">
        <v>699</v>
      </c>
      <c r="Q135" t="s">
        <v>702</v>
      </c>
      <c r="R135" t="s">
        <v>708</v>
      </c>
      <c r="S135" t="s">
        <v>712</v>
      </c>
      <c r="T135" t="s">
        <v>730</v>
      </c>
      <c r="U135" t="s">
        <v>867</v>
      </c>
      <c r="V135" s="8">
        <v>304.77999999999997</v>
      </c>
      <c r="W135" s="8">
        <v>537.27</v>
      </c>
      <c r="X135" s="8">
        <f t="shared" si="7"/>
        <v>815.10700000000008</v>
      </c>
      <c r="Y135" s="8">
        <f t="shared" si="8"/>
        <v>1620.05</v>
      </c>
      <c r="Z135" s="8" t="str">
        <f>IF(W134 &lt;= X133, "Low",IF(W134 &lt;= Y134, "Medium", "High"))</f>
        <v>Low</v>
      </c>
      <c r="AA135">
        <v>0.187</v>
      </c>
      <c r="AB135">
        <f>IF(Table1[[#This Row],[DiscountPct]]&gt;0.2,1,0)</f>
        <v>0</v>
      </c>
      <c r="AC135" s="6">
        <v>8</v>
      </c>
      <c r="AD135" s="8">
        <f>Table1[[#This Row],[UnitPrice]]*Table1[[#This Row],[Quantity]]</f>
        <v>4298.16</v>
      </c>
      <c r="AE135" s="8">
        <f>Table1[[#This Row],[UnitCost]]*Table1[[#This Row],[Quantity]]</f>
        <v>2438.2399999999998</v>
      </c>
      <c r="AF135" s="8">
        <f>Table1[[#This Row],[GrossRevenue]]-Table1[[#This Row],[CostOfGoods]]</f>
        <v>1859.92</v>
      </c>
      <c r="AG135" s="9">
        <f>IF(Table1[[#This Row],[GrossRevenue]]=0,0,Table1[[#This Row],[GrossProfit]]/Table1[[#This Row],[GrossRevenue]])</f>
        <v>0.43272470080220377</v>
      </c>
    </row>
    <row r="136" spans="1:33" hidden="1" x14ac:dyDescent="0.45">
      <c r="A136" t="s">
        <v>149</v>
      </c>
      <c r="C136" s="3">
        <v>45647</v>
      </c>
      <c r="D136" s="3">
        <f>YEAR(Table1[[#This Row],[OrderDate]]) * 100 + MONTH(Table1[[#This Row],[OrderDate]])</f>
        <v>202412</v>
      </c>
      <c r="E136" s="3">
        <f>_xlfn.MINIFS(Table1[OrderMonthKey],Table1[Country],Table1[[#This Row],[Country]])</f>
        <v>202301</v>
      </c>
      <c r="F136" s="3">
        <f>Table1[[#This Row],[CountryFirstMonthKey]]</f>
        <v>202301</v>
      </c>
      <c r="G136" s="3">
        <f>12*(INT(Table1[[#This Row],[OrderMonthKey]]/100)-INT(Table1[[#This Row],[CohortMonthKey]]/100)) + (MOD(Table1[[#This Row],[OrderMonthKey]],100)-MOD(Table1[[#This Row],[CohortMonthKey]],100))</f>
        <v>23</v>
      </c>
      <c r="H136" s="3" t="str">
        <f>TEXT(Table1[[#This Row],[OrderDate]],"MMM-YYYY")</f>
        <v>Dec-2024</v>
      </c>
      <c r="I136" s="3" t="str">
        <f t="shared" si="6"/>
        <v>Q1-2025</v>
      </c>
      <c r="J136" s="3" t="str">
        <f>IF(Table1[[#This Row],[LeadTimeDays]]&lt;=7,"Yes","No")</f>
        <v>Yes</v>
      </c>
      <c r="K136" s="3">
        <f>_xlfn.DAYS(Table1[[#This Row],[CorrectedRequiredDate]],Table1[[#This Row],[OrderDate]])</f>
        <v>5</v>
      </c>
      <c r="L136" s="3">
        <f>IF(Table1[[#This Row],[RequiredDate]]&lt;Table1[[#This Row],[OrderDate]],Table1[[#This Row],[OrderDate]],Table1[[#This Row],[RequiredDate]])</f>
        <v>45652</v>
      </c>
      <c r="M136" s="3">
        <v>45652</v>
      </c>
      <c r="N136" t="s">
        <v>648</v>
      </c>
      <c r="O136" t="s">
        <v>660</v>
      </c>
      <c r="P136" t="s">
        <v>686</v>
      </c>
      <c r="Q136" t="s">
        <v>704</v>
      </c>
      <c r="R136" t="s">
        <v>709</v>
      </c>
      <c r="S136" t="s">
        <v>724</v>
      </c>
      <c r="T136" t="s">
        <v>728</v>
      </c>
      <c r="U136" t="s">
        <v>868</v>
      </c>
      <c r="V136" s="8">
        <v>699.57</v>
      </c>
      <c r="W136" s="8">
        <v>572.71</v>
      </c>
      <c r="X136" s="8">
        <f t="shared" si="7"/>
        <v>815.10700000000008</v>
      </c>
      <c r="Y136" s="8">
        <f t="shared" si="8"/>
        <v>1620.05</v>
      </c>
      <c r="AA136">
        <v>0.192</v>
      </c>
      <c r="AB136">
        <f>IF(Table1[[#This Row],[DiscountPct]]&gt;0.2,1,0)</f>
        <v>0</v>
      </c>
      <c r="AC136" s="6">
        <v>26</v>
      </c>
      <c r="AD136" s="8">
        <f>Table1[[#This Row],[UnitPrice]]*Table1[[#This Row],[Quantity]]</f>
        <v>14890.460000000001</v>
      </c>
      <c r="AE136" s="8">
        <f>Table1[[#This Row],[UnitCost]]*Table1[[#This Row],[Quantity]]</f>
        <v>18188.82</v>
      </c>
      <c r="AF136" s="8">
        <f>Table1[[#This Row],[GrossRevenue]]-Table1[[#This Row],[CostOfGoods]]</f>
        <v>-3298.3599999999988</v>
      </c>
      <c r="AG136" s="8">
        <f>IF(Table1[[#This Row],[GrossRevenue]]=0,0,Table1[[#This Row],[GrossProfit]]/Table1[[#This Row],[GrossRevenue]])</f>
        <v>-0.22150826770966098</v>
      </c>
    </row>
    <row r="137" spans="1:33" hidden="1" x14ac:dyDescent="0.45">
      <c r="A137" t="s">
        <v>150</v>
      </c>
      <c r="C137" s="3">
        <v>45028</v>
      </c>
      <c r="D137" s="3">
        <f>YEAR(Table1[[#This Row],[OrderDate]]) * 100 + MONTH(Table1[[#This Row],[OrderDate]])</f>
        <v>202304</v>
      </c>
      <c r="E137" s="3">
        <f>_xlfn.MINIFS(Table1[OrderMonthKey],Table1[Country],Table1[[#This Row],[Country]])</f>
        <v>202301</v>
      </c>
      <c r="F137" s="3">
        <f>Table1[[#This Row],[CountryFirstMonthKey]]</f>
        <v>202301</v>
      </c>
      <c r="G137" s="3">
        <f>12*(INT(Table1[[#This Row],[OrderMonthKey]]/100)-INT(Table1[[#This Row],[CohortMonthKey]]/100)) + (MOD(Table1[[#This Row],[OrderMonthKey]],100)-MOD(Table1[[#This Row],[CohortMonthKey]],100))</f>
        <v>3</v>
      </c>
      <c r="H137" s="3" t="str">
        <f>TEXT(Table1[[#This Row],[OrderDate]],"MMM-YYYY")</f>
        <v>Apr-2023</v>
      </c>
      <c r="I137" s="3" t="str">
        <f t="shared" si="6"/>
        <v>Q4-2024</v>
      </c>
      <c r="J137" s="3" t="str">
        <f>IF(Table1[[#This Row],[LeadTimeDays]]&lt;=7,"Yes","No")</f>
        <v>Yes</v>
      </c>
      <c r="K137" s="3">
        <f>_xlfn.DAYS(Table1[[#This Row],[CorrectedRequiredDate]],Table1[[#This Row],[OrderDate]])</f>
        <v>5</v>
      </c>
      <c r="L137" s="3">
        <f>IF(Table1[[#This Row],[RequiredDate]]&lt;Table1[[#This Row],[OrderDate]],Table1[[#This Row],[OrderDate]],Table1[[#This Row],[RequiredDate]])</f>
        <v>45033</v>
      </c>
      <c r="M137" s="3">
        <v>45033</v>
      </c>
      <c r="N137" t="s">
        <v>649</v>
      </c>
      <c r="O137" t="s">
        <v>657</v>
      </c>
      <c r="P137" t="s">
        <v>679</v>
      </c>
      <c r="Q137" t="s">
        <v>706</v>
      </c>
      <c r="R137" t="s">
        <v>711</v>
      </c>
      <c r="S137" t="s">
        <v>718</v>
      </c>
      <c r="T137" t="s">
        <v>732</v>
      </c>
      <c r="U137" t="s">
        <v>869</v>
      </c>
      <c r="V137" s="8">
        <v>1087.81</v>
      </c>
      <c r="W137" s="8">
        <v>2323.87</v>
      </c>
      <c r="X137" s="8">
        <f t="shared" si="7"/>
        <v>815.10700000000008</v>
      </c>
      <c r="Y137" s="8">
        <f t="shared" si="8"/>
        <v>1620.05</v>
      </c>
      <c r="AA137">
        <v>9.4E-2</v>
      </c>
      <c r="AB137">
        <f>IF(Table1[[#This Row],[DiscountPct]]&gt;0.2,1,0)</f>
        <v>0</v>
      </c>
      <c r="AC137" s="6">
        <v>13</v>
      </c>
      <c r="AD137" s="8">
        <f>Table1[[#This Row],[UnitPrice]]*Table1[[#This Row],[Quantity]]</f>
        <v>30210.309999999998</v>
      </c>
      <c r="AE137" s="8">
        <f>Table1[[#This Row],[UnitCost]]*Table1[[#This Row],[Quantity]]</f>
        <v>14141.529999999999</v>
      </c>
      <c r="AF137" s="8">
        <f>Table1[[#This Row],[GrossRevenue]]-Table1[[#This Row],[CostOfGoods]]</f>
        <v>16068.779999999999</v>
      </c>
      <c r="AG137" s="8">
        <f>IF(Table1[[#This Row],[GrossRevenue]]=0,0,Table1[[#This Row],[GrossProfit]]/Table1[[#This Row],[GrossRevenue]])</f>
        <v>0.53189722316652821</v>
      </c>
    </row>
    <row r="138" spans="1:33" x14ac:dyDescent="0.45">
      <c r="A138" t="s">
        <v>151</v>
      </c>
      <c r="B138">
        <v>1</v>
      </c>
      <c r="C138" s="3">
        <v>45640</v>
      </c>
      <c r="D138" s="6">
        <f>YEAR(Table1[[#This Row],[OrderDate]]) * 100 + MONTH(Table1[[#This Row],[OrderDate]])</f>
        <v>202412</v>
      </c>
      <c r="E138" s="6">
        <f>_xlfn.MINIFS(Table1[OrderMonthKey],Table1[Country],Table1[[#This Row],[Country]])</f>
        <v>202301</v>
      </c>
      <c r="F138" s="6">
        <f>Table1[[#This Row],[CountryFirstMonthKey]]</f>
        <v>202301</v>
      </c>
      <c r="G138" s="6">
        <f>12*(INT(Table1[[#This Row],[OrderMonthKey]]/100)-INT(Table1[[#This Row],[CohortMonthKey]]/100)) + (MOD(Table1[[#This Row],[OrderMonthKey]],100)-MOD(Table1[[#This Row],[CohortMonthKey]],100))</f>
        <v>23</v>
      </c>
      <c r="H138" s="3" t="str">
        <f>TEXT(Table1[[#This Row],[OrderDate]],"MMM-YYYY")</f>
        <v>Dec-2024</v>
      </c>
      <c r="I138" s="3" t="str">
        <f t="shared" si="6"/>
        <v>Q2-2023</v>
      </c>
      <c r="J138" s="26" t="str">
        <f>IF(Table1[[#This Row],[LeadTimeDays]]&lt;=7,"Yes","No")</f>
        <v>No</v>
      </c>
      <c r="K138" s="6">
        <f>_xlfn.DAYS(Table1[[#This Row],[CorrectedRequiredDate]],Table1[[#This Row],[OrderDate]])</f>
        <v>29</v>
      </c>
      <c r="L138" s="3">
        <f>IF(Table1[[#This Row],[RequiredDate]]&lt;Table1[[#This Row],[OrderDate]],Table1[[#This Row],[OrderDate]],Table1[[#This Row],[RequiredDate]])</f>
        <v>45669</v>
      </c>
      <c r="M138" s="3">
        <v>45669</v>
      </c>
      <c r="N138" t="s">
        <v>647</v>
      </c>
      <c r="O138" t="s">
        <v>659</v>
      </c>
      <c r="P138" t="s">
        <v>676</v>
      </c>
      <c r="Q138" t="s">
        <v>702</v>
      </c>
      <c r="R138" t="s">
        <v>708</v>
      </c>
      <c r="S138" t="s">
        <v>713</v>
      </c>
      <c r="T138" t="s">
        <v>727</v>
      </c>
      <c r="U138" t="s">
        <v>870</v>
      </c>
      <c r="V138" s="8">
        <v>1412.15</v>
      </c>
      <c r="W138" s="8">
        <v>1631.04</v>
      </c>
      <c r="X138" s="8">
        <f t="shared" si="7"/>
        <v>815.10700000000008</v>
      </c>
      <c r="Y138" s="8">
        <f t="shared" si="8"/>
        <v>1620.05</v>
      </c>
      <c r="Z138" s="8" t="str">
        <f>IF(W137 &lt;= X136, "Low",IF(W137 &lt;= Y137, "Medium", "High"))</f>
        <v>High</v>
      </c>
      <c r="AA138">
        <v>8.9999999999999993E-3</v>
      </c>
      <c r="AB138">
        <f>IF(Table1[[#This Row],[DiscountPct]]&gt;0.2,1,0)</f>
        <v>0</v>
      </c>
      <c r="AC138" s="6">
        <v>6</v>
      </c>
      <c r="AD138" s="8">
        <f>Table1[[#This Row],[UnitPrice]]*Table1[[#This Row],[Quantity]]</f>
        <v>9786.24</v>
      </c>
      <c r="AE138" s="8">
        <f>Table1[[#This Row],[UnitCost]]*Table1[[#This Row],[Quantity]]</f>
        <v>8472.9000000000015</v>
      </c>
      <c r="AF138" s="8">
        <f>Table1[[#This Row],[GrossRevenue]]-Table1[[#This Row],[CostOfGoods]]</f>
        <v>1313.3399999999983</v>
      </c>
      <c r="AG138" s="9">
        <f>IF(Table1[[#This Row],[GrossRevenue]]=0,0,Table1[[#This Row],[GrossProfit]]/Table1[[#This Row],[GrossRevenue]])</f>
        <v>0.13420271728467709</v>
      </c>
    </row>
    <row r="139" spans="1:33" hidden="1" x14ac:dyDescent="0.45">
      <c r="A139" t="s">
        <v>152</v>
      </c>
      <c r="C139" s="3">
        <v>45016</v>
      </c>
      <c r="D139" s="3">
        <f>YEAR(Table1[[#This Row],[OrderDate]]) * 100 + MONTH(Table1[[#This Row],[OrderDate]])</f>
        <v>202303</v>
      </c>
      <c r="E139" s="3">
        <f>_xlfn.MINIFS(Table1[OrderMonthKey],Table1[Country],Table1[[#This Row],[Country]])</f>
        <v>202301</v>
      </c>
      <c r="F139" s="3">
        <f>Table1[[#This Row],[CountryFirstMonthKey]]</f>
        <v>202301</v>
      </c>
      <c r="G139" s="3">
        <f>12*(INT(Table1[[#This Row],[OrderMonthKey]]/100)-INT(Table1[[#This Row],[CohortMonthKey]]/100)) + (MOD(Table1[[#This Row],[OrderMonthKey]],100)-MOD(Table1[[#This Row],[CohortMonthKey]],100))</f>
        <v>2</v>
      </c>
      <c r="H139" s="3" t="str">
        <f>TEXT(Table1[[#This Row],[OrderDate]],"MMM-YYYY")</f>
        <v>Mar-2023</v>
      </c>
      <c r="I139" s="3" t="str">
        <f t="shared" si="6"/>
        <v>Q4-2024</v>
      </c>
      <c r="J139" s="3" t="str">
        <f>IF(Table1[[#This Row],[LeadTimeDays]]&lt;=7,"Yes","No")</f>
        <v>No</v>
      </c>
      <c r="K139" s="3">
        <f>_xlfn.DAYS(Table1[[#This Row],[CorrectedRequiredDate]],Table1[[#This Row],[OrderDate]])</f>
        <v>12</v>
      </c>
      <c r="L139" s="3">
        <f>IF(Table1[[#This Row],[RequiredDate]]&lt;Table1[[#This Row],[OrderDate]],Table1[[#This Row],[OrderDate]],Table1[[#This Row],[RequiredDate]])</f>
        <v>45028</v>
      </c>
      <c r="M139" s="3">
        <v>45028</v>
      </c>
      <c r="N139" t="s">
        <v>646</v>
      </c>
      <c r="O139" t="s">
        <v>650</v>
      </c>
      <c r="P139" t="s">
        <v>675</v>
      </c>
      <c r="Q139" t="s">
        <v>705</v>
      </c>
      <c r="R139" t="s">
        <v>708</v>
      </c>
      <c r="S139" t="s">
        <v>712</v>
      </c>
      <c r="T139" t="s">
        <v>730</v>
      </c>
      <c r="U139" t="s">
        <v>871</v>
      </c>
      <c r="V139" s="8">
        <v>304.22000000000003</v>
      </c>
      <c r="W139" s="8">
        <v>393.31</v>
      </c>
      <c r="X139" s="8">
        <f t="shared" si="7"/>
        <v>815.10700000000008</v>
      </c>
      <c r="Y139" s="8">
        <f t="shared" si="8"/>
        <v>1620.05</v>
      </c>
      <c r="AA139">
        <v>0.26500000000000001</v>
      </c>
      <c r="AB139">
        <f>IF(Table1[[#This Row],[DiscountPct]]&gt;0.2,1,0)</f>
        <v>1</v>
      </c>
      <c r="AC139" s="6">
        <v>15</v>
      </c>
      <c r="AD139" s="8">
        <f>Table1[[#This Row],[UnitPrice]]*Table1[[#This Row],[Quantity]]</f>
        <v>5899.65</v>
      </c>
      <c r="AE139" s="8">
        <f>Table1[[#This Row],[UnitCost]]*Table1[[#This Row],[Quantity]]</f>
        <v>4563.3</v>
      </c>
      <c r="AF139" s="8">
        <f>Table1[[#This Row],[GrossRevenue]]-Table1[[#This Row],[CostOfGoods]]</f>
        <v>1336.3499999999995</v>
      </c>
      <c r="AG139" s="8">
        <f>IF(Table1[[#This Row],[GrossRevenue]]=0,0,Table1[[#This Row],[GrossProfit]]/Table1[[#This Row],[GrossRevenue]])</f>
        <v>0.22651343723780215</v>
      </c>
    </row>
    <row r="140" spans="1:33" hidden="1" x14ac:dyDescent="0.45">
      <c r="A140" t="s">
        <v>153</v>
      </c>
      <c r="C140" s="3">
        <v>45616</v>
      </c>
      <c r="D140" s="3">
        <f>YEAR(Table1[[#This Row],[OrderDate]]) * 100 + MONTH(Table1[[#This Row],[OrderDate]])</f>
        <v>202411</v>
      </c>
      <c r="E140" s="3">
        <f>_xlfn.MINIFS(Table1[OrderMonthKey],Table1[Country],Table1[[#This Row],[Country]])</f>
        <v>202301</v>
      </c>
      <c r="F140" s="3">
        <f>Table1[[#This Row],[CountryFirstMonthKey]]</f>
        <v>202301</v>
      </c>
      <c r="G140" s="3">
        <f>12*(INT(Table1[[#This Row],[OrderMonthKey]]/100)-INT(Table1[[#This Row],[CohortMonthKey]]/100)) + (MOD(Table1[[#This Row],[OrderMonthKey]],100)-MOD(Table1[[#This Row],[CohortMonthKey]],100))</f>
        <v>22</v>
      </c>
      <c r="H140" s="3" t="str">
        <f>TEXT(Table1[[#This Row],[OrderDate]],"MMM-YYYY")</f>
        <v>Nov-2024</v>
      </c>
      <c r="I140" s="3" t="str">
        <f t="shared" si="6"/>
        <v>Q1-2023</v>
      </c>
      <c r="J140" s="3" t="str">
        <f>IF(Table1[[#This Row],[LeadTimeDays]]&lt;=7,"Yes","No")</f>
        <v>No</v>
      </c>
      <c r="K140" s="3">
        <f>_xlfn.DAYS(Table1[[#This Row],[CorrectedRequiredDate]],Table1[[#This Row],[OrderDate]])</f>
        <v>25</v>
      </c>
      <c r="L140" s="3">
        <f>IF(Table1[[#This Row],[RequiredDate]]&lt;Table1[[#This Row],[OrderDate]],Table1[[#This Row],[OrderDate]],Table1[[#This Row],[RequiredDate]])</f>
        <v>45641</v>
      </c>
      <c r="M140" s="3">
        <v>45641</v>
      </c>
      <c r="N140" t="s">
        <v>649</v>
      </c>
      <c r="O140" t="s">
        <v>657</v>
      </c>
      <c r="P140" t="s">
        <v>690</v>
      </c>
      <c r="Q140" t="s">
        <v>701</v>
      </c>
      <c r="R140" t="s">
        <v>708</v>
      </c>
      <c r="S140" t="s">
        <v>715</v>
      </c>
      <c r="T140" t="s">
        <v>728</v>
      </c>
      <c r="U140" t="s">
        <v>872</v>
      </c>
      <c r="V140" s="8">
        <v>1203.58</v>
      </c>
      <c r="W140" s="8">
        <v>1856.16</v>
      </c>
      <c r="X140" s="8">
        <f t="shared" si="7"/>
        <v>815.10700000000008</v>
      </c>
      <c r="Y140" s="8">
        <f t="shared" si="8"/>
        <v>1620.05</v>
      </c>
      <c r="AA140">
        <v>0.129</v>
      </c>
      <c r="AB140">
        <f>IF(Table1[[#This Row],[DiscountPct]]&gt;0.2,1,0)</f>
        <v>0</v>
      </c>
      <c r="AC140" s="6">
        <v>22</v>
      </c>
      <c r="AD140" s="8">
        <f>Table1[[#This Row],[UnitPrice]]*Table1[[#This Row],[Quantity]]</f>
        <v>40835.520000000004</v>
      </c>
      <c r="AE140" s="8">
        <f>Table1[[#This Row],[UnitCost]]*Table1[[#This Row],[Quantity]]</f>
        <v>26478.76</v>
      </c>
      <c r="AF140" s="8">
        <f>Table1[[#This Row],[GrossRevenue]]-Table1[[#This Row],[CostOfGoods]]</f>
        <v>14356.760000000006</v>
      </c>
      <c r="AG140" s="8">
        <f>IF(Table1[[#This Row],[GrossRevenue]]=0,0,Table1[[#This Row],[GrossProfit]]/Table1[[#This Row],[GrossRevenue]])</f>
        <v>0.35157529523316966</v>
      </c>
    </row>
    <row r="141" spans="1:33" x14ac:dyDescent="0.45">
      <c r="A141" t="s">
        <v>154</v>
      </c>
      <c r="B141">
        <v>1</v>
      </c>
      <c r="C141" s="3">
        <v>45336</v>
      </c>
      <c r="D141" s="6">
        <f>YEAR(Table1[[#This Row],[OrderDate]]) * 100 + MONTH(Table1[[#This Row],[OrderDate]])</f>
        <v>202402</v>
      </c>
      <c r="E141" s="6">
        <f>_xlfn.MINIFS(Table1[OrderMonthKey],Table1[Country],Table1[[#This Row],[Country]])</f>
        <v>202301</v>
      </c>
      <c r="F141" s="6">
        <f>Table1[[#This Row],[CountryFirstMonthKey]]</f>
        <v>202301</v>
      </c>
      <c r="G141" s="6">
        <f>12*(INT(Table1[[#This Row],[OrderMonthKey]]/100)-INT(Table1[[#This Row],[CohortMonthKey]]/100)) + (MOD(Table1[[#This Row],[OrderMonthKey]],100)-MOD(Table1[[#This Row],[CohortMonthKey]],100))</f>
        <v>13</v>
      </c>
      <c r="H141" s="3" t="str">
        <f>TEXT(Table1[[#This Row],[OrderDate]],"MMM-YYYY")</f>
        <v>Feb-2024</v>
      </c>
      <c r="I141" s="3" t="str">
        <f t="shared" si="6"/>
        <v>Q4-2024</v>
      </c>
      <c r="J141" s="26" t="str">
        <f>IF(Table1[[#This Row],[LeadTimeDays]]&lt;=7,"Yes","No")</f>
        <v>Yes</v>
      </c>
      <c r="K141" s="6">
        <f>_xlfn.DAYS(Table1[[#This Row],[CorrectedRequiredDate]],Table1[[#This Row],[OrderDate]])</f>
        <v>0</v>
      </c>
      <c r="L141" s="3">
        <f>IF(Table1[[#This Row],[RequiredDate]]&lt;Table1[[#This Row],[OrderDate]],Table1[[#This Row],[OrderDate]],Table1[[#This Row],[RequiredDate]])</f>
        <v>45336</v>
      </c>
      <c r="M141" s="3">
        <v>45336</v>
      </c>
      <c r="N141" t="s">
        <v>647</v>
      </c>
      <c r="O141" t="s">
        <v>659</v>
      </c>
      <c r="P141" t="s">
        <v>699</v>
      </c>
      <c r="Q141" t="s">
        <v>701</v>
      </c>
      <c r="R141" t="s">
        <v>710</v>
      </c>
      <c r="S141" t="s">
        <v>716</v>
      </c>
      <c r="T141" t="s">
        <v>733</v>
      </c>
      <c r="U141" t="s">
        <v>873</v>
      </c>
      <c r="V141" s="8">
        <v>65.930000000000007</v>
      </c>
      <c r="W141" s="8">
        <v>84.9</v>
      </c>
      <c r="X141" s="8">
        <f t="shared" si="7"/>
        <v>815.10700000000008</v>
      </c>
      <c r="Y141" s="8">
        <f t="shared" si="8"/>
        <v>1620.05</v>
      </c>
      <c r="Z141" s="8" t="str">
        <f>IF(W140 &lt;= X139, "Low",IF(W140 &lt;= Y140, "Medium", "High"))</f>
        <v>High</v>
      </c>
      <c r="AA141">
        <v>0.25900000000000001</v>
      </c>
      <c r="AB141">
        <f>IF(Table1[[#This Row],[DiscountPct]]&gt;0.2,1,0)</f>
        <v>1</v>
      </c>
      <c r="AC141" s="6">
        <v>23</v>
      </c>
      <c r="AD141" s="8">
        <f>Table1[[#This Row],[UnitPrice]]*Table1[[#This Row],[Quantity]]</f>
        <v>1952.7</v>
      </c>
      <c r="AE141" s="8">
        <f>Table1[[#This Row],[UnitCost]]*Table1[[#This Row],[Quantity]]</f>
        <v>1516.39</v>
      </c>
      <c r="AF141" s="8">
        <f>Table1[[#This Row],[GrossRevenue]]-Table1[[#This Row],[CostOfGoods]]</f>
        <v>436.30999999999995</v>
      </c>
      <c r="AG141" s="9">
        <f>IF(Table1[[#This Row],[GrossRevenue]]=0,0,Table1[[#This Row],[GrossProfit]]/Table1[[#This Row],[GrossRevenue]])</f>
        <v>0.22343934040047111</v>
      </c>
    </row>
    <row r="142" spans="1:33" x14ac:dyDescent="0.45">
      <c r="A142" t="s">
        <v>155</v>
      </c>
      <c r="B142">
        <v>1</v>
      </c>
      <c r="C142" s="3">
        <v>45048</v>
      </c>
      <c r="D142" s="6">
        <f>YEAR(Table1[[#This Row],[OrderDate]]) * 100 + MONTH(Table1[[#This Row],[OrderDate]])</f>
        <v>202305</v>
      </c>
      <c r="E142" s="6">
        <f>_xlfn.MINIFS(Table1[OrderMonthKey],Table1[Country],Table1[[#This Row],[Country]])</f>
        <v>202302</v>
      </c>
      <c r="F142" s="6">
        <f>Table1[[#This Row],[CountryFirstMonthKey]]</f>
        <v>202302</v>
      </c>
      <c r="G142" s="6">
        <f>12*(INT(Table1[[#This Row],[OrderMonthKey]]/100)-INT(Table1[[#This Row],[CohortMonthKey]]/100)) + (MOD(Table1[[#This Row],[OrderMonthKey]],100)-MOD(Table1[[#This Row],[CohortMonthKey]],100))</f>
        <v>3</v>
      </c>
      <c r="H142" s="3" t="str">
        <f>TEXT(Table1[[#This Row],[OrderDate]],"MMM-YYYY")</f>
        <v>May-2023</v>
      </c>
      <c r="I142" s="3" t="str">
        <f t="shared" si="6"/>
        <v>Q1-2024</v>
      </c>
      <c r="J142" s="26" t="str">
        <f>IF(Table1[[#This Row],[LeadTimeDays]]&lt;=7,"Yes","No")</f>
        <v>No</v>
      </c>
      <c r="K142" s="6">
        <f>_xlfn.DAYS(Table1[[#This Row],[CorrectedRequiredDate]],Table1[[#This Row],[OrderDate]])</f>
        <v>16</v>
      </c>
      <c r="L142" s="3">
        <f>IF(Table1[[#This Row],[RequiredDate]]&lt;Table1[[#This Row],[OrderDate]],Table1[[#This Row],[OrderDate]],Table1[[#This Row],[RequiredDate]])</f>
        <v>45064</v>
      </c>
      <c r="M142" s="3">
        <v>45064</v>
      </c>
      <c r="N142" t="s">
        <v>647</v>
      </c>
      <c r="O142" t="s">
        <v>654</v>
      </c>
      <c r="P142" t="s">
        <v>680</v>
      </c>
      <c r="Q142" t="s">
        <v>705</v>
      </c>
      <c r="R142" t="s">
        <v>709</v>
      </c>
      <c r="S142" t="s">
        <v>723</v>
      </c>
      <c r="T142" t="s">
        <v>732</v>
      </c>
      <c r="U142" t="s">
        <v>874</v>
      </c>
      <c r="V142" s="8">
        <v>1463.92</v>
      </c>
      <c r="W142" s="8">
        <v>2252.2399999999998</v>
      </c>
      <c r="X142" s="8">
        <f t="shared" si="7"/>
        <v>815.10700000000008</v>
      </c>
      <c r="Y142" s="8">
        <f t="shared" si="8"/>
        <v>1620.05</v>
      </c>
      <c r="Z142" s="8" t="str">
        <f>IF(W141 &lt;= X140, "Low",IF(W141 &lt;= Y141, "Medium", "High"))</f>
        <v>Low</v>
      </c>
      <c r="AA142">
        <v>0.11799999999999999</v>
      </c>
      <c r="AB142">
        <f>IF(Table1[[#This Row],[DiscountPct]]&gt;0.2,1,0)</f>
        <v>0</v>
      </c>
      <c r="AC142" s="6">
        <v>44</v>
      </c>
      <c r="AD142" s="8">
        <f>Table1[[#This Row],[UnitPrice]]*Table1[[#This Row],[Quantity]]</f>
        <v>99098.559999999998</v>
      </c>
      <c r="AE142" s="8">
        <f>Table1[[#This Row],[UnitCost]]*Table1[[#This Row],[Quantity]]</f>
        <v>64412.480000000003</v>
      </c>
      <c r="AF142" s="8">
        <f>Table1[[#This Row],[GrossRevenue]]-Table1[[#This Row],[CostOfGoods]]</f>
        <v>34686.079999999994</v>
      </c>
      <c r="AG142" s="9">
        <f>IF(Table1[[#This Row],[GrossRevenue]]=0,0,Table1[[#This Row],[GrossProfit]]/Table1[[#This Row],[GrossRevenue]])</f>
        <v>0.35001598408695339</v>
      </c>
    </row>
    <row r="143" spans="1:33" hidden="1" x14ac:dyDescent="0.45">
      <c r="A143" t="s">
        <v>156</v>
      </c>
      <c r="C143" s="3">
        <v>45649</v>
      </c>
      <c r="D143" s="3">
        <f>YEAR(Table1[[#This Row],[OrderDate]]) * 100 + MONTH(Table1[[#This Row],[OrderDate]])</f>
        <v>202412</v>
      </c>
      <c r="E143" s="3">
        <f>_xlfn.MINIFS(Table1[OrderMonthKey],Table1[Country],Table1[[#This Row],[Country]])</f>
        <v>202301</v>
      </c>
      <c r="F143" s="3">
        <f>Table1[[#This Row],[CountryFirstMonthKey]]</f>
        <v>202301</v>
      </c>
      <c r="G143" s="3">
        <f>12*(INT(Table1[[#This Row],[OrderMonthKey]]/100)-INT(Table1[[#This Row],[CohortMonthKey]]/100)) + (MOD(Table1[[#This Row],[OrderMonthKey]],100)-MOD(Table1[[#This Row],[CohortMonthKey]],100))</f>
        <v>23</v>
      </c>
      <c r="H143" s="3" t="str">
        <f>TEXT(Table1[[#This Row],[OrderDate]],"MMM-YYYY")</f>
        <v>Dec-2024</v>
      </c>
      <c r="I143" s="3" t="str">
        <f t="shared" si="6"/>
        <v>Q2-2023</v>
      </c>
      <c r="J143" s="3" t="str">
        <f>IF(Table1[[#This Row],[LeadTimeDays]]&lt;=7,"Yes","No")</f>
        <v>No</v>
      </c>
      <c r="K143" s="3">
        <f>_xlfn.DAYS(Table1[[#This Row],[CorrectedRequiredDate]],Table1[[#This Row],[OrderDate]])</f>
        <v>19</v>
      </c>
      <c r="L143" s="3">
        <f>IF(Table1[[#This Row],[RequiredDate]]&lt;Table1[[#This Row],[OrderDate]],Table1[[#This Row],[OrderDate]],Table1[[#This Row],[RequiredDate]])</f>
        <v>45668</v>
      </c>
      <c r="M143" s="3">
        <v>45668</v>
      </c>
      <c r="N143" t="s">
        <v>649</v>
      </c>
      <c r="O143" t="s">
        <v>656</v>
      </c>
      <c r="P143" t="s">
        <v>671</v>
      </c>
      <c r="Q143" t="s">
        <v>702</v>
      </c>
      <c r="R143" t="s">
        <v>707</v>
      </c>
      <c r="S143" t="s">
        <v>723</v>
      </c>
      <c r="T143" t="s">
        <v>730</v>
      </c>
      <c r="U143" t="s">
        <v>875</v>
      </c>
      <c r="V143" s="8">
        <v>501.81</v>
      </c>
      <c r="W143" s="8">
        <v>921.62</v>
      </c>
      <c r="X143" s="8">
        <f t="shared" si="7"/>
        <v>815.10700000000008</v>
      </c>
      <c r="Y143" s="8">
        <f t="shared" si="8"/>
        <v>1620.05</v>
      </c>
      <c r="AA143">
        <v>0.01</v>
      </c>
      <c r="AB143">
        <f>IF(Table1[[#This Row],[DiscountPct]]&gt;0.2,1,0)</f>
        <v>0</v>
      </c>
      <c r="AC143" s="6">
        <v>9</v>
      </c>
      <c r="AD143" s="8">
        <f>Table1[[#This Row],[UnitPrice]]*Table1[[#This Row],[Quantity]]</f>
        <v>8294.58</v>
      </c>
      <c r="AE143" s="8">
        <f>Table1[[#This Row],[UnitCost]]*Table1[[#This Row],[Quantity]]</f>
        <v>4516.29</v>
      </c>
      <c r="AF143" s="8">
        <f>Table1[[#This Row],[GrossRevenue]]-Table1[[#This Row],[CostOfGoods]]</f>
        <v>3778.29</v>
      </c>
      <c r="AG143" s="8">
        <f>IF(Table1[[#This Row],[GrossRevenue]]=0,0,Table1[[#This Row],[GrossProfit]]/Table1[[#This Row],[GrossRevenue]])</f>
        <v>0.45551311820490009</v>
      </c>
    </row>
    <row r="144" spans="1:33" hidden="1" x14ac:dyDescent="0.45">
      <c r="A144" t="s">
        <v>157</v>
      </c>
      <c r="C144" s="3">
        <v>45133</v>
      </c>
      <c r="D144" s="3">
        <f>YEAR(Table1[[#This Row],[OrderDate]]) * 100 + MONTH(Table1[[#This Row],[OrderDate]])</f>
        <v>202307</v>
      </c>
      <c r="E144" s="3">
        <f>_xlfn.MINIFS(Table1[OrderMonthKey],Table1[Country],Table1[[#This Row],[Country]])</f>
        <v>202301</v>
      </c>
      <c r="F144" s="3">
        <f>Table1[[#This Row],[CountryFirstMonthKey]]</f>
        <v>202301</v>
      </c>
      <c r="G144" s="3">
        <f>12*(INT(Table1[[#This Row],[OrderMonthKey]]/100)-INT(Table1[[#This Row],[CohortMonthKey]]/100)) + (MOD(Table1[[#This Row],[OrderMonthKey]],100)-MOD(Table1[[#This Row],[CohortMonthKey]],100))</f>
        <v>6</v>
      </c>
      <c r="H144" s="3" t="str">
        <f>TEXT(Table1[[#This Row],[OrderDate]],"MMM-YYYY")</f>
        <v>Jul-2023</v>
      </c>
      <c r="I144" s="3" t="str">
        <f t="shared" si="6"/>
        <v>Q4-2024</v>
      </c>
      <c r="J144" s="3" t="str">
        <f>IF(Table1[[#This Row],[LeadTimeDays]]&lt;=7,"Yes","No")</f>
        <v>No</v>
      </c>
      <c r="K144" s="3">
        <f>_xlfn.DAYS(Table1[[#This Row],[CorrectedRequiredDate]],Table1[[#This Row],[OrderDate]])</f>
        <v>30</v>
      </c>
      <c r="L144" s="3">
        <f>IF(Table1[[#This Row],[RequiredDate]]&lt;Table1[[#This Row],[OrderDate]],Table1[[#This Row],[OrderDate]],Table1[[#This Row],[RequiredDate]])</f>
        <v>45163</v>
      </c>
      <c r="M144" s="3">
        <v>45163</v>
      </c>
      <c r="N144" t="s">
        <v>648</v>
      </c>
      <c r="O144" t="s">
        <v>660</v>
      </c>
      <c r="P144" t="s">
        <v>700</v>
      </c>
      <c r="Q144" t="s">
        <v>704</v>
      </c>
      <c r="R144" t="s">
        <v>707</v>
      </c>
      <c r="S144" t="s">
        <v>724</v>
      </c>
      <c r="T144" t="s">
        <v>733</v>
      </c>
      <c r="U144" t="s">
        <v>876</v>
      </c>
      <c r="V144" s="8">
        <v>1261.48</v>
      </c>
      <c r="W144" s="8">
        <v>1643.18</v>
      </c>
      <c r="X144" s="8">
        <f t="shared" si="7"/>
        <v>815.10700000000008</v>
      </c>
      <c r="Y144" s="8">
        <f t="shared" si="8"/>
        <v>1620.05</v>
      </c>
      <c r="AA144">
        <v>0.151</v>
      </c>
      <c r="AB144">
        <f>IF(Table1[[#This Row],[DiscountPct]]&gt;0.2,1,0)</f>
        <v>0</v>
      </c>
      <c r="AC144" s="6">
        <v>23</v>
      </c>
      <c r="AD144" s="8">
        <f>Table1[[#This Row],[UnitPrice]]*Table1[[#This Row],[Quantity]]</f>
        <v>37793.14</v>
      </c>
      <c r="AE144" s="8">
        <f>Table1[[#This Row],[UnitCost]]*Table1[[#This Row],[Quantity]]</f>
        <v>29014.04</v>
      </c>
      <c r="AF144" s="8">
        <f>Table1[[#This Row],[GrossRevenue]]-Table1[[#This Row],[CostOfGoods]]</f>
        <v>8779.0999999999985</v>
      </c>
      <c r="AG144" s="8">
        <f>IF(Table1[[#This Row],[GrossRevenue]]=0,0,Table1[[#This Row],[GrossProfit]]/Table1[[#This Row],[GrossRevenue]])</f>
        <v>0.2322934797161601</v>
      </c>
    </row>
    <row r="145" spans="1:33" x14ac:dyDescent="0.45">
      <c r="A145" t="s">
        <v>158</v>
      </c>
      <c r="B145">
        <v>1</v>
      </c>
      <c r="C145" s="3">
        <v>45458</v>
      </c>
      <c r="D145" s="6">
        <f>YEAR(Table1[[#This Row],[OrderDate]]) * 100 + MONTH(Table1[[#This Row],[OrderDate]])</f>
        <v>202406</v>
      </c>
      <c r="E145" s="6">
        <f>_xlfn.MINIFS(Table1[OrderMonthKey],Table1[Country],Table1[[#This Row],[Country]])</f>
        <v>202301</v>
      </c>
      <c r="F145" s="6">
        <f>Table1[[#This Row],[CountryFirstMonthKey]]</f>
        <v>202301</v>
      </c>
      <c r="G145" s="6">
        <f>12*(INT(Table1[[#This Row],[OrderMonthKey]]/100)-INT(Table1[[#This Row],[CohortMonthKey]]/100)) + (MOD(Table1[[#This Row],[OrderMonthKey]],100)-MOD(Table1[[#This Row],[CohortMonthKey]],100))</f>
        <v>17</v>
      </c>
      <c r="H145" s="3" t="str">
        <f>TEXT(Table1[[#This Row],[OrderDate]],"MMM-YYYY")</f>
        <v>Jun-2024</v>
      </c>
      <c r="I145" s="3" t="str">
        <f t="shared" si="6"/>
        <v>Q3-2023</v>
      </c>
      <c r="J145" s="26" t="str">
        <f>IF(Table1[[#This Row],[LeadTimeDays]]&lt;=7,"Yes","No")</f>
        <v>No</v>
      </c>
      <c r="K145" s="6">
        <f>_xlfn.DAYS(Table1[[#This Row],[CorrectedRequiredDate]],Table1[[#This Row],[OrderDate]])</f>
        <v>21</v>
      </c>
      <c r="L145" s="3">
        <f>IF(Table1[[#This Row],[RequiredDate]]&lt;Table1[[#This Row],[OrderDate]],Table1[[#This Row],[OrderDate]],Table1[[#This Row],[RequiredDate]])</f>
        <v>45479</v>
      </c>
      <c r="M145" s="3">
        <v>45479</v>
      </c>
      <c r="N145" t="s">
        <v>648</v>
      </c>
      <c r="O145" t="s">
        <v>653</v>
      </c>
      <c r="P145" t="s">
        <v>667</v>
      </c>
      <c r="Q145" t="s">
        <v>706</v>
      </c>
      <c r="R145" t="s">
        <v>710</v>
      </c>
      <c r="S145" t="s">
        <v>716</v>
      </c>
      <c r="T145" t="s">
        <v>728</v>
      </c>
      <c r="U145" t="s">
        <v>877</v>
      </c>
      <c r="V145" s="8">
        <v>817.23</v>
      </c>
      <c r="W145" s="8">
        <v>1467.17</v>
      </c>
      <c r="X145" s="8">
        <f t="shared" si="7"/>
        <v>815.10700000000008</v>
      </c>
      <c r="Y145" s="8">
        <f t="shared" si="8"/>
        <v>1620.05</v>
      </c>
      <c r="Z145" s="8" t="str">
        <f>IF(W144 &lt;= X143, "Low",IF(W144 &lt;= Y144, "Medium", "High"))</f>
        <v>High</v>
      </c>
      <c r="AA145">
        <v>0.245</v>
      </c>
      <c r="AB145">
        <f>IF(Table1[[#This Row],[DiscountPct]]&gt;0.2,1,0)</f>
        <v>1</v>
      </c>
      <c r="AC145" s="6">
        <v>9</v>
      </c>
      <c r="AD145" s="8">
        <f>Table1[[#This Row],[UnitPrice]]*Table1[[#This Row],[Quantity]]</f>
        <v>13204.53</v>
      </c>
      <c r="AE145" s="8">
        <f>Table1[[#This Row],[UnitCost]]*Table1[[#This Row],[Quantity]]</f>
        <v>7355.07</v>
      </c>
      <c r="AF145" s="8">
        <f>Table1[[#This Row],[GrossRevenue]]-Table1[[#This Row],[CostOfGoods]]</f>
        <v>5849.4600000000009</v>
      </c>
      <c r="AG145" s="9">
        <f>IF(Table1[[#This Row],[GrossRevenue]]=0,0,Table1[[#This Row],[GrossProfit]]/Table1[[#This Row],[GrossRevenue]])</f>
        <v>0.44298888336048314</v>
      </c>
    </row>
    <row r="146" spans="1:33" x14ac:dyDescent="0.45">
      <c r="A146" t="s">
        <v>159</v>
      </c>
      <c r="B146">
        <v>1</v>
      </c>
      <c r="C146" s="3">
        <v>45112</v>
      </c>
      <c r="D146" s="6">
        <f>YEAR(Table1[[#This Row],[OrderDate]]) * 100 + MONTH(Table1[[#This Row],[OrderDate]])</f>
        <v>202307</v>
      </c>
      <c r="E146" s="6">
        <f>_xlfn.MINIFS(Table1[OrderMonthKey],Table1[Country],Table1[[#This Row],[Country]])</f>
        <v>202301</v>
      </c>
      <c r="F146" s="6">
        <f>Table1[[#This Row],[CountryFirstMonthKey]]</f>
        <v>202301</v>
      </c>
      <c r="G146" s="6">
        <f>12*(INT(Table1[[#This Row],[OrderMonthKey]]/100)-INT(Table1[[#This Row],[CohortMonthKey]]/100)) + (MOD(Table1[[#This Row],[OrderMonthKey]],100)-MOD(Table1[[#This Row],[CohortMonthKey]],100))</f>
        <v>6</v>
      </c>
      <c r="H146" s="3" t="str">
        <f>TEXT(Table1[[#This Row],[OrderDate]],"MMM-YYYY")</f>
        <v>Jul-2023</v>
      </c>
      <c r="I146" s="3" t="str">
        <f t="shared" si="6"/>
        <v>Q2-2024</v>
      </c>
      <c r="J146" s="26" t="str">
        <f>IF(Table1[[#This Row],[LeadTimeDays]]&lt;=7,"Yes","No")</f>
        <v>No</v>
      </c>
      <c r="K146" s="6">
        <f>_xlfn.DAYS(Table1[[#This Row],[CorrectedRequiredDate]],Table1[[#This Row],[OrderDate]])</f>
        <v>9</v>
      </c>
      <c r="L146" s="3">
        <f>IF(Table1[[#This Row],[RequiredDate]]&lt;Table1[[#This Row],[OrderDate]],Table1[[#This Row],[OrderDate]],Table1[[#This Row],[RequiredDate]])</f>
        <v>45121</v>
      </c>
      <c r="M146" s="3">
        <v>45121</v>
      </c>
      <c r="N146" t="s">
        <v>648</v>
      </c>
      <c r="O146" t="s">
        <v>655</v>
      </c>
      <c r="P146" t="s">
        <v>672</v>
      </c>
      <c r="Q146" t="s">
        <v>706</v>
      </c>
      <c r="R146" t="s">
        <v>711</v>
      </c>
      <c r="S146" t="s">
        <v>717</v>
      </c>
      <c r="T146" t="s">
        <v>729</v>
      </c>
      <c r="U146" t="s">
        <v>878</v>
      </c>
      <c r="V146" s="8">
        <v>578.85</v>
      </c>
      <c r="W146" s="8">
        <v>998.76</v>
      </c>
      <c r="X146" s="8">
        <f t="shared" si="7"/>
        <v>815.10700000000008</v>
      </c>
      <c r="Y146" s="8">
        <f t="shared" si="8"/>
        <v>1620.05</v>
      </c>
      <c r="Z146" s="8" t="str">
        <f>IF(W145 &lt;= X144, "Low",IF(W145 &lt;= Y145, "Medium", "High"))</f>
        <v>Medium</v>
      </c>
      <c r="AA146">
        <v>8.2000000000000003E-2</v>
      </c>
      <c r="AB146">
        <f>IF(Table1[[#This Row],[DiscountPct]]&gt;0.2,1,0)</f>
        <v>0</v>
      </c>
      <c r="AC146" s="6">
        <v>28</v>
      </c>
      <c r="AD146" s="8">
        <f>Table1[[#This Row],[UnitPrice]]*Table1[[#This Row],[Quantity]]</f>
        <v>27965.279999999999</v>
      </c>
      <c r="AE146" s="8">
        <f>Table1[[#This Row],[UnitCost]]*Table1[[#This Row],[Quantity]]</f>
        <v>16207.800000000001</v>
      </c>
      <c r="AF146" s="8">
        <f>Table1[[#This Row],[GrossRevenue]]-Table1[[#This Row],[CostOfGoods]]</f>
        <v>11757.479999999998</v>
      </c>
      <c r="AG146" s="9">
        <f>IF(Table1[[#This Row],[GrossRevenue]]=0,0,Table1[[#This Row],[GrossProfit]]/Table1[[#This Row],[GrossRevenue]])</f>
        <v>0.42043133485522038</v>
      </c>
    </row>
    <row r="147" spans="1:33" hidden="1" x14ac:dyDescent="0.45">
      <c r="A147" t="s">
        <v>160</v>
      </c>
      <c r="C147" s="3">
        <v>45260</v>
      </c>
      <c r="D147" s="3">
        <f>YEAR(Table1[[#This Row],[OrderDate]]) * 100 + MONTH(Table1[[#This Row],[OrderDate]])</f>
        <v>202311</v>
      </c>
      <c r="E147" s="3">
        <f>_xlfn.MINIFS(Table1[OrderMonthKey],Table1[Country],Table1[[#This Row],[Country]])</f>
        <v>202301</v>
      </c>
      <c r="F147" s="3">
        <f>Table1[[#This Row],[CountryFirstMonthKey]]</f>
        <v>202301</v>
      </c>
      <c r="G147" s="3">
        <f>12*(INT(Table1[[#This Row],[OrderMonthKey]]/100)-INT(Table1[[#This Row],[CohortMonthKey]]/100)) + (MOD(Table1[[#This Row],[OrderMonthKey]],100)-MOD(Table1[[#This Row],[CohortMonthKey]],100))</f>
        <v>10</v>
      </c>
      <c r="H147" s="3" t="str">
        <f>TEXT(Table1[[#This Row],[OrderDate]],"MMM-YYYY")</f>
        <v>Nov-2023</v>
      </c>
      <c r="I147" s="3" t="str">
        <f t="shared" si="6"/>
        <v>Q3-2023</v>
      </c>
      <c r="J147" s="3" t="str">
        <f>IF(Table1[[#This Row],[LeadTimeDays]]&lt;=7,"Yes","No")</f>
        <v>Yes</v>
      </c>
      <c r="K147" s="3">
        <f>_xlfn.DAYS(Table1[[#This Row],[CorrectedRequiredDate]],Table1[[#This Row],[OrderDate]])</f>
        <v>0</v>
      </c>
      <c r="L147" s="3">
        <f>IF(Table1[[#This Row],[RequiredDate]]&lt;Table1[[#This Row],[OrderDate]],Table1[[#This Row],[OrderDate]],Table1[[#This Row],[RequiredDate]])</f>
        <v>45260</v>
      </c>
      <c r="M147" s="3">
        <v>45259</v>
      </c>
      <c r="N147" t="s">
        <v>646</v>
      </c>
      <c r="O147" t="s">
        <v>661</v>
      </c>
      <c r="P147" t="s">
        <v>687</v>
      </c>
      <c r="Q147" t="s">
        <v>705</v>
      </c>
      <c r="R147" t="s">
        <v>709</v>
      </c>
      <c r="S147" t="s">
        <v>718</v>
      </c>
      <c r="T147" t="s">
        <v>731</v>
      </c>
      <c r="U147" t="s">
        <v>879</v>
      </c>
      <c r="V147" s="8">
        <v>275.56</v>
      </c>
      <c r="W147" s="8">
        <v>630.72</v>
      </c>
      <c r="X147" s="8">
        <f t="shared" si="7"/>
        <v>815.10700000000008</v>
      </c>
      <c r="Y147" s="8">
        <f t="shared" si="8"/>
        <v>1620.05</v>
      </c>
      <c r="AA147">
        <v>0.107</v>
      </c>
      <c r="AB147">
        <f>IF(Table1[[#This Row],[DiscountPct]]&gt;0.2,1,0)</f>
        <v>0</v>
      </c>
      <c r="AC147" s="6">
        <v>23</v>
      </c>
      <c r="AD147" s="8">
        <f>Table1[[#This Row],[UnitPrice]]*Table1[[#This Row],[Quantity]]</f>
        <v>14506.560000000001</v>
      </c>
      <c r="AE147" s="8">
        <f>Table1[[#This Row],[UnitCost]]*Table1[[#This Row],[Quantity]]</f>
        <v>6337.88</v>
      </c>
      <c r="AF147" s="8">
        <f>Table1[[#This Row],[GrossRevenue]]-Table1[[#This Row],[CostOfGoods]]</f>
        <v>8168.6800000000012</v>
      </c>
      <c r="AG147" s="8">
        <f>IF(Table1[[#This Row],[GrossRevenue]]=0,0,Table1[[#This Row],[GrossProfit]]/Table1[[#This Row],[GrossRevenue]])</f>
        <v>0.56310248604769153</v>
      </c>
    </row>
    <row r="148" spans="1:33" hidden="1" x14ac:dyDescent="0.45">
      <c r="A148" t="s">
        <v>161</v>
      </c>
      <c r="C148" s="3">
        <v>45911</v>
      </c>
      <c r="D148" s="3">
        <f>YEAR(Table1[[#This Row],[OrderDate]]) * 100 + MONTH(Table1[[#This Row],[OrderDate]])</f>
        <v>202509</v>
      </c>
      <c r="E148" s="3">
        <f>_xlfn.MINIFS(Table1[OrderMonthKey],Table1[Country],Table1[[#This Row],[Country]])</f>
        <v>202301</v>
      </c>
      <c r="F148" s="3">
        <f>Table1[[#This Row],[CountryFirstMonthKey]]</f>
        <v>202301</v>
      </c>
      <c r="G148" s="3">
        <f>12*(INT(Table1[[#This Row],[OrderMonthKey]]/100)-INT(Table1[[#This Row],[CohortMonthKey]]/100)) + (MOD(Table1[[#This Row],[OrderMonthKey]],100)-MOD(Table1[[#This Row],[CohortMonthKey]],100))</f>
        <v>32</v>
      </c>
      <c r="H148" s="3" t="str">
        <f>TEXT(Table1[[#This Row],[OrderDate]],"MMM-YYYY")</f>
        <v>Sep-2025</v>
      </c>
      <c r="I148" s="3" t="str">
        <f t="shared" si="6"/>
        <v>Q4-2023</v>
      </c>
      <c r="J148" s="3" t="str">
        <f>IF(Table1[[#This Row],[LeadTimeDays]]&lt;=7,"Yes","No")</f>
        <v>No</v>
      </c>
      <c r="K148" s="3">
        <f>_xlfn.DAYS(Table1[[#This Row],[CorrectedRequiredDate]],Table1[[#This Row],[OrderDate]])</f>
        <v>17</v>
      </c>
      <c r="L148" s="3">
        <f>IF(Table1[[#This Row],[RequiredDate]]&lt;Table1[[#This Row],[OrderDate]],Table1[[#This Row],[OrderDate]],Table1[[#This Row],[RequiredDate]])</f>
        <v>45928</v>
      </c>
      <c r="M148" s="3">
        <v>45928</v>
      </c>
      <c r="N148" t="s">
        <v>646</v>
      </c>
      <c r="O148" t="s">
        <v>650</v>
      </c>
      <c r="P148" t="s">
        <v>664</v>
      </c>
      <c r="Q148" t="s">
        <v>703</v>
      </c>
      <c r="R148" t="s">
        <v>710</v>
      </c>
      <c r="S148" t="s">
        <v>713</v>
      </c>
      <c r="T148" t="s">
        <v>731</v>
      </c>
      <c r="U148" t="s">
        <v>880</v>
      </c>
      <c r="V148" s="8">
        <v>891.46</v>
      </c>
      <c r="W148" s="8">
        <v>728.61</v>
      </c>
      <c r="X148" s="8">
        <f t="shared" si="7"/>
        <v>815.10700000000008</v>
      </c>
      <c r="Y148" s="8">
        <f t="shared" si="8"/>
        <v>1620.05</v>
      </c>
      <c r="AA148">
        <v>0.185</v>
      </c>
      <c r="AB148">
        <f>IF(Table1[[#This Row],[DiscountPct]]&gt;0.2,1,0)</f>
        <v>0</v>
      </c>
      <c r="AC148" s="6">
        <v>6</v>
      </c>
      <c r="AD148" s="8">
        <f>Table1[[#This Row],[UnitPrice]]*Table1[[#This Row],[Quantity]]</f>
        <v>4371.66</v>
      </c>
      <c r="AE148" s="8">
        <f>Table1[[#This Row],[UnitCost]]*Table1[[#This Row],[Quantity]]</f>
        <v>5348.76</v>
      </c>
      <c r="AF148" s="8">
        <f>Table1[[#This Row],[GrossRevenue]]-Table1[[#This Row],[CostOfGoods]]</f>
        <v>-977.10000000000036</v>
      </c>
      <c r="AG148" s="8">
        <f>IF(Table1[[#This Row],[GrossRevenue]]=0,0,Table1[[#This Row],[GrossProfit]]/Table1[[#This Row],[GrossRevenue]])</f>
        <v>-0.22350777507857436</v>
      </c>
    </row>
    <row r="149" spans="1:33" hidden="1" x14ac:dyDescent="0.45">
      <c r="A149" t="s">
        <v>162</v>
      </c>
      <c r="C149" s="3">
        <v>45386</v>
      </c>
      <c r="D149" s="3">
        <f>YEAR(Table1[[#This Row],[OrderDate]]) * 100 + MONTH(Table1[[#This Row],[OrderDate]])</f>
        <v>202404</v>
      </c>
      <c r="E149" s="3">
        <f>_xlfn.MINIFS(Table1[OrderMonthKey],Table1[Country],Table1[[#This Row],[Country]])</f>
        <v>202301</v>
      </c>
      <c r="F149" s="3">
        <f>Table1[[#This Row],[CountryFirstMonthKey]]</f>
        <v>202301</v>
      </c>
      <c r="G149" s="3">
        <f>12*(INT(Table1[[#This Row],[OrderMonthKey]]/100)-INT(Table1[[#This Row],[CohortMonthKey]]/100)) + (MOD(Table1[[#This Row],[OrderMonthKey]],100)-MOD(Table1[[#This Row],[CohortMonthKey]],100))</f>
        <v>15</v>
      </c>
      <c r="H149" s="3" t="str">
        <f>TEXT(Table1[[#This Row],[OrderDate]],"MMM-YYYY")</f>
        <v>Apr-2024</v>
      </c>
      <c r="I149" s="3" t="str">
        <f t="shared" si="6"/>
        <v>Q3-2025</v>
      </c>
      <c r="J149" s="3" t="str">
        <f>IF(Table1[[#This Row],[LeadTimeDays]]&lt;=7,"Yes","No")</f>
        <v>No</v>
      </c>
      <c r="K149" s="3">
        <f>_xlfn.DAYS(Table1[[#This Row],[CorrectedRequiredDate]],Table1[[#This Row],[OrderDate]])</f>
        <v>20</v>
      </c>
      <c r="L149" s="3">
        <f>IF(Table1[[#This Row],[RequiredDate]]&lt;Table1[[#This Row],[OrderDate]],Table1[[#This Row],[OrderDate]],Table1[[#This Row],[RequiredDate]])</f>
        <v>45406</v>
      </c>
      <c r="M149" s="3">
        <v>45406</v>
      </c>
      <c r="N149" t="s">
        <v>649</v>
      </c>
      <c r="O149" t="s">
        <v>656</v>
      </c>
      <c r="P149" t="s">
        <v>698</v>
      </c>
      <c r="Q149" t="s">
        <v>703</v>
      </c>
      <c r="R149" t="s">
        <v>711</v>
      </c>
      <c r="S149" t="s">
        <v>719</v>
      </c>
      <c r="T149" t="s">
        <v>733</v>
      </c>
      <c r="U149" t="s">
        <v>881</v>
      </c>
      <c r="V149" s="8">
        <v>683.42</v>
      </c>
      <c r="W149" s="8">
        <v>951.51</v>
      </c>
      <c r="X149" s="8">
        <f t="shared" si="7"/>
        <v>815.10700000000008</v>
      </c>
      <c r="Y149" s="8">
        <f t="shared" si="8"/>
        <v>1620.05</v>
      </c>
      <c r="AA149">
        <v>0</v>
      </c>
      <c r="AB149">
        <f>IF(Table1[[#This Row],[DiscountPct]]&gt;0.2,1,0)</f>
        <v>0</v>
      </c>
      <c r="AC149" s="6">
        <v>14</v>
      </c>
      <c r="AD149" s="8">
        <f>Table1[[#This Row],[UnitPrice]]*Table1[[#This Row],[Quantity]]</f>
        <v>13321.14</v>
      </c>
      <c r="AE149" s="8">
        <f>Table1[[#This Row],[UnitCost]]*Table1[[#This Row],[Quantity]]</f>
        <v>9567.8799999999992</v>
      </c>
      <c r="AF149" s="8">
        <f>Table1[[#This Row],[GrossRevenue]]-Table1[[#This Row],[CostOfGoods]]</f>
        <v>3753.26</v>
      </c>
      <c r="AG149" s="8">
        <f>IF(Table1[[#This Row],[GrossRevenue]]=0,0,Table1[[#This Row],[GrossProfit]]/Table1[[#This Row],[GrossRevenue]])</f>
        <v>0.28175216235247136</v>
      </c>
    </row>
    <row r="150" spans="1:33" hidden="1" x14ac:dyDescent="0.45">
      <c r="A150" t="s">
        <v>163</v>
      </c>
      <c r="C150" s="3">
        <v>45183</v>
      </c>
      <c r="D150" s="3">
        <f>YEAR(Table1[[#This Row],[OrderDate]]) * 100 + MONTH(Table1[[#This Row],[OrderDate]])</f>
        <v>202309</v>
      </c>
      <c r="E150" s="3">
        <f>_xlfn.MINIFS(Table1[OrderMonthKey],Table1[Country],Table1[[#This Row],[Country]])</f>
        <v>202301</v>
      </c>
      <c r="F150" s="3">
        <f>Table1[[#This Row],[CountryFirstMonthKey]]</f>
        <v>202301</v>
      </c>
      <c r="G150" s="3">
        <f>12*(INT(Table1[[#This Row],[OrderMonthKey]]/100)-INT(Table1[[#This Row],[CohortMonthKey]]/100)) + (MOD(Table1[[#This Row],[OrderMonthKey]],100)-MOD(Table1[[#This Row],[CohortMonthKey]],100))</f>
        <v>8</v>
      </c>
      <c r="H150" s="3" t="str">
        <f>TEXT(Table1[[#This Row],[OrderDate]],"MMM-YYYY")</f>
        <v>Sep-2023</v>
      </c>
      <c r="I150" s="3" t="str">
        <f t="shared" si="6"/>
        <v>Q2-2024</v>
      </c>
      <c r="J150" s="3" t="str">
        <f>IF(Table1[[#This Row],[LeadTimeDays]]&lt;=7,"Yes","No")</f>
        <v>Yes</v>
      </c>
      <c r="K150" s="3">
        <f>_xlfn.DAYS(Table1[[#This Row],[CorrectedRequiredDate]],Table1[[#This Row],[OrderDate]])</f>
        <v>2</v>
      </c>
      <c r="L150" s="3">
        <f>IF(Table1[[#This Row],[RequiredDate]]&lt;Table1[[#This Row],[OrderDate]],Table1[[#This Row],[OrderDate]],Table1[[#This Row],[RequiredDate]])</f>
        <v>45185</v>
      </c>
      <c r="M150" s="3">
        <v>45185</v>
      </c>
      <c r="N150" t="s">
        <v>649</v>
      </c>
      <c r="O150" t="s">
        <v>657</v>
      </c>
      <c r="P150" t="s">
        <v>679</v>
      </c>
      <c r="Q150" t="s">
        <v>703</v>
      </c>
      <c r="R150" t="s">
        <v>711</v>
      </c>
      <c r="S150" t="s">
        <v>717</v>
      </c>
      <c r="T150" t="s">
        <v>728</v>
      </c>
      <c r="U150" t="s">
        <v>882</v>
      </c>
      <c r="V150" s="8">
        <v>376.83</v>
      </c>
      <c r="W150" s="8">
        <v>732.88</v>
      </c>
      <c r="X150" s="8">
        <f t="shared" si="7"/>
        <v>815.10700000000008</v>
      </c>
      <c r="Y150" s="8">
        <f t="shared" si="8"/>
        <v>1620.05</v>
      </c>
      <c r="AA150">
        <v>0.188</v>
      </c>
      <c r="AB150">
        <f>IF(Table1[[#This Row],[DiscountPct]]&gt;0.2,1,0)</f>
        <v>0</v>
      </c>
      <c r="AC150" s="6">
        <v>25</v>
      </c>
      <c r="AD150" s="8">
        <f>Table1[[#This Row],[UnitPrice]]*Table1[[#This Row],[Quantity]]</f>
        <v>18322</v>
      </c>
      <c r="AE150" s="8">
        <f>Table1[[#This Row],[UnitCost]]*Table1[[#This Row],[Quantity]]</f>
        <v>9420.75</v>
      </c>
      <c r="AF150" s="8">
        <f>Table1[[#This Row],[GrossRevenue]]-Table1[[#This Row],[CostOfGoods]]</f>
        <v>8901.25</v>
      </c>
      <c r="AG150" s="8">
        <f>IF(Table1[[#This Row],[GrossRevenue]]=0,0,Table1[[#This Row],[GrossProfit]]/Table1[[#This Row],[GrossRevenue]])</f>
        <v>0.48582305425171923</v>
      </c>
    </row>
    <row r="151" spans="1:33" x14ac:dyDescent="0.45">
      <c r="A151" t="s">
        <v>164</v>
      </c>
      <c r="B151">
        <v>1</v>
      </c>
      <c r="C151" s="3">
        <v>45558</v>
      </c>
      <c r="D151" s="6">
        <f>YEAR(Table1[[#This Row],[OrderDate]]) * 100 + MONTH(Table1[[#This Row],[OrderDate]])</f>
        <v>202409</v>
      </c>
      <c r="E151" s="6">
        <f>_xlfn.MINIFS(Table1[OrderMonthKey],Table1[Country],Table1[[#This Row],[Country]])</f>
        <v>202301</v>
      </c>
      <c r="F151" s="6">
        <f>Table1[[#This Row],[CountryFirstMonthKey]]</f>
        <v>202301</v>
      </c>
      <c r="G151" s="6">
        <f>12*(INT(Table1[[#This Row],[OrderMonthKey]]/100)-INT(Table1[[#This Row],[CohortMonthKey]]/100)) + (MOD(Table1[[#This Row],[OrderMonthKey]],100)-MOD(Table1[[#This Row],[CohortMonthKey]],100))</f>
        <v>20</v>
      </c>
      <c r="H151" s="3" t="str">
        <f>TEXT(Table1[[#This Row],[OrderDate]],"MMM-YYYY")</f>
        <v>Sep-2024</v>
      </c>
      <c r="I151" s="3" t="str">
        <f t="shared" si="6"/>
        <v>Q3-2023</v>
      </c>
      <c r="J151" s="26" t="str">
        <f>IF(Table1[[#This Row],[LeadTimeDays]]&lt;=7,"Yes","No")</f>
        <v>No</v>
      </c>
      <c r="K151" s="6">
        <f>_xlfn.DAYS(Table1[[#This Row],[CorrectedRequiredDate]],Table1[[#This Row],[OrderDate]])</f>
        <v>25</v>
      </c>
      <c r="L151" s="3">
        <f>IF(Table1[[#This Row],[RequiredDate]]&lt;Table1[[#This Row],[OrderDate]],Table1[[#This Row],[OrderDate]],Table1[[#This Row],[RequiredDate]])</f>
        <v>45583</v>
      </c>
      <c r="M151" s="3">
        <v>45583</v>
      </c>
      <c r="N151" t="s">
        <v>648</v>
      </c>
      <c r="O151" t="s">
        <v>653</v>
      </c>
      <c r="P151" t="s">
        <v>688</v>
      </c>
      <c r="Q151" t="s">
        <v>705</v>
      </c>
      <c r="R151" t="s">
        <v>708</v>
      </c>
      <c r="S151" t="s">
        <v>725</v>
      </c>
      <c r="T151" t="s">
        <v>730</v>
      </c>
      <c r="U151" t="s">
        <v>883</v>
      </c>
      <c r="V151" s="8">
        <v>1297</v>
      </c>
      <c r="W151" s="8">
        <v>2411.52</v>
      </c>
      <c r="X151" s="8">
        <f t="shared" si="7"/>
        <v>815.10700000000008</v>
      </c>
      <c r="Y151" s="8">
        <f t="shared" si="8"/>
        <v>1620.05</v>
      </c>
      <c r="Z151" s="8" t="str">
        <f>IF(W150 &lt;= X149, "Low",IF(W150 &lt;= Y150, "Medium", "High"))</f>
        <v>Low</v>
      </c>
      <c r="AA151">
        <v>2.1000000000000001E-2</v>
      </c>
      <c r="AB151">
        <f>IF(Table1[[#This Row],[DiscountPct]]&gt;0.2,1,0)</f>
        <v>0</v>
      </c>
      <c r="AC151" s="6">
        <v>18</v>
      </c>
      <c r="AD151" s="8">
        <f>Table1[[#This Row],[UnitPrice]]*Table1[[#This Row],[Quantity]]</f>
        <v>43407.360000000001</v>
      </c>
      <c r="AE151" s="8">
        <f>Table1[[#This Row],[UnitCost]]*Table1[[#This Row],[Quantity]]</f>
        <v>23346</v>
      </c>
      <c r="AF151" s="8">
        <f>Table1[[#This Row],[GrossRevenue]]-Table1[[#This Row],[CostOfGoods]]</f>
        <v>20061.36</v>
      </c>
      <c r="AG151" s="9">
        <f>IF(Table1[[#This Row],[GrossRevenue]]=0,0,Table1[[#This Row],[GrossProfit]]/Table1[[#This Row],[GrossRevenue]])</f>
        <v>0.46216494161358812</v>
      </c>
    </row>
    <row r="152" spans="1:33" x14ac:dyDescent="0.45">
      <c r="A152" t="s">
        <v>165</v>
      </c>
      <c r="B152">
        <v>1</v>
      </c>
      <c r="C152" s="3">
        <v>45763</v>
      </c>
      <c r="D152" s="6">
        <f>YEAR(Table1[[#This Row],[OrderDate]]) * 100 + MONTH(Table1[[#This Row],[OrderDate]])</f>
        <v>202504</v>
      </c>
      <c r="E152" s="6">
        <f>_xlfn.MINIFS(Table1[OrderMonthKey],Table1[Country],Table1[[#This Row],[Country]])</f>
        <v>202301</v>
      </c>
      <c r="F152" s="6">
        <f>Table1[[#This Row],[CountryFirstMonthKey]]</f>
        <v>202301</v>
      </c>
      <c r="G152" s="6">
        <f>12*(INT(Table1[[#This Row],[OrderMonthKey]]/100)-INT(Table1[[#This Row],[CohortMonthKey]]/100)) + (MOD(Table1[[#This Row],[OrderMonthKey]],100)-MOD(Table1[[#This Row],[CohortMonthKey]],100))</f>
        <v>27</v>
      </c>
      <c r="H152" s="3" t="str">
        <f>TEXT(Table1[[#This Row],[OrderDate]],"MMM-YYYY")</f>
        <v>Apr-2025</v>
      </c>
      <c r="I152" s="3" t="str">
        <f t="shared" si="6"/>
        <v>Q3-2024</v>
      </c>
      <c r="J152" s="26" t="str">
        <f>IF(Table1[[#This Row],[LeadTimeDays]]&lt;=7,"Yes","No")</f>
        <v>No</v>
      </c>
      <c r="K152" s="6">
        <f>_xlfn.DAYS(Table1[[#This Row],[CorrectedRequiredDate]],Table1[[#This Row],[OrderDate]])</f>
        <v>30</v>
      </c>
      <c r="L152" s="3">
        <f>IF(Table1[[#This Row],[RequiredDate]]&lt;Table1[[#This Row],[OrderDate]],Table1[[#This Row],[OrderDate]],Table1[[#This Row],[RequiredDate]])</f>
        <v>45793</v>
      </c>
      <c r="M152" s="3">
        <v>45793</v>
      </c>
      <c r="N152" t="s">
        <v>648</v>
      </c>
      <c r="O152" t="s">
        <v>653</v>
      </c>
      <c r="P152" t="s">
        <v>681</v>
      </c>
      <c r="Q152" t="s">
        <v>706</v>
      </c>
      <c r="R152" t="s">
        <v>710</v>
      </c>
      <c r="S152" t="s">
        <v>723</v>
      </c>
      <c r="T152" t="s">
        <v>728</v>
      </c>
      <c r="U152" t="s">
        <v>884</v>
      </c>
      <c r="V152" s="8">
        <v>763.32</v>
      </c>
      <c r="W152" s="8">
        <v>568.29</v>
      </c>
      <c r="X152" s="8">
        <f t="shared" si="7"/>
        <v>815.10700000000008</v>
      </c>
      <c r="Y152" s="8">
        <f t="shared" si="8"/>
        <v>1620.05</v>
      </c>
      <c r="Z152" s="8" t="str">
        <f>IF(W151 &lt;= X150, "Low",IF(W151 &lt;= Y151, "Medium", "High"))</f>
        <v>High</v>
      </c>
      <c r="AA152">
        <v>0.13100000000000001</v>
      </c>
      <c r="AB152">
        <f>IF(Table1[[#This Row],[DiscountPct]]&gt;0.2,1,0)</f>
        <v>0</v>
      </c>
      <c r="AC152" s="6">
        <v>16</v>
      </c>
      <c r="AD152" s="8">
        <f>Table1[[#This Row],[UnitPrice]]*Table1[[#This Row],[Quantity]]</f>
        <v>9092.64</v>
      </c>
      <c r="AE152" s="8">
        <f>Table1[[#This Row],[UnitCost]]*Table1[[#This Row],[Quantity]]</f>
        <v>12213.12</v>
      </c>
      <c r="AF152" s="8">
        <f>Table1[[#This Row],[GrossRevenue]]-Table1[[#This Row],[CostOfGoods]]</f>
        <v>-3120.4800000000014</v>
      </c>
      <c r="AG152" s="9">
        <f>IF(Table1[[#This Row],[GrossRevenue]]=0,0,Table1[[#This Row],[GrossProfit]]/Table1[[#This Row],[GrossRevenue]])</f>
        <v>-0.34318745710816678</v>
      </c>
    </row>
    <row r="153" spans="1:33" hidden="1" x14ac:dyDescent="0.45">
      <c r="A153" t="s">
        <v>166</v>
      </c>
      <c r="C153" s="3">
        <v>45110</v>
      </c>
      <c r="D153" s="3">
        <f>YEAR(Table1[[#This Row],[OrderDate]]) * 100 + MONTH(Table1[[#This Row],[OrderDate]])</f>
        <v>202307</v>
      </c>
      <c r="E153" s="3">
        <f>_xlfn.MINIFS(Table1[OrderMonthKey],Table1[Country],Table1[[#This Row],[Country]])</f>
        <v>202301</v>
      </c>
      <c r="F153" s="3">
        <f>Table1[[#This Row],[CountryFirstMonthKey]]</f>
        <v>202301</v>
      </c>
      <c r="G153" s="3">
        <f>12*(INT(Table1[[#This Row],[OrderMonthKey]]/100)-INT(Table1[[#This Row],[CohortMonthKey]]/100)) + (MOD(Table1[[#This Row],[OrderMonthKey]],100)-MOD(Table1[[#This Row],[CohortMonthKey]],100))</f>
        <v>6</v>
      </c>
      <c r="H153" s="3" t="str">
        <f>TEXT(Table1[[#This Row],[OrderDate]],"MMM-YYYY")</f>
        <v>Jul-2023</v>
      </c>
      <c r="I153" s="3" t="str">
        <f t="shared" si="6"/>
        <v>Q2-2025</v>
      </c>
      <c r="J153" s="3" t="str">
        <f>IF(Table1[[#This Row],[LeadTimeDays]]&lt;=7,"Yes","No")</f>
        <v>No</v>
      </c>
      <c r="K153" s="3">
        <f>_xlfn.DAYS(Table1[[#This Row],[CorrectedRequiredDate]],Table1[[#This Row],[OrderDate]])</f>
        <v>20</v>
      </c>
      <c r="L153" s="3">
        <f>IF(Table1[[#This Row],[RequiredDate]]&lt;Table1[[#This Row],[OrderDate]],Table1[[#This Row],[OrderDate]],Table1[[#This Row],[RequiredDate]])</f>
        <v>45130</v>
      </c>
      <c r="M153" s="3">
        <v>45130</v>
      </c>
      <c r="N153" t="s">
        <v>646</v>
      </c>
      <c r="O153" t="s">
        <v>661</v>
      </c>
      <c r="P153" t="s">
        <v>682</v>
      </c>
      <c r="Q153" t="s">
        <v>705</v>
      </c>
      <c r="R153" t="s">
        <v>710</v>
      </c>
      <c r="S153" t="s">
        <v>721</v>
      </c>
      <c r="T153" t="s">
        <v>731</v>
      </c>
      <c r="U153" t="s">
        <v>885</v>
      </c>
      <c r="V153" s="8">
        <v>1001.96</v>
      </c>
      <c r="W153" s="8">
        <v>1254.95</v>
      </c>
      <c r="X153" s="8">
        <f t="shared" si="7"/>
        <v>815.10700000000008</v>
      </c>
      <c r="Y153" s="8">
        <f t="shared" si="8"/>
        <v>1620.05</v>
      </c>
      <c r="AA153">
        <v>4.4999999999999998E-2</v>
      </c>
      <c r="AB153">
        <f>IF(Table1[[#This Row],[DiscountPct]]&gt;0.2,1,0)</f>
        <v>0</v>
      </c>
      <c r="AC153" s="6">
        <v>18</v>
      </c>
      <c r="AD153" s="8">
        <f>Table1[[#This Row],[UnitPrice]]*Table1[[#This Row],[Quantity]]</f>
        <v>22589.100000000002</v>
      </c>
      <c r="AE153" s="8">
        <f>Table1[[#This Row],[UnitCost]]*Table1[[#This Row],[Quantity]]</f>
        <v>18035.28</v>
      </c>
      <c r="AF153" s="8">
        <f>Table1[[#This Row],[GrossRevenue]]-Table1[[#This Row],[CostOfGoods]]</f>
        <v>4553.8200000000033</v>
      </c>
      <c r="AG153" s="8">
        <f>IF(Table1[[#This Row],[GrossRevenue]]=0,0,Table1[[#This Row],[GrossProfit]]/Table1[[#This Row],[GrossRevenue]])</f>
        <v>0.20159368899159341</v>
      </c>
    </row>
    <row r="154" spans="1:33" hidden="1" x14ac:dyDescent="0.45">
      <c r="A154" t="s">
        <v>167</v>
      </c>
      <c r="C154" s="3">
        <v>45267</v>
      </c>
      <c r="D154" s="3">
        <f>YEAR(Table1[[#This Row],[OrderDate]]) * 100 + MONTH(Table1[[#This Row],[OrderDate]])</f>
        <v>202312</v>
      </c>
      <c r="E154" s="3">
        <f>_xlfn.MINIFS(Table1[OrderMonthKey],Table1[Country],Table1[[#This Row],[Country]])</f>
        <v>202303</v>
      </c>
      <c r="F154" s="3">
        <f>Table1[[#This Row],[CountryFirstMonthKey]]</f>
        <v>202303</v>
      </c>
      <c r="G154" s="3">
        <f>12*(INT(Table1[[#This Row],[OrderMonthKey]]/100)-INT(Table1[[#This Row],[CohortMonthKey]]/100)) + (MOD(Table1[[#This Row],[OrderMonthKey]],100)-MOD(Table1[[#This Row],[CohortMonthKey]],100))</f>
        <v>9</v>
      </c>
      <c r="H154" s="3" t="str">
        <f>TEXT(Table1[[#This Row],[OrderDate]],"MMM-YYYY")</f>
        <v>Dec-2023</v>
      </c>
      <c r="I154" s="3" t="str">
        <f t="shared" si="6"/>
        <v>Q3-2023</v>
      </c>
      <c r="J154" s="3" t="str">
        <f>IF(Table1[[#This Row],[LeadTimeDays]]&lt;=7,"Yes","No")</f>
        <v>Yes</v>
      </c>
      <c r="K154" s="3">
        <f>_xlfn.DAYS(Table1[[#This Row],[CorrectedRequiredDate]],Table1[[#This Row],[OrderDate]])</f>
        <v>0</v>
      </c>
      <c r="L154" s="3">
        <f>IF(Table1[[#This Row],[RequiredDate]]&lt;Table1[[#This Row],[OrderDate]],Table1[[#This Row],[OrderDate]],Table1[[#This Row],[RequiredDate]])</f>
        <v>45267</v>
      </c>
      <c r="M154" s="3">
        <v>45265</v>
      </c>
      <c r="N154" t="s">
        <v>647</v>
      </c>
      <c r="O154" t="s">
        <v>652</v>
      </c>
      <c r="P154" t="s">
        <v>689</v>
      </c>
      <c r="Q154" t="s">
        <v>703</v>
      </c>
      <c r="R154" t="s">
        <v>709</v>
      </c>
      <c r="S154" t="s">
        <v>722</v>
      </c>
      <c r="T154" t="s">
        <v>728</v>
      </c>
      <c r="U154" t="s">
        <v>886</v>
      </c>
      <c r="V154" s="8">
        <v>1097.5899999999999</v>
      </c>
      <c r="W154" s="8">
        <v>845.55</v>
      </c>
      <c r="X154" s="8">
        <f t="shared" si="7"/>
        <v>815.10700000000008</v>
      </c>
      <c r="Y154" s="8">
        <f t="shared" si="8"/>
        <v>1620.05</v>
      </c>
      <c r="AA154">
        <v>0.184</v>
      </c>
      <c r="AB154">
        <f>IF(Table1[[#This Row],[DiscountPct]]&gt;0.2,1,0)</f>
        <v>0</v>
      </c>
      <c r="AC154" s="6">
        <v>6</v>
      </c>
      <c r="AD154" s="8">
        <f>Table1[[#This Row],[UnitPrice]]*Table1[[#This Row],[Quantity]]</f>
        <v>5073.2999999999993</v>
      </c>
      <c r="AE154" s="8">
        <f>Table1[[#This Row],[UnitCost]]*Table1[[#This Row],[Quantity]]</f>
        <v>6585.5399999999991</v>
      </c>
      <c r="AF154" s="8">
        <f>Table1[[#This Row],[GrossRevenue]]-Table1[[#This Row],[CostOfGoods]]</f>
        <v>-1512.2399999999998</v>
      </c>
      <c r="AG154" s="8">
        <f>IF(Table1[[#This Row],[GrossRevenue]]=0,0,Table1[[#This Row],[GrossProfit]]/Table1[[#This Row],[GrossRevenue]])</f>
        <v>-0.29807817396960556</v>
      </c>
    </row>
    <row r="155" spans="1:33" hidden="1" x14ac:dyDescent="0.45">
      <c r="A155" t="s">
        <v>168</v>
      </c>
      <c r="C155" s="3">
        <v>45340</v>
      </c>
      <c r="D155" s="3">
        <f>YEAR(Table1[[#This Row],[OrderDate]]) * 100 + MONTH(Table1[[#This Row],[OrderDate]])</f>
        <v>202402</v>
      </c>
      <c r="E155" s="3">
        <f>_xlfn.MINIFS(Table1[OrderMonthKey],Table1[Country],Table1[[#This Row],[Country]])</f>
        <v>202301</v>
      </c>
      <c r="F155" s="3">
        <f>Table1[[#This Row],[CountryFirstMonthKey]]</f>
        <v>202301</v>
      </c>
      <c r="G155" s="3">
        <f>12*(INT(Table1[[#This Row],[OrderMonthKey]]/100)-INT(Table1[[#This Row],[CohortMonthKey]]/100)) + (MOD(Table1[[#This Row],[OrderMonthKey]],100)-MOD(Table1[[#This Row],[CohortMonthKey]],100))</f>
        <v>13</v>
      </c>
      <c r="H155" s="3" t="str">
        <f>TEXT(Table1[[#This Row],[OrderDate]],"MMM-YYYY")</f>
        <v>Feb-2024</v>
      </c>
      <c r="I155" s="3" t="str">
        <f t="shared" si="6"/>
        <v>Q4-2023</v>
      </c>
      <c r="J155" s="3" t="str">
        <f>IF(Table1[[#This Row],[LeadTimeDays]]&lt;=7,"Yes","No")</f>
        <v>No</v>
      </c>
      <c r="K155" s="3">
        <f>_xlfn.DAYS(Table1[[#This Row],[CorrectedRequiredDate]],Table1[[#This Row],[OrderDate]])</f>
        <v>15</v>
      </c>
      <c r="L155" s="3">
        <f>IF(Table1[[#This Row],[RequiredDate]]&lt;Table1[[#This Row],[OrderDate]],Table1[[#This Row],[OrderDate]],Table1[[#This Row],[RequiredDate]])</f>
        <v>45355</v>
      </c>
      <c r="M155" s="3">
        <v>45355</v>
      </c>
      <c r="N155" t="s">
        <v>646</v>
      </c>
      <c r="O155" t="s">
        <v>650</v>
      </c>
      <c r="P155" t="s">
        <v>662</v>
      </c>
      <c r="Q155" t="s">
        <v>702</v>
      </c>
      <c r="R155" t="s">
        <v>711</v>
      </c>
      <c r="S155" t="s">
        <v>723</v>
      </c>
      <c r="T155" t="s">
        <v>728</v>
      </c>
      <c r="U155" t="s">
        <v>887</v>
      </c>
      <c r="V155" s="8">
        <v>928.68</v>
      </c>
      <c r="W155" s="8">
        <v>2145.17</v>
      </c>
      <c r="X155" s="8">
        <f t="shared" si="7"/>
        <v>815.10700000000008</v>
      </c>
      <c r="Y155" s="8">
        <f t="shared" si="8"/>
        <v>1620.05</v>
      </c>
      <c r="AA155">
        <v>0.13600000000000001</v>
      </c>
      <c r="AB155">
        <f>IF(Table1[[#This Row],[DiscountPct]]&gt;0.2,1,0)</f>
        <v>0</v>
      </c>
      <c r="AC155" s="6">
        <v>16</v>
      </c>
      <c r="AD155" s="8">
        <f>Table1[[#This Row],[UnitPrice]]*Table1[[#This Row],[Quantity]]</f>
        <v>34322.720000000001</v>
      </c>
      <c r="AE155" s="8">
        <f>Table1[[#This Row],[UnitCost]]*Table1[[#This Row],[Quantity]]</f>
        <v>14858.88</v>
      </c>
      <c r="AF155" s="8">
        <f>Table1[[#This Row],[GrossRevenue]]-Table1[[#This Row],[CostOfGoods]]</f>
        <v>19463.840000000004</v>
      </c>
      <c r="AG155" s="8">
        <f>IF(Table1[[#This Row],[GrossRevenue]]=0,0,Table1[[#This Row],[GrossProfit]]/Table1[[#This Row],[GrossRevenue]])</f>
        <v>0.56708326146645727</v>
      </c>
    </row>
    <row r="156" spans="1:33" hidden="1" x14ac:dyDescent="0.45">
      <c r="A156" t="s">
        <v>169</v>
      </c>
      <c r="C156" s="3">
        <v>45230</v>
      </c>
      <c r="D156" s="3">
        <f>YEAR(Table1[[#This Row],[OrderDate]]) * 100 + MONTH(Table1[[#This Row],[OrderDate]])</f>
        <v>202310</v>
      </c>
      <c r="E156" s="3">
        <f>_xlfn.MINIFS(Table1[OrderMonthKey],Table1[Country],Table1[[#This Row],[Country]])</f>
        <v>202301</v>
      </c>
      <c r="F156" s="3">
        <f>Table1[[#This Row],[CountryFirstMonthKey]]</f>
        <v>202301</v>
      </c>
      <c r="G156" s="3">
        <f>12*(INT(Table1[[#This Row],[OrderMonthKey]]/100)-INT(Table1[[#This Row],[CohortMonthKey]]/100)) + (MOD(Table1[[#This Row],[OrderMonthKey]],100)-MOD(Table1[[#This Row],[CohortMonthKey]],100))</f>
        <v>9</v>
      </c>
      <c r="H156" s="3" t="str">
        <f>TEXT(Table1[[#This Row],[OrderDate]],"MMM-YYYY")</f>
        <v>Oct-2023</v>
      </c>
      <c r="I156" s="3" t="str">
        <f t="shared" si="6"/>
        <v>Q1-2024</v>
      </c>
      <c r="J156" s="3" t="str">
        <f>IF(Table1[[#This Row],[LeadTimeDays]]&lt;=7,"Yes","No")</f>
        <v>Yes</v>
      </c>
      <c r="K156" s="3">
        <f>_xlfn.DAYS(Table1[[#This Row],[CorrectedRequiredDate]],Table1[[#This Row],[OrderDate]])</f>
        <v>2</v>
      </c>
      <c r="L156" s="3">
        <f>IF(Table1[[#This Row],[RequiredDate]]&lt;Table1[[#This Row],[OrderDate]],Table1[[#This Row],[OrderDate]],Table1[[#This Row],[RequiredDate]])</f>
        <v>45232</v>
      </c>
      <c r="M156" s="3">
        <v>45232</v>
      </c>
      <c r="N156" t="s">
        <v>646</v>
      </c>
      <c r="O156" t="s">
        <v>650</v>
      </c>
      <c r="P156" t="s">
        <v>662</v>
      </c>
      <c r="Q156" t="s">
        <v>702</v>
      </c>
      <c r="R156" t="s">
        <v>707</v>
      </c>
      <c r="S156" t="s">
        <v>719</v>
      </c>
      <c r="T156" t="s">
        <v>733</v>
      </c>
      <c r="U156" t="s">
        <v>888</v>
      </c>
      <c r="V156" s="8">
        <v>867.89</v>
      </c>
      <c r="W156" s="8">
        <v>1349.94</v>
      </c>
      <c r="X156" s="8">
        <f t="shared" si="7"/>
        <v>815.10700000000008</v>
      </c>
      <c r="Y156" s="8">
        <f t="shared" si="8"/>
        <v>1620.05</v>
      </c>
      <c r="AA156">
        <v>0.184</v>
      </c>
      <c r="AB156">
        <f>IF(Table1[[#This Row],[DiscountPct]]&gt;0.2,1,0)</f>
        <v>0</v>
      </c>
      <c r="AC156" s="6">
        <v>10</v>
      </c>
      <c r="AD156" s="8">
        <f>Table1[[#This Row],[UnitPrice]]*Table1[[#This Row],[Quantity]]</f>
        <v>13499.400000000001</v>
      </c>
      <c r="AE156" s="8">
        <f>Table1[[#This Row],[UnitCost]]*Table1[[#This Row],[Quantity]]</f>
        <v>8678.9</v>
      </c>
      <c r="AF156" s="8">
        <f>Table1[[#This Row],[GrossRevenue]]-Table1[[#This Row],[CostOfGoods]]</f>
        <v>4820.5000000000018</v>
      </c>
      <c r="AG156" s="8">
        <f>IF(Table1[[#This Row],[GrossRevenue]]=0,0,Table1[[#This Row],[GrossProfit]]/Table1[[#This Row],[GrossRevenue]])</f>
        <v>0.35708994473828476</v>
      </c>
    </row>
    <row r="157" spans="1:33" hidden="1" x14ac:dyDescent="0.45">
      <c r="A157" t="s">
        <v>170</v>
      </c>
      <c r="C157" s="3">
        <v>45511</v>
      </c>
      <c r="D157" s="3">
        <f>YEAR(Table1[[#This Row],[OrderDate]]) * 100 + MONTH(Table1[[#This Row],[OrderDate]])</f>
        <v>202408</v>
      </c>
      <c r="E157" s="3">
        <f>_xlfn.MINIFS(Table1[OrderMonthKey],Table1[Country],Table1[[#This Row],[Country]])</f>
        <v>202303</v>
      </c>
      <c r="F157" s="3">
        <f>Table1[[#This Row],[CountryFirstMonthKey]]</f>
        <v>202303</v>
      </c>
      <c r="G157" s="3">
        <f>12*(INT(Table1[[#This Row],[OrderMonthKey]]/100)-INT(Table1[[#This Row],[CohortMonthKey]]/100)) + (MOD(Table1[[#This Row],[OrderMonthKey]],100)-MOD(Table1[[#This Row],[CohortMonthKey]],100))</f>
        <v>17</v>
      </c>
      <c r="H157" s="3" t="str">
        <f>TEXT(Table1[[#This Row],[OrderDate]],"MMM-YYYY")</f>
        <v>Aug-2024</v>
      </c>
      <c r="I157" s="3" t="str">
        <f t="shared" si="6"/>
        <v>Q4-2023</v>
      </c>
      <c r="J157" s="3" t="str">
        <f>IF(Table1[[#This Row],[LeadTimeDays]]&lt;=7,"Yes","No")</f>
        <v>No</v>
      </c>
      <c r="K157" s="3">
        <f>_xlfn.DAYS(Table1[[#This Row],[CorrectedRequiredDate]],Table1[[#This Row],[OrderDate]])</f>
        <v>10</v>
      </c>
      <c r="L157" s="3">
        <f>IF(Table1[[#This Row],[RequiredDate]]&lt;Table1[[#This Row],[OrderDate]],Table1[[#This Row],[OrderDate]],Table1[[#This Row],[RequiredDate]])</f>
        <v>45521</v>
      </c>
      <c r="M157" s="3">
        <v>45521</v>
      </c>
      <c r="N157" t="s">
        <v>647</v>
      </c>
      <c r="O157" t="s">
        <v>652</v>
      </c>
      <c r="P157" t="s">
        <v>666</v>
      </c>
      <c r="Q157" t="s">
        <v>704</v>
      </c>
      <c r="R157" t="s">
        <v>708</v>
      </c>
      <c r="S157" t="s">
        <v>723</v>
      </c>
      <c r="T157" t="s">
        <v>729</v>
      </c>
      <c r="U157" t="s">
        <v>889</v>
      </c>
      <c r="V157" s="8">
        <v>436.58</v>
      </c>
      <c r="W157" s="8">
        <v>527.48</v>
      </c>
      <c r="X157" s="8">
        <f t="shared" si="7"/>
        <v>815.10700000000008</v>
      </c>
      <c r="Y157" s="8">
        <f t="shared" si="8"/>
        <v>1620.05</v>
      </c>
      <c r="AA157">
        <v>0.111</v>
      </c>
      <c r="AB157">
        <f>IF(Table1[[#This Row],[DiscountPct]]&gt;0.2,1,0)</f>
        <v>0</v>
      </c>
      <c r="AC157" s="6">
        <v>19</v>
      </c>
      <c r="AD157" s="8">
        <f>Table1[[#This Row],[UnitPrice]]*Table1[[#This Row],[Quantity]]</f>
        <v>10022.120000000001</v>
      </c>
      <c r="AE157" s="8">
        <f>Table1[[#This Row],[UnitCost]]*Table1[[#This Row],[Quantity]]</f>
        <v>8295.02</v>
      </c>
      <c r="AF157" s="8">
        <f>Table1[[#This Row],[GrossRevenue]]-Table1[[#This Row],[CostOfGoods]]</f>
        <v>1727.1000000000004</v>
      </c>
      <c r="AG157" s="8">
        <f>IF(Table1[[#This Row],[GrossRevenue]]=0,0,Table1[[#This Row],[GrossProfit]]/Table1[[#This Row],[GrossRevenue]])</f>
        <v>0.17232880867521047</v>
      </c>
    </row>
    <row r="158" spans="1:33" hidden="1" x14ac:dyDescent="0.45">
      <c r="A158" t="s">
        <v>171</v>
      </c>
      <c r="C158" s="3">
        <v>45323</v>
      </c>
      <c r="D158" s="3">
        <f>YEAR(Table1[[#This Row],[OrderDate]]) * 100 + MONTH(Table1[[#This Row],[OrderDate]])</f>
        <v>202402</v>
      </c>
      <c r="E158" s="3">
        <f>_xlfn.MINIFS(Table1[OrderMonthKey],Table1[Country],Table1[[#This Row],[Country]])</f>
        <v>202301</v>
      </c>
      <c r="F158" s="3">
        <f>Table1[[#This Row],[CountryFirstMonthKey]]</f>
        <v>202301</v>
      </c>
      <c r="G158" s="3">
        <f>12*(INT(Table1[[#This Row],[OrderMonthKey]]/100)-INT(Table1[[#This Row],[CohortMonthKey]]/100)) + (MOD(Table1[[#This Row],[OrderMonthKey]],100)-MOD(Table1[[#This Row],[CohortMonthKey]],100))</f>
        <v>13</v>
      </c>
      <c r="H158" s="3" t="str">
        <f>TEXT(Table1[[#This Row],[OrderDate]],"MMM-YYYY")</f>
        <v>Feb-2024</v>
      </c>
      <c r="I158" s="3" t="str">
        <f t="shared" si="6"/>
        <v>Q3-2024</v>
      </c>
      <c r="J158" s="3" t="str">
        <f>IF(Table1[[#This Row],[LeadTimeDays]]&lt;=7,"Yes","No")</f>
        <v>No</v>
      </c>
      <c r="K158" s="3">
        <f>_xlfn.DAYS(Table1[[#This Row],[CorrectedRequiredDate]],Table1[[#This Row],[OrderDate]])</f>
        <v>20</v>
      </c>
      <c r="L158" s="3">
        <f>IF(Table1[[#This Row],[RequiredDate]]&lt;Table1[[#This Row],[OrderDate]],Table1[[#This Row],[OrderDate]],Table1[[#This Row],[RequiredDate]])</f>
        <v>45343</v>
      </c>
      <c r="M158" s="3">
        <v>45343</v>
      </c>
      <c r="N158" t="s">
        <v>649</v>
      </c>
      <c r="O158" t="s">
        <v>657</v>
      </c>
      <c r="P158" t="s">
        <v>690</v>
      </c>
      <c r="Q158" t="s">
        <v>705</v>
      </c>
      <c r="R158" t="s">
        <v>709</v>
      </c>
      <c r="S158" t="s">
        <v>720</v>
      </c>
      <c r="T158" t="s">
        <v>729</v>
      </c>
      <c r="U158" t="s">
        <v>890</v>
      </c>
      <c r="V158" s="8">
        <v>656.2</v>
      </c>
      <c r="W158" s="8">
        <v>1467.17</v>
      </c>
      <c r="X158" s="8">
        <f t="shared" si="7"/>
        <v>815.10700000000008</v>
      </c>
      <c r="Y158" s="8">
        <f t="shared" si="8"/>
        <v>1620.05</v>
      </c>
      <c r="AA158">
        <v>1.7999999999999999E-2</v>
      </c>
      <c r="AB158">
        <f>IF(Table1[[#This Row],[DiscountPct]]&gt;0.2,1,0)</f>
        <v>0</v>
      </c>
      <c r="AC158" s="6">
        <v>5</v>
      </c>
      <c r="AD158" s="8">
        <f>Table1[[#This Row],[UnitPrice]]*Table1[[#This Row],[Quantity]]</f>
        <v>7335.85</v>
      </c>
      <c r="AE158" s="8">
        <f>Table1[[#This Row],[UnitCost]]*Table1[[#This Row],[Quantity]]</f>
        <v>3281</v>
      </c>
      <c r="AF158" s="8">
        <f>Table1[[#This Row],[GrossRevenue]]-Table1[[#This Row],[CostOfGoods]]</f>
        <v>4054.8500000000004</v>
      </c>
      <c r="AG158" s="8">
        <f>IF(Table1[[#This Row],[GrossRevenue]]=0,0,Table1[[#This Row],[GrossProfit]]/Table1[[#This Row],[GrossRevenue]])</f>
        <v>0.55274439908122441</v>
      </c>
    </row>
    <row r="159" spans="1:33" x14ac:dyDescent="0.45">
      <c r="A159" t="s">
        <v>172</v>
      </c>
      <c r="B159">
        <v>1</v>
      </c>
      <c r="C159" s="3">
        <v>45531</v>
      </c>
      <c r="D159" s="6">
        <f>YEAR(Table1[[#This Row],[OrderDate]]) * 100 + MONTH(Table1[[#This Row],[OrderDate]])</f>
        <v>202408</v>
      </c>
      <c r="E159" s="6">
        <f>_xlfn.MINIFS(Table1[OrderMonthKey],Table1[Country],Table1[[#This Row],[Country]])</f>
        <v>202302</v>
      </c>
      <c r="F159" s="6">
        <f>Table1[[#This Row],[CountryFirstMonthKey]]</f>
        <v>202302</v>
      </c>
      <c r="G159" s="6">
        <f>12*(INT(Table1[[#This Row],[OrderMonthKey]]/100)-INT(Table1[[#This Row],[CohortMonthKey]]/100)) + (MOD(Table1[[#This Row],[OrderMonthKey]],100)-MOD(Table1[[#This Row],[CohortMonthKey]],100))</f>
        <v>18</v>
      </c>
      <c r="H159" s="3" t="str">
        <f>TEXT(Table1[[#This Row],[OrderDate]],"MMM-YYYY")</f>
        <v>Aug-2024</v>
      </c>
      <c r="I159" s="3" t="str">
        <f t="shared" si="6"/>
        <v>Q1-2024</v>
      </c>
      <c r="J159" s="26" t="str">
        <f>IF(Table1[[#This Row],[LeadTimeDays]]&lt;=7,"Yes","No")</f>
        <v>No</v>
      </c>
      <c r="K159" s="6">
        <f>_xlfn.DAYS(Table1[[#This Row],[CorrectedRequiredDate]],Table1[[#This Row],[OrderDate]])</f>
        <v>22</v>
      </c>
      <c r="L159" s="3">
        <f>IF(Table1[[#This Row],[RequiredDate]]&lt;Table1[[#This Row],[OrderDate]],Table1[[#This Row],[OrderDate]],Table1[[#This Row],[RequiredDate]])</f>
        <v>45553</v>
      </c>
      <c r="M159" s="3">
        <v>45553</v>
      </c>
      <c r="N159" t="s">
        <v>647</v>
      </c>
      <c r="O159" t="s">
        <v>654</v>
      </c>
      <c r="P159" t="s">
        <v>680</v>
      </c>
      <c r="Q159" t="s">
        <v>704</v>
      </c>
      <c r="R159" t="s">
        <v>711</v>
      </c>
      <c r="S159" t="s">
        <v>717</v>
      </c>
      <c r="T159" t="s">
        <v>727</v>
      </c>
      <c r="U159" t="s">
        <v>891</v>
      </c>
      <c r="V159" s="8">
        <v>896.75</v>
      </c>
      <c r="W159" s="8">
        <v>1651.14</v>
      </c>
      <c r="X159" s="8">
        <f t="shared" si="7"/>
        <v>815.10700000000008</v>
      </c>
      <c r="Y159" s="8">
        <f t="shared" si="8"/>
        <v>1620.05</v>
      </c>
      <c r="Z159" s="8" t="str">
        <f>IF(W158 &lt;= X157, "Low",IF(W158 &lt;= Y158, "Medium", "High"))</f>
        <v>Medium</v>
      </c>
      <c r="AA159">
        <v>2.5000000000000001E-2</v>
      </c>
      <c r="AB159">
        <f>IF(Table1[[#This Row],[DiscountPct]]&gt;0.2,1,0)</f>
        <v>0</v>
      </c>
      <c r="AC159" s="6">
        <v>15</v>
      </c>
      <c r="AD159" s="8">
        <f>Table1[[#This Row],[UnitPrice]]*Table1[[#This Row],[Quantity]]</f>
        <v>24767.100000000002</v>
      </c>
      <c r="AE159" s="8">
        <f>Table1[[#This Row],[UnitCost]]*Table1[[#This Row],[Quantity]]</f>
        <v>13451.25</v>
      </c>
      <c r="AF159" s="8">
        <f>Table1[[#This Row],[GrossRevenue]]-Table1[[#This Row],[CostOfGoods]]</f>
        <v>11315.850000000002</v>
      </c>
      <c r="AG159" s="9">
        <f>IF(Table1[[#This Row],[GrossRevenue]]=0,0,Table1[[#This Row],[GrossProfit]]/Table1[[#This Row],[GrossRevenue]])</f>
        <v>0.45689039088145167</v>
      </c>
    </row>
    <row r="160" spans="1:33" hidden="1" x14ac:dyDescent="0.45">
      <c r="A160" t="s">
        <v>173</v>
      </c>
      <c r="C160" s="3">
        <v>45703</v>
      </c>
      <c r="D160" s="3">
        <f>YEAR(Table1[[#This Row],[OrderDate]]) * 100 + MONTH(Table1[[#This Row],[OrderDate]])</f>
        <v>202502</v>
      </c>
      <c r="E160" s="3">
        <f>_xlfn.MINIFS(Table1[OrderMonthKey],Table1[Country],Table1[[#This Row],[Country]])</f>
        <v>202301</v>
      </c>
      <c r="F160" s="3">
        <f>Table1[[#This Row],[CountryFirstMonthKey]]</f>
        <v>202301</v>
      </c>
      <c r="G160" s="3">
        <f>12*(INT(Table1[[#This Row],[OrderMonthKey]]/100)-INT(Table1[[#This Row],[CohortMonthKey]]/100)) + (MOD(Table1[[#This Row],[OrderMonthKey]],100)-MOD(Table1[[#This Row],[CohortMonthKey]],100))</f>
        <v>25</v>
      </c>
      <c r="H160" s="3" t="str">
        <f>TEXT(Table1[[#This Row],[OrderDate]],"MMM-YYYY")</f>
        <v>Feb-2025</v>
      </c>
      <c r="I160" s="3" t="str">
        <f t="shared" si="6"/>
        <v>Q3-2024</v>
      </c>
      <c r="J160" s="3" t="str">
        <f>IF(Table1[[#This Row],[LeadTimeDays]]&lt;=7,"Yes","No")</f>
        <v>Yes</v>
      </c>
      <c r="K160" s="3">
        <f>_xlfn.DAYS(Table1[[#This Row],[CorrectedRequiredDate]],Table1[[#This Row],[OrderDate]])</f>
        <v>0</v>
      </c>
      <c r="L160" s="3">
        <f>IF(Table1[[#This Row],[RequiredDate]]&lt;Table1[[#This Row],[OrderDate]],Table1[[#This Row],[OrderDate]],Table1[[#This Row],[RequiredDate]])</f>
        <v>45703</v>
      </c>
      <c r="M160" s="3">
        <v>45703</v>
      </c>
      <c r="N160" t="s">
        <v>649</v>
      </c>
      <c r="O160" t="s">
        <v>656</v>
      </c>
      <c r="P160" t="s">
        <v>698</v>
      </c>
      <c r="Q160" t="s">
        <v>705</v>
      </c>
      <c r="R160" t="s">
        <v>709</v>
      </c>
      <c r="S160" t="s">
        <v>716</v>
      </c>
      <c r="T160" t="s">
        <v>733</v>
      </c>
      <c r="U160" t="s">
        <v>892</v>
      </c>
      <c r="V160" s="8">
        <v>815.83</v>
      </c>
      <c r="W160" s="8">
        <v>1982.18</v>
      </c>
      <c r="X160" s="8">
        <f t="shared" si="7"/>
        <v>815.10700000000008</v>
      </c>
      <c r="Y160" s="8">
        <f t="shared" si="8"/>
        <v>1620.05</v>
      </c>
      <c r="AA160">
        <v>0.127</v>
      </c>
      <c r="AB160">
        <f>IF(Table1[[#This Row],[DiscountPct]]&gt;0.2,1,0)</f>
        <v>0</v>
      </c>
      <c r="AC160" s="6">
        <v>6</v>
      </c>
      <c r="AD160" s="8">
        <f>Table1[[#This Row],[UnitPrice]]*Table1[[#This Row],[Quantity]]</f>
        <v>11893.08</v>
      </c>
      <c r="AE160" s="8">
        <f>Table1[[#This Row],[UnitCost]]*Table1[[#This Row],[Quantity]]</f>
        <v>4894.9800000000005</v>
      </c>
      <c r="AF160" s="8">
        <f>Table1[[#This Row],[GrossRevenue]]-Table1[[#This Row],[CostOfGoods]]</f>
        <v>6998.0999999999995</v>
      </c>
      <c r="AG160" s="8">
        <f>IF(Table1[[#This Row],[GrossRevenue]]=0,0,Table1[[#This Row],[GrossProfit]]/Table1[[#This Row],[GrossRevenue]])</f>
        <v>0.58841780262135623</v>
      </c>
    </row>
    <row r="161" spans="1:33" x14ac:dyDescent="0.45">
      <c r="A161" t="s">
        <v>174</v>
      </c>
      <c r="B161">
        <v>1</v>
      </c>
      <c r="C161" s="3">
        <v>45870</v>
      </c>
      <c r="D161" s="6">
        <f>YEAR(Table1[[#This Row],[OrderDate]]) * 100 + MONTH(Table1[[#This Row],[OrderDate]])</f>
        <v>202508</v>
      </c>
      <c r="E161" s="6">
        <f>_xlfn.MINIFS(Table1[OrderMonthKey],Table1[Country],Table1[[#This Row],[Country]])</f>
        <v>202301</v>
      </c>
      <c r="F161" s="6">
        <f>Table1[[#This Row],[CountryFirstMonthKey]]</f>
        <v>202301</v>
      </c>
      <c r="G161" s="6">
        <f>12*(INT(Table1[[#This Row],[OrderMonthKey]]/100)-INT(Table1[[#This Row],[CohortMonthKey]]/100)) + (MOD(Table1[[#This Row],[OrderMonthKey]],100)-MOD(Table1[[#This Row],[CohortMonthKey]],100))</f>
        <v>31</v>
      </c>
      <c r="H161" s="3" t="str">
        <f>TEXT(Table1[[#This Row],[OrderDate]],"MMM-YYYY")</f>
        <v>Aug-2025</v>
      </c>
      <c r="I161" s="3" t="str">
        <f t="shared" si="6"/>
        <v>Q1-2025</v>
      </c>
      <c r="J161" s="26" t="str">
        <f>IF(Table1[[#This Row],[LeadTimeDays]]&lt;=7,"Yes","No")</f>
        <v>No</v>
      </c>
      <c r="K161" s="6">
        <f>_xlfn.DAYS(Table1[[#This Row],[CorrectedRequiredDate]],Table1[[#This Row],[OrderDate]])</f>
        <v>20</v>
      </c>
      <c r="L161" s="3">
        <f>IF(Table1[[#This Row],[RequiredDate]]&lt;Table1[[#This Row],[OrderDate]],Table1[[#This Row],[OrderDate]],Table1[[#This Row],[RequiredDate]])</f>
        <v>45890</v>
      </c>
      <c r="M161" s="3">
        <v>45890</v>
      </c>
      <c r="N161" t="s">
        <v>647</v>
      </c>
      <c r="O161" t="s">
        <v>659</v>
      </c>
      <c r="P161" t="s">
        <v>685</v>
      </c>
      <c r="Q161" t="s">
        <v>701</v>
      </c>
      <c r="R161" t="s">
        <v>711</v>
      </c>
      <c r="S161" t="s">
        <v>714</v>
      </c>
      <c r="T161" t="s">
        <v>730</v>
      </c>
      <c r="U161" t="s">
        <v>893</v>
      </c>
      <c r="V161" s="8">
        <v>1220.4100000000001</v>
      </c>
      <c r="W161" s="8">
        <v>2552.2199999999998</v>
      </c>
      <c r="X161" s="8">
        <f t="shared" si="7"/>
        <v>815.10700000000008</v>
      </c>
      <c r="Y161" s="8">
        <f t="shared" si="8"/>
        <v>1620.05</v>
      </c>
      <c r="Z161" s="8" t="str">
        <f>IF(W160 &lt;= X159, "Low",IF(W160 &lt;= Y160, "Medium", "High"))</f>
        <v>High</v>
      </c>
      <c r="AA161">
        <v>0.18099999999999999</v>
      </c>
      <c r="AB161">
        <f>IF(Table1[[#This Row],[DiscountPct]]&gt;0.2,1,0)</f>
        <v>0</v>
      </c>
      <c r="AC161" s="6">
        <v>14</v>
      </c>
      <c r="AD161" s="8">
        <f>Table1[[#This Row],[UnitPrice]]*Table1[[#This Row],[Quantity]]</f>
        <v>35731.079999999994</v>
      </c>
      <c r="AE161" s="8">
        <f>Table1[[#This Row],[UnitCost]]*Table1[[#This Row],[Quantity]]</f>
        <v>17085.740000000002</v>
      </c>
      <c r="AF161" s="8">
        <f>Table1[[#This Row],[GrossRevenue]]-Table1[[#This Row],[CostOfGoods]]</f>
        <v>18645.339999999993</v>
      </c>
      <c r="AG161" s="9">
        <f>IF(Table1[[#This Row],[GrossRevenue]]=0,0,Table1[[#This Row],[GrossProfit]]/Table1[[#This Row],[GrossRevenue]])</f>
        <v>0.52182413741762057</v>
      </c>
    </row>
    <row r="162" spans="1:33" x14ac:dyDescent="0.45">
      <c r="A162" t="s">
        <v>175</v>
      </c>
      <c r="B162">
        <v>1</v>
      </c>
      <c r="C162" s="3">
        <v>44977</v>
      </c>
      <c r="D162" s="6">
        <f>YEAR(Table1[[#This Row],[OrderDate]]) * 100 + MONTH(Table1[[#This Row],[OrderDate]])</f>
        <v>202302</v>
      </c>
      <c r="E162" s="6">
        <f>_xlfn.MINIFS(Table1[OrderMonthKey],Table1[Country],Table1[[#This Row],[Country]])</f>
        <v>202302</v>
      </c>
      <c r="F162" s="6">
        <f>Table1[[#This Row],[CountryFirstMonthKey]]</f>
        <v>202302</v>
      </c>
      <c r="G162" s="6">
        <f>12*(INT(Table1[[#This Row],[OrderMonthKey]]/100)-INT(Table1[[#This Row],[CohortMonthKey]]/100)) + (MOD(Table1[[#This Row],[OrderMonthKey]],100)-MOD(Table1[[#This Row],[CohortMonthKey]],100))</f>
        <v>0</v>
      </c>
      <c r="H162" s="3" t="str">
        <f>TEXT(Table1[[#This Row],[OrderDate]],"MMM-YYYY")</f>
        <v>Feb-2023</v>
      </c>
      <c r="I162" s="3" t="str">
        <f t="shared" si="6"/>
        <v>Q3-2025</v>
      </c>
      <c r="J162" s="26" t="str">
        <f>IF(Table1[[#This Row],[LeadTimeDays]]&lt;=7,"Yes","No")</f>
        <v>No</v>
      </c>
      <c r="K162" s="6">
        <f>_xlfn.DAYS(Table1[[#This Row],[CorrectedRequiredDate]],Table1[[#This Row],[OrderDate]])</f>
        <v>12</v>
      </c>
      <c r="L162" s="3">
        <f>IF(Table1[[#This Row],[RequiredDate]]&lt;Table1[[#This Row],[OrderDate]],Table1[[#This Row],[OrderDate]],Table1[[#This Row],[RequiredDate]])</f>
        <v>44989</v>
      </c>
      <c r="M162" s="3">
        <v>44989</v>
      </c>
      <c r="N162" t="s">
        <v>647</v>
      </c>
      <c r="O162" t="s">
        <v>654</v>
      </c>
      <c r="P162" t="s">
        <v>680</v>
      </c>
      <c r="Q162" t="s">
        <v>704</v>
      </c>
      <c r="R162" t="s">
        <v>710</v>
      </c>
      <c r="S162" t="s">
        <v>724</v>
      </c>
      <c r="T162" t="s">
        <v>732</v>
      </c>
      <c r="U162" t="s">
        <v>894</v>
      </c>
      <c r="V162" s="8">
        <v>299.75</v>
      </c>
      <c r="W162" s="8">
        <v>523.01</v>
      </c>
      <c r="X162" s="8">
        <f t="shared" si="7"/>
        <v>815.10700000000008</v>
      </c>
      <c r="Y162" s="8">
        <f t="shared" si="8"/>
        <v>1620.05</v>
      </c>
      <c r="Z162" s="8" t="str">
        <f>IF(W161 &lt;= X160, "Low",IF(W161 &lt;= Y161, "Medium", "High"))</f>
        <v>High</v>
      </c>
      <c r="AA162">
        <v>0.157</v>
      </c>
      <c r="AB162">
        <f>IF(Table1[[#This Row],[DiscountPct]]&gt;0.2,1,0)</f>
        <v>0</v>
      </c>
      <c r="AC162" s="6">
        <v>50</v>
      </c>
      <c r="AD162" s="8">
        <f>Table1[[#This Row],[UnitPrice]]*Table1[[#This Row],[Quantity]]</f>
        <v>26150.5</v>
      </c>
      <c r="AE162" s="8">
        <f>Table1[[#This Row],[UnitCost]]*Table1[[#This Row],[Quantity]]</f>
        <v>14987.5</v>
      </c>
      <c r="AF162" s="8">
        <f>Table1[[#This Row],[GrossRevenue]]-Table1[[#This Row],[CostOfGoods]]</f>
        <v>11163</v>
      </c>
      <c r="AG162" s="9">
        <f>IF(Table1[[#This Row],[GrossRevenue]]=0,0,Table1[[#This Row],[GrossProfit]]/Table1[[#This Row],[GrossRevenue]])</f>
        <v>0.42687520315099137</v>
      </c>
    </row>
    <row r="163" spans="1:33" x14ac:dyDescent="0.45">
      <c r="A163" t="s">
        <v>176</v>
      </c>
      <c r="B163">
        <v>1</v>
      </c>
      <c r="C163" s="3">
        <v>45595</v>
      </c>
      <c r="D163" s="6">
        <f>YEAR(Table1[[#This Row],[OrderDate]]) * 100 + MONTH(Table1[[#This Row],[OrderDate]])</f>
        <v>202410</v>
      </c>
      <c r="E163" s="6">
        <f>_xlfn.MINIFS(Table1[OrderMonthKey],Table1[Country],Table1[[#This Row],[Country]])</f>
        <v>202301</v>
      </c>
      <c r="F163" s="6">
        <f>Table1[[#This Row],[CountryFirstMonthKey]]</f>
        <v>202301</v>
      </c>
      <c r="G163" s="6">
        <f>12*(INT(Table1[[#This Row],[OrderMonthKey]]/100)-INT(Table1[[#This Row],[CohortMonthKey]]/100)) + (MOD(Table1[[#This Row],[OrderMonthKey]],100)-MOD(Table1[[#This Row],[CohortMonthKey]],100))</f>
        <v>21</v>
      </c>
      <c r="H163" s="3" t="str">
        <f>TEXT(Table1[[#This Row],[OrderDate]],"MMM-YYYY")</f>
        <v>Oct-2024</v>
      </c>
      <c r="I163" s="3" t="str">
        <f t="shared" si="6"/>
        <v>Q1-2023</v>
      </c>
      <c r="J163" s="26" t="str">
        <f>IF(Table1[[#This Row],[LeadTimeDays]]&lt;=7,"Yes","No")</f>
        <v>No</v>
      </c>
      <c r="K163" s="6">
        <f>_xlfn.DAYS(Table1[[#This Row],[CorrectedRequiredDate]],Table1[[#This Row],[OrderDate]])</f>
        <v>25</v>
      </c>
      <c r="L163" s="3">
        <f>IF(Table1[[#This Row],[RequiredDate]]&lt;Table1[[#This Row],[OrderDate]],Table1[[#This Row],[OrderDate]],Table1[[#This Row],[RequiredDate]])</f>
        <v>45620</v>
      </c>
      <c r="M163" s="3">
        <v>45620</v>
      </c>
      <c r="N163" t="s">
        <v>647</v>
      </c>
      <c r="O163" t="s">
        <v>659</v>
      </c>
      <c r="P163" t="s">
        <v>676</v>
      </c>
      <c r="Q163" t="s">
        <v>705</v>
      </c>
      <c r="R163" t="s">
        <v>708</v>
      </c>
      <c r="S163" t="s">
        <v>718</v>
      </c>
      <c r="T163" t="s">
        <v>727</v>
      </c>
      <c r="U163" t="s">
        <v>895</v>
      </c>
      <c r="V163" s="8">
        <v>811.05</v>
      </c>
      <c r="W163" s="8">
        <v>1217.71</v>
      </c>
      <c r="X163" s="8">
        <f t="shared" si="7"/>
        <v>815.10700000000008</v>
      </c>
      <c r="Y163" s="8">
        <f t="shared" si="8"/>
        <v>1620.05</v>
      </c>
      <c r="Z163" s="8" t="str">
        <f>IF(W162 &lt;= X161, "Low",IF(W162 &lt;= Y162, "Medium", "High"))</f>
        <v>Low</v>
      </c>
      <c r="AA163">
        <v>7.1999999999999995E-2</v>
      </c>
      <c r="AB163">
        <f>IF(Table1[[#This Row],[DiscountPct]]&gt;0.2,1,0)</f>
        <v>0</v>
      </c>
      <c r="AC163" s="6">
        <v>5</v>
      </c>
      <c r="AD163" s="8">
        <f>Table1[[#This Row],[UnitPrice]]*Table1[[#This Row],[Quantity]]</f>
        <v>6088.55</v>
      </c>
      <c r="AE163" s="8">
        <f>Table1[[#This Row],[UnitCost]]*Table1[[#This Row],[Quantity]]</f>
        <v>4055.25</v>
      </c>
      <c r="AF163" s="8">
        <f>Table1[[#This Row],[GrossRevenue]]-Table1[[#This Row],[CostOfGoods]]</f>
        <v>2033.3000000000002</v>
      </c>
      <c r="AG163" s="9">
        <f>IF(Table1[[#This Row],[GrossRevenue]]=0,0,Table1[[#This Row],[GrossProfit]]/Table1[[#This Row],[GrossRevenue]])</f>
        <v>0.33395471828267814</v>
      </c>
    </row>
    <row r="164" spans="1:33" x14ac:dyDescent="0.45">
      <c r="A164" t="s">
        <v>177</v>
      </c>
      <c r="B164">
        <v>1</v>
      </c>
      <c r="C164" s="3">
        <v>45385</v>
      </c>
      <c r="D164" s="6">
        <f>YEAR(Table1[[#This Row],[OrderDate]]) * 100 + MONTH(Table1[[#This Row],[OrderDate]])</f>
        <v>202404</v>
      </c>
      <c r="E164" s="6">
        <f>_xlfn.MINIFS(Table1[OrderMonthKey],Table1[Country],Table1[[#This Row],[Country]])</f>
        <v>202301</v>
      </c>
      <c r="F164" s="6">
        <f>Table1[[#This Row],[CountryFirstMonthKey]]</f>
        <v>202301</v>
      </c>
      <c r="G164" s="6">
        <f>12*(INT(Table1[[#This Row],[OrderMonthKey]]/100)-INT(Table1[[#This Row],[CohortMonthKey]]/100)) + (MOD(Table1[[#This Row],[OrderMonthKey]],100)-MOD(Table1[[#This Row],[CohortMonthKey]],100))</f>
        <v>15</v>
      </c>
      <c r="H164" s="3" t="str">
        <f>TEXT(Table1[[#This Row],[OrderDate]],"MMM-YYYY")</f>
        <v>Apr-2024</v>
      </c>
      <c r="I164" s="3" t="str">
        <f t="shared" si="6"/>
        <v>Q4-2024</v>
      </c>
      <c r="J164" s="26" t="str">
        <f>IF(Table1[[#This Row],[LeadTimeDays]]&lt;=7,"Yes","No")</f>
        <v>Yes</v>
      </c>
      <c r="K164" s="6">
        <f>_xlfn.DAYS(Table1[[#This Row],[CorrectedRequiredDate]],Table1[[#This Row],[OrderDate]])</f>
        <v>4</v>
      </c>
      <c r="L164" s="3">
        <f>IF(Table1[[#This Row],[RequiredDate]]&lt;Table1[[#This Row],[OrderDate]],Table1[[#This Row],[OrderDate]],Table1[[#This Row],[RequiredDate]])</f>
        <v>45389</v>
      </c>
      <c r="M164" s="3">
        <v>45389</v>
      </c>
      <c r="N164" t="s">
        <v>648</v>
      </c>
      <c r="O164" t="s">
        <v>655</v>
      </c>
      <c r="P164" t="s">
        <v>672</v>
      </c>
      <c r="Q164" t="s">
        <v>703</v>
      </c>
      <c r="R164" t="s">
        <v>711</v>
      </c>
      <c r="S164" t="s">
        <v>725</v>
      </c>
      <c r="T164" t="s">
        <v>730</v>
      </c>
      <c r="U164" t="s">
        <v>896</v>
      </c>
      <c r="V164" s="8">
        <v>1023.27</v>
      </c>
      <c r="W164" s="8">
        <v>1343.64</v>
      </c>
      <c r="X164" s="8">
        <f t="shared" si="7"/>
        <v>815.10700000000008</v>
      </c>
      <c r="Y164" s="8">
        <f t="shared" si="8"/>
        <v>1620.05</v>
      </c>
      <c r="Z164" s="8" t="str">
        <f>IF(W163 &lt;= X162, "Low",IF(W163 &lt;= Y163, "Medium", "High"))</f>
        <v>Medium</v>
      </c>
      <c r="AA164">
        <v>0.13300000000000001</v>
      </c>
      <c r="AB164">
        <f>IF(Table1[[#This Row],[DiscountPct]]&gt;0.2,1,0)</f>
        <v>0</v>
      </c>
      <c r="AC164" s="6">
        <v>7</v>
      </c>
      <c r="AD164" s="8">
        <f>Table1[[#This Row],[UnitPrice]]*Table1[[#This Row],[Quantity]]</f>
        <v>9405.4800000000014</v>
      </c>
      <c r="AE164" s="8">
        <f>Table1[[#This Row],[UnitCost]]*Table1[[#This Row],[Quantity]]</f>
        <v>7162.8899999999994</v>
      </c>
      <c r="AF164" s="8">
        <f>Table1[[#This Row],[GrossRevenue]]-Table1[[#This Row],[CostOfGoods]]</f>
        <v>2242.590000000002</v>
      </c>
      <c r="AG164" s="9">
        <f>IF(Table1[[#This Row],[GrossRevenue]]=0,0,Table1[[#This Row],[GrossProfit]]/Table1[[#This Row],[GrossRevenue]])</f>
        <v>0.23843440207198374</v>
      </c>
    </row>
    <row r="165" spans="1:33" hidden="1" x14ac:dyDescent="0.45">
      <c r="A165" t="s">
        <v>178</v>
      </c>
      <c r="C165" s="3">
        <v>45010</v>
      </c>
      <c r="D165" s="3">
        <f>YEAR(Table1[[#This Row],[OrderDate]]) * 100 + MONTH(Table1[[#This Row],[OrderDate]])</f>
        <v>202303</v>
      </c>
      <c r="E165" s="3">
        <f>_xlfn.MINIFS(Table1[OrderMonthKey],Table1[Country],Table1[[#This Row],[Country]])</f>
        <v>202303</v>
      </c>
      <c r="F165" s="3">
        <f>Table1[[#This Row],[CountryFirstMonthKey]]</f>
        <v>202303</v>
      </c>
      <c r="G165" s="3">
        <f>12*(INT(Table1[[#This Row],[OrderMonthKey]]/100)-INT(Table1[[#This Row],[CohortMonthKey]]/100)) + (MOD(Table1[[#This Row],[OrderMonthKey]],100)-MOD(Table1[[#This Row],[CohortMonthKey]],100))</f>
        <v>0</v>
      </c>
      <c r="H165" s="3" t="str">
        <f>TEXT(Table1[[#This Row],[OrderDate]],"MMM-YYYY")</f>
        <v>Mar-2023</v>
      </c>
      <c r="I165" s="3" t="str">
        <f t="shared" si="6"/>
        <v>Q2-2024</v>
      </c>
      <c r="J165" s="3" t="str">
        <f>IF(Table1[[#This Row],[LeadTimeDays]]&lt;=7,"Yes","No")</f>
        <v>Yes</v>
      </c>
      <c r="K165" s="3">
        <f>_xlfn.DAYS(Table1[[#This Row],[CorrectedRequiredDate]],Table1[[#This Row],[OrderDate]])</f>
        <v>1</v>
      </c>
      <c r="L165" s="3">
        <f>IF(Table1[[#This Row],[RequiredDate]]&lt;Table1[[#This Row],[OrderDate]],Table1[[#This Row],[OrderDate]],Table1[[#This Row],[RequiredDate]])</f>
        <v>45011</v>
      </c>
      <c r="M165" s="3">
        <v>45011</v>
      </c>
      <c r="N165" t="s">
        <v>647</v>
      </c>
      <c r="O165" t="s">
        <v>652</v>
      </c>
      <c r="P165" t="s">
        <v>666</v>
      </c>
      <c r="Q165" t="s">
        <v>705</v>
      </c>
      <c r="R165" t="s">
        <v>710</v>
      </c>
      <c r="S165" t="s">
        <v>714</v>
      </c>
      <c r="T165" t="s">
        <v>732</v>
      </c>
      <c r="U165" t="s">
        <v>897</v>
      </c>
      <c r="V165" s="8">
        <v>135.12</v>
      </c>
      <c r="W165" s="8">
        <v>301.7</v>
      </c>
      <c r="X165" s="8">
        <f t="shared" si="7"/>
        <v>815.10700000000008</v>
      </c>
      <c r="Y165" s="8">
        <f t="shared" si="8"/>
        <v>1620.05</v>
      </c>
      <c r="AA165">
        <v>0.14000000000000001</v>
      </c>
      <c r="AB165">
        <f>IF(Table1[[#This Row],[DiscountPct]]&gt;0.2,1,0)</f>
        <v>0</v>
      </c>
      <c r="AC165" s="6">
        <v>47</v>
      </c>
      <c r="AD165" s="8">
        <f>Table1[[#This Row],[UnitPrice]]*Table1[[#This Row],[Quantity]]</f>
        <v>14179.9</v>
      </c>
      <c r="AE165" s="8">
        <f>Table1[[#This Row],[UnitCost]]*Table1[[#This Row],[Quantity]]</f>
        <v>6350.64</v>
      </c>
      <c r="AF165" s="8">
        <f>Table1[[#This Row],[GrossRevenue]]-Table1[[#This Row],[CostOfGoods]]</f>
        <v>7829.2599999999993</v>
      </c>
      <c r="AG165" s="8">
        <f>IF(Table1[[#This Row],[GrossRevenue]]=0,0,Table1[[#This Row],[GrossProfit]]/Table1[[#This Row],[GrossRevenue]])</f>
        <v>0.55213788531653962</v>
      </c>
    </row>
    <row r="166" spans="1:33" x14ac:dyDescent="0.45">
      <c r="A166" t="s">
        <v>179</v>
      </c>
      <c r="B166">
        <v>1</v>
      </c>
      <c r="C166" s="3">
        <v>45447</v>
      </c>
      <c r="D166" s="6">
        <f>YEAR(Table1[[#This Row],[OrderDate]]) * 100 + MONTH(Table1[[#This Row],[OrderDate]])</f>
        <v>202406</v>
      </c>
      <c r="E166" s="6">
        <f>_xlfn.MINIFS(Table1[OrderMonthKey],Table1[Country],Table1[[#This Row],[Country]])</f>
        <v>202301</v>
      </c>
      <c r="F166" s="6">
        <f>Table1[[#This Row],[CountryFirstMonthKey]]</f>
        <v>202301</v>
      </c>
      <c r="G166" s="6">
        <f>12*(INT(Table1[[#This Row],[OrderMonthKey]]/100)-INT(Table1[[#This Row],[CohortMonthKey]]/100)) + (MOD(Table1[[#This Row],[OrderMonthKey]],100)-MOD(Table1[[#This Row],[CohortMonthKey]],100))</f>
        <v>17</v>
      </c>
      <c r="H166" s="3" t="str">
        <f>TEXT(Table1[[#This Row],[OrderDate]],"MMM-YYYY")</f>
        <v>Jun-2024</v>
      </c>
      <c r="I166" s="3" t="str">
        <f t="shared" si="6"/>
        <v>Q1-2023</v>
      </c>
      <c r="J166" s="26" t="str">
        <f>IF(Table1[[#This Row],[LeadTimeDays]]&lt;=7,"Yes","No")</f>
        <v>No</v>
      </c>
      <c r="K166" s="6">
        <f>_xlfn.DAYS(Table1[[#This Row],[CorrectedRequiredDate]],Table1[[#This Row],[OrderDate]])</f>
        <v>12</v>
      </c>
      <c r="L166" s="3">
        <f>IF(Table1[[#This Row],[RequiredDate]]&lt;Table1[[#This Row],[OrderDate]],Table1[[#This Row],[OrderDate]],Table1[[#This Row],[RequiredDate]])</f>
        <v>45459</v>
      </c>
      <c r="M166" s="3">
        <v>45459</v>
      </c>
      <c r="N166" t="s">
        <v>647</v>
      </c>
      <c r="O166" t="s">
        <v>659</v>
      </c>
      <c r="P166" t="s">
        <v>685</v>
      </c>
      <c r="Q166" t="s">
        <v>701</v>
      </c>
      <c r="R166" t="s">
        <v>707</v>
      </c>
      <c r="S166" t="s">
        <v>713</v>
      </c>
      <c r="T166" t="s">
        <v>728</v>
      </c>
      <c r="U166" t="s">
        <v>898</v>
      </c>
      <c r="V166" s="8">
        <v>918.42</v>
      </c>
      <c r="W166" s="8">
        <v>1511.71</v>
      </c>
      <c r="X166" s="8">
        <f t="shared" si="7"/>
        <v>815.10700000000008</v>
      </c>
      <c r="Y166" s="8">
        <f t="shared" si="8"/>
        <v>1620.05</v>
      </c>
      <c r="Z166" s="8" t="str">
        <f>IF(W165 &lt;= X164, "Low",IF(W165 &lt;= Y165, "Medium", "High"))</f>
        <v>Low</v>
      </c>
      <c r="AA166">
        <v>0.02</v>
      </c>
      <c r="AB166">
        <f>IF(Table1[[#This Row],[DiscountPct]]&gt;0.2,1,0)</f>
        <v>0</v>
      </c>
      <c r="AC166" s="6">
        <v>8</v>
      </c>
      <c r="AD166" s="8">
        <f>Table1[[#This Row],[UnitPrice]]*Table1[[#This Row],[Quantity]]</f>
        <v>12093.68</v>
      </c>
      <c r="AE166" s="8">
        <f>Table1[[#This Row],[UnitCost]]*Table1[[#This Row],[Quantity]]</f>
        <v>7347.36</v>
      </c>
      <c r="AF166" s="8">
        <f>Table1[[#This Row],[GrossRevenue]]-Table1[[#This Row],[CostOfGoods]]</f>
        <v>4746.3200000000006</v>
      </c>
      <c r="AG166" s="9">
        <f>IF(Table1[[#This Row],[GrossRevenue]]=0,0,Table1[[#This Row],[GrossProfit]]/Table1[[#This Row],[GrossRevenue]])</f>
        <v>0.39246284009499183</v>
      </c>
    </row>
    <row r="167" spans="1:33" hidden="1" x14ac:dyDescent="0.45">
      <c r="A167" t="s">
        <v>180</v>
      </c>
      <c r="C167" s="3">
        <v>44976</v>
      </c>
      <c r="D167" s="3">
        <f>YEAR(Table1[[#This Row],[OrderDate]]) * 100 + MONTH(Table1[[#This Row],[OrderDate]])</f>
        <v>202302</v>
      </c>
      <c r="E167" s="3">
        <f>_xlfn.MINIFS(Table1[OrderMonthKey],Table1[Country],Table1[[#This Row],[Country]])</f>
        <v>202301</v>
      </c>
      <c r="F167" s="3">
        <f>Table1[[#This Row],[CountryFirstMonthKey]]</f>
        <v>202301</v>
      </c>
      <c r="G167" s="3">
        <f>12*(INT(Table1[[#This Row],[OrderMonthKey]]/100)-INT(Table1[[#This Row],[CohortMonthKey]]/100)) + (MOD(Table1[[#This Row],[OrderMonthKey]],100)-MOD(Table1[[#This Row],[CohortMonthKey]],100))</f>
        <v>1</v>
      </c>
      <c r="H167" s="3" t="str">
        <f>TEXT(Table1[[#This Row],[OrderDate]],"MMM-YYYY")</f>
        <v>Feb-2023</v>
      </c>
      <c r="I167" s="3" t="str">
        <f t="shared" si="6"/>
        <v>Q2-2024</v>
      </c>
      <c r="J167" s="3" t="str">
        <f>IF(Table1[[#This Row],[LeadTimeDays]]&lt;=7,"Yes","No")</f>
        <v>No</v>
      </c>
      <c r="K167" s="3">
        <f>_xlfn.DAYS(Table1[[#This Row],[CorrectedRequiredDate]],Table1[[#This Row],[OrderDate]])</f>
        <v>21</v>
      </c>
      <c r="L167" s="3">
        <f>IF(Table1[[#This Row],[RequiredDate]]&lt;Table1[[#This Row],[OrderDate]],Table1[[#This Row],[OrderDate]],Table1[[#This Row],[RequiredDate]])</f>
        <v>44997</v>
      </c>
      <c r="M167" s="3">
        <v>44997</v>
      </c>
      <c r="N167" t="s">
        <v>649</v>
      </c>
      <c r="O167" t="s">
        <v>656</v>
      </c>
      <c r="P167" t="s">
        <v>671</v>
      </c>
      <c r="Q167" t="s">
        <v>705</v>
      </c>
      <c r="R167" t="s">
        <v>711</v>
      </c>
      <c r="S167" t="s">
        <v>716</v>
      </c>
      <c r="T167" t="s">
        <v>732</v>
      </c>
      <c r="U167" t="s">
        <v>899</v>
      </c>
      <c r="V167" s="8">
        <v>1234.81</v>
      </c>
      <c r="W167" s="8">
        <v>2055.2399999999998</v>
      </c>
      <c r="X167" s="8">
        <f t="shared" si="7"/>
        <v>815.10700000000008</v>
      </c>
      <c r="Y167" s="8">
        <f t="shared" si="8"/>
        <v>1620.05</v>
      </c>
      <c r="AA167">
        <v>5.2999999999999999E-2</v>
      </c>
      <c r="AB167">
        <f>IF(Table1[[#This Row],[DiscountPct]]&gt;0.2,1,0)</f>
        <v>0</v>
      </c>
      <c r="AC167" s="6">
        <v>44</v>
      </c>
      <c r="AD167" s="8">
        <f>Table1[[#This Row],[UnitPrice]]*Table1[[#This Row],[Quantity]]</f>
        <v>90430.56</v>
      </c>
      <c r="AE167" s="8">
        <f>Table1[[#This Row],[UnitCost]]*Table1[[#This Row],[Quantity]]</f>
        <v>54331.64</v>
      </c>
      <c r="AF167" s="8">
        <f>Table1[[#This Row],[GrossRevenue]]-Table1[[#This Row],[CostOfGoods]]</f>
        <v>36098.92</v>
      </c>
      <c r="AG167" s="8">
        <f>IF(Table1[[#This Row],[GrossRevenue]]=0,0,Table1[[#This Row],[GrossProfit]]/Table1[[#This Row],[GrossRevenue]])</f>
        <v>0.39918938907378215</v>
      </c>
    </row>
    <row r="168" spans="1:33" x14ac:dyDescent="0.45">
      <c r="A168" t="s">
        <v>181</v>
      </c>
      <c r="B168">
        <v>1</v>
      </c>
      <c r="C168" s="3">
        <v>45034</v>
      </c>
      <c r="D168" s="6">
        <f>YEAR(Table1[[#This Row],[OrderDate]]) * 100 + MONTH(Table1[[#This Row],[OrderDate]])</f>
        <v>202304</v>
      </c>
      <c r="E168" s="6">
        <f>_xlfn.MINIFS(Table1[OrderMonthKey],Table1[Country],Table1[[#This Row],[Country]])</f>
        <v>202301</v>
      </c>
      <c r="F168" s="6">
        <f>Table1[[#This Row],[CountryFirstMonthKey]]</f>
        <v>202301</v>
      </c>
      <c r="G168" s="6">
        <f>12*(INT(Table1[[#This Row],[OrderMonthKey]]/100)-INT(Table1[[#This Row],[CohortMonthKey]]/100)) + (MOD(Table1[[#This Row],[OrderMonthKey]],100)-MOD(Table1[[#This Row],[CohortMonthKey]],100))</f>
        <v>3</v>
      </c>
      <c r="H168" s="3" t="str">
        <f>TEXT(Table1[[#This Row],[OrderDate]],"MMM-YYYY")</f>
        <v>Apr-2023</v>
      </c>
      <c r="I168" s="3" t="str">
        <f t="shared" si="6"/>
        <v>Q1-2023</v>
      </c>
      <c r="J168" s="26" t="str">
        <f>IF(Table1[[#This Row],[LeadTimeDays]]&lt;=7,"Yes","No")</f>
        <v>No</v>
      </c>
      <c r="K168" s="6">
        <f>_xlfn.DAYS(Table1[[#This Row],[CorrectedRequiredDate]],Table1[[#This Row],[OrderDate]])</f>
        <v>30</v>
      </c>
      <c r="L168" s="3">
        <f>IF(Table1[[#This Row],[RequiredDate]]&lt;Table1[[#This Row],[OrderDate]],Table1[[#This Row],[OrderDate]],Table1[[#This Row],[RequiredDate]])</f>
        <v>45064</v>
      </c>
      <c r="M168" s="3">
        <v>45064</v>
      </c>
      <c r="N168" t="s">
        <v>647</v>
      </c>
      <c r="O168" t="s">
        <v>659</v>
      </c>
      <c r="P168" t="s">
        <v>676</v>
      </c>
      <c r="Q168" t="s">
        <v>703</v>
      </c>
      <c r="R168" t="s">
        <v>707</v>
      </c>
      <c r="S168" t="s">
        <v>722</v>
      </c>
      <c r="T168" t="s">
        <v>731</v>
      </c>
      <c r="U168" t="s">
        <v>900</v>
      </c>
      <c r="V168" s="8">
        <v>329.03</v>
      </c>
      <c r="W168" s="8">
        <v>391.15</v>
      </c>
      <c r="X168" s="8">
        <f t="shared" si="7"/>
        <v>815.10700000000008</v>
      </c>
      <c r="Y168" s="8">
        <f t="shared" si="8"/>
        <v>1620.05</v>
      </c>
      <c r="Z168" s="8" t="str">
        <f>IF(W167 &lt;= X166, "Low",IF(W167 &lt;= Y167, "Medium", "High"))</f>
        <v>High</v>
      </c>
      <c r="AA168">
        <v>0.19700000000000001</v>
      </c>
      <c r="AB168">
        <f>IF(Table1[[#This Row],[DiscountPct]]&gt;0.2,1,0)</f>
        <v>0</v>
      </c>
      <c r="AC168" s="6">
        <v>46</v>
      </c>
      <c r="AD168" s="8">
        <f>Table1[[#This Row],[UnitPrice]]*Table1[[#This Row],[Quantity]]</f>
        <v>17992.899999999998</v>
      </c>
      <c r="AE168" s="8">
        <f>Table1[[#This Row],[UnitCost]]*Table1[[#This Row],[Quantity]]</f>
        <v>15135.38</v>
      </c>
      <c r="AF168" s="8">
        <f>Table1[[#This Row],[GrossRevenue]]-Table1[[#This Row],[CostOfGoods]]</f>
        <v>2857.5199999999986</v>
      </c>
      <c r="AG168" s="9">
        <f>IF(Table1[[#This Row],[GrossRevenue]]=0,0,Table1[[#This Row],[GrossProfit]]/Table1[[#This Row],[GrossRevenue]])</f>
        <v>0.15881375431420167</v>
      </c>
    </row>
    <row r="169" spans="1:33" hidden="1" x14ac:dyDescent="0.45">
      <c r="A169" t="s">
        <v>182</v>
      </c>
      <c r="C169" s="3">
        <v>45435</v>
      </c>
      <c r="D169" s="3">
        <f>YEAR(Table1[[#This Row],[OrderDate]]) * 100 + MONTH(Table1[[#This Row],[OrderDate]])</f>
        <v>202405</v>
      </c>
      <c r="E169" s="3">
        <f>_xlfn.MINIFS(Table1[OrderMonthKey],Table1[Country],Table1[[#This Row],[Country]])</f>
        <v>202301</v>
      </c>
      <c r="F169" s="3">
        <f>Table1[[#This Row],[CountryFirstMonthKey]]</f>
        <v>202301</v>
      </c>
      <c r="G169" s="3">
        <f>12*(INT(Table1[[#This Row],[OrderMonthKey]]/100)-INT(Table1[[#This Row],[CohortMonthKey]]/100)) + (MOD(Table1[[#This Row],[OrderMonthKey]],100)-MOD(Table1[[#This Row],[CohortMonthKey]],100))</f>
        <v>16</v>
      </c>
      <c r="H169" s="3" t="str">
        <f>TEXT(Table1[[#This Row],[OrderDate]],"MMM-YYYY")</f>
        <v>May-2024</v>
      </c>
      <c r="I169" s="3" t="str">
        <f t="shared" si="6"/>
        <v>Q2-2023</v>
      </c>
      <c r="J169" s="3" t="str">
        <f>IF(Table1[[#This Row],[LeadTimeDays]]&lt;=7,"Yes","No")</f>
        <v>No</v>
      </c>
      <c r="K169" s="3">
        <f>_xlfn.DAYS(Table1[[#This Row],[CorrectedRequiredDate]],Table1[[#This Row],[OrderDate]])</f>
        <v>22</v>
      </c>
      <c r="L169" s="3">
        <f>IF(Table1[[#This Row],[RequiredDate]]&lt;Table1[[#This Row],[OrderDate]],Table1[[#This Row],[OrderDate]],Table1[[#This Row],[RequiredDate]])</f>
        <v>45457</v>
      </c>
      <c r="M169" s="3">
        <v>45457</v>
      </c>
      <c r="N169" t="s">
        <v>649</v>
      </c>
      <c r="O169" t="s">
        <v>657</v>
      </c>
      <c r="P169" t="s">
        <v>673</v>
      </c>
      <c r="Q169" t="s">
        <v>705</v>
      </c>
      <c r="R169" t="s">
        <v>708</v>
      </c>
      <c r="S169" t="s">
        <v>725</v>
      </c>
      <c r="T169" t="s">
        <v>732</v>
      </c>
      <c r="U169" t="s">
        <v>901</v>
      </c>
      <c r="V169" s="8">
        <v>1481.74</v>
      </c>
      <c r="W169" s="8">
        <v>1848.97</v>
      </c>
      <c r="X169" s="8">
        <f t="shared" si="7"/>
        <v>815.10700000000008</v>
      </c>
      <c r="Y169" s="8">
        <f t="shared" si="8"/>
        <v>1620.05</v>
      </c>
      <c r="AA169">
        <v>0.254</v>
      </c>
      <c r="AB169">
        <f>IF(Table1[[#This Row],[DiscountPct]]&gt;0.2,1,0)</f>
        <v>1</v>
      </c>
      <c r="AC169" s="6">
        <v>9</v>
      </c>
      <c r="AD169" s="8">
        <f>Table1[[#This Row],[UnitPrice]]*Table1[[#This Row],[Quantity]]</f>
        <v>16640.73</v>
      </c>
      <c r="AE169" s="8">
        <f>Table1[[#This Row],[UnitCost]]*Table1[[#This Row],[Quantity]]</f>
        <v>13335.66</v>
      </c>
      <c r="AF169" s="8">
        <f>Table1[[#This Row],[GrossRevenue]]-Table1[[#This Row],[CostOfGoods]]</f>
        <v>3305.0699999999997</v>
      </c>
      <c r="AG169" s="8">
        <f>IF(Table1[[#This Row],[GrossRevenue]]=0,0,Table1[[#This Row],[GrossProfit]]/Table1[[#This Row],[GrossRevenue]])</f>
        <v>0.19861328198943193</v>
      </c>
    </row>
    <row r="170" spans="1:33" x14ac:dyDescent="0.45">
      <c r="A170" t="s">
        <v>183</v>
      </c>
      <c r="B170">
        <v>1</v>
      </c>
      <c r="C170" s="3">
        <v>45206</v>
      </c>
      <c r="D170" s="6">
        <f>YEAR(Table1[[#This Row],[OrderDate]]) * 100 + MONTH(Table1[[#This Row],[OrderDate]])</f>
        <v>202310</v>
      </c>
      <c r="E170" s="6">
        <f>_xlfn.MINIFS(Table1[OrderMonthKey],Table1[Country],Table1[[#This Row],[Country]])</f>
        <v>202302</v>
      </c>
      <c r="F170" s="6">
        <f>Table1[[#This Row],[CountryFirstMonthKey]]</f>
        <v>202302</v>
      </c>
      <c r="G170" s="6">
        <f>12*(INT(Table1[[#This Row],[OrderMonthKey]]/100)-INT(Table1[[#This Row],[CohortMonthKey]]/100)) + (MOD(Table1[[#This Row],[OrderMonthKey]],100)-MOD(Table1[[#This Row],[CohortMonthKey]],100))</f>
        <v>8</v>
      </c>
      <c r="H170" s="3" t="str">
        <f>TEXT(Table1[[#This Row],[OrderDate]],"MMM-YYYY")</f>
        <v>Oct-2023</v>
      </c>
      <c r="I170" s="3" t="str">
        <f t="shared" si="6"/>
        <v>Q2-2024</v>
      </c>
      <c r="J170" s="26" t="str">
        <f>IF(Table1[[#This Row],[LeadTimeDays]]&lt;=7,"Yes","No")</f>
        <v>No</v>
      </c>
      <c r="K170" s="6">
        <f>_xlfn.DAYS(Table1[[#This Row],[CorrectedRequiredDate]],Table1[[#This Row],[OrderDate]])</f>
        <v>16</v>
      </c>
      <c r="L170" s="3">
        <f>IF(Table1[[#This Row],[RequiredDate]]&lt;Table1[[#This Row],[OrderDate]],Table1[[#This Row],[OrderDate]],Table1[[#This Row],[RequiredDate]])</f>
        <v>45222</v>
      </c>
      <c r="M170" s="3">
        <v>45222</v>
      </c>
      <c r="N170" t="s">
        <v>647</v>
      </c>
      <c r="O170" t="s">
        <v>654</v>
      </c>
      <c r="P170" t="s">
        <v>696</v>
      </c>
      <c r="Q170" t="s">
        <v>704</v>
      </c>
      <c r="R170" t="s">
        <v>707</v>
      </c>
      <c r="S170" t="s">
        <v>715</v>
      </c>
      <c r="T170" t="s">
        <v>732</v>
      </c>
      <c r="U170" t="s">
        <v>902</v>
      </c>
      <c r="V170" s="8">
        <v>906.81</v>
      </c>
      <c r="W170" s="8">
        <v>1395.56</v>
      </c>
      <c r="X170" s="8">
        <f t="shared" si="7"/>
        <v>815.10700000000008</v>
      </c>
      <c r="Y170" s="8">
        <f t="shared" si="8"/>
        <v>1620.05</v>
      </c>
      <c r="Z170" s="8" t="str">
        <f>IF(W169 &lt;= X168, "Low",IF(W169 &lt;= Y169, "Medium", "High"))</f>
        <v>High</v>
      </c>
      <c r="AA170">
        <v>0.185</v>
      </c>
      <c r="AB170">
        <f>IF(Table1[[#This Row],[DiscountPct]]&gt;0.2,1,0)</f>
        <v>0</v>
      </c>
      <c r="AC170" s="6">
        <v>6</v>
      </c>
      <c r="AD170" s="8">
        <f>Table1[[#This Row],[UnitPrice]]*Table1[[#This Row],[Quantity]]</f>
        <v>8373.36</v>
      </c>
      <c r="AE170" s="8">
        <f>Table1[[#This Row],[UnitCost]]*Table1[[#This Row],[Quantity]]</f>
        <v>5440.86</v>
      </c>
      <c r="AF170" s="8">
        <f>Table1[[#This Row],[GrossRevenue]]-Table1[[#This Row],[CostOfGoods]]</f>
        <v>2932.5000000000009</v>
      </c>
      <c r="AG170" s="9">
        <f>IF(Table1[[#This Row],[GrossRevenue]]=0,0,Table1[[#This Row],[GrossProfit]]/Table1[[#This Row],[GrossRevenue]])</f>
        <v>0.35021783370116666</v>
      </c>
    </row>
    <row r="171" spans="1:33" x14ac:dyDescent="0.45">
      <c r="A171" t="s">
        <v>184</v>
      </c>
      <c r="B171">
        <v>1</v>
      </c>
      <c r="C171" s="3">
        <v>45574</v>
      </c>
      <c r="D171" s="6">
        <f>YEAR(Table1[[#This Row],[OrderDate]]) * 100 + MONTH(Table1[[#This Row],[OrderDate]])</f>
        <v>202410</v>
      </c>
      <c r="E171" s="6">
        <f>_xlfn.MINIFS(Table1[OrderMonthKey],Table1[Country],Table1[[#This Row],[Country]])</f>
        <v>202301</v>
      </c>
      <c r="F171" s="6">
        <f>Table1[[#This Row],[CountryFirstMonthKey]]</f>
        <v>202301</v>
      </c>
      <c r="G171" s="6">
        <f>12*(INT(Table1[[#This Row],[OrderMonthKey]]/100)-INT(Table1[[#This Row],[CohortMonthKey]]/100)) + (MOD(Table1[[#This Row],[OrderMonthKey]],100)-MOD(Table1[[#This Row],[CohortMonthKey]],100))</f>
        <v>21</v>
      </c>
      <c r="H171" s="3" t="str">
        <f>TEXT(Table1[[#This Row],[OrderDate]],"MMM-YYYY")</f>
        <v>Oct-2024</v>
      </c>
      <c r="I171" s="3" t="str">
        <f t="shared" si="6"/>
        <v>Q4-2023</v>
      </c>
      <c r="J171" s="26" t="str">
        <f>IF(Table1[[#This Row],[LeadTimeDays]]&lt;=7,"Yes","No")</f>
        <v>No</v>
      </c>
      <c r="K171" s="6">
        <f>_xlfn.DAYS(Table1[[#This Row],[CorrectedRequiredDate]],Table1[[#This Row],[OrderDate]])</f>
        <v>30</v>
      </c>
      <c r="L171" s="3">
        <f>IF(Table1[[#This Row],[RequiredDate]]&lt;Table1[[#This Row],[OrderDate]],Table1[[#This Row],[OrderDate]],Table1[[#This Row],[RequiredDate]])</f>
        <v>45604</v>
      </c>
      <c r="M171" s="3">
        <v>45604</v>
      </c>
      <c r="N171" t="s">
        <v>649</v>
      </c>
      <c r="O171" t="s">
        <v>658</v>
      </c>
      <c r="P171" t="s">
        <v>693</v>
      </c>
      <c r="Q171" t="s">
        <v>705</v>
      </c>
      <c r="R171" t="s">
        <v>710</v>
      </c>
      <c r="S171" t="s">
        <v>713</v>
      </c>
      <c r="T171" t="s">
        <v>727</v>
      </c>
      <c r="U171" t="s">
        <v>903</v>
      </c>
      <c r="V171" s="8">
        <v>343.85</v>
      </c>
      <c r="W171" s="8">
        <v>538.04</v>
      </c>
      <c r="X171" s="8">
        <f t="shared" si="7"/>
        <v>815.10700000000008</v>
      </c>
      <c r="Y171" s="8">
        <f t="shared" si="8"/>
        <v>1620.05</v>
      </c>
      <c r="Z171" s="8" t="str">
        <f>IF(W170 &lt;= X169, "Low",IF(W170 &lt;= Y170, "Medium", "High"))</f>
        <v>Medium</v>
      </c>
      <c r="AA171">
        <v>0.13900000000000001</v>
      </c>
      <c r="AB171">
        <f>IF(Table1[[#This Row],[DiscountPct]]&gt;0.2,1,0)</f>
        <v>0</v>
      </c>
      <c r="AC171" s="6">
        <v>5</v>
      </c>
      <c r="AD171" s="8">
        <f>Table1[[#This Row],[UnitPrice]]*Table1[[#This Row],[Quantity]]</f>
        <v>2690.2</v>
      </c>
      <c r="AE171" s="8">
        <f>Table1[[#This Row],[UnitCost]]*Table1[[#This Row],[Quantity]]</f>
        <v>1719.25</v>
      </c>
      <c r="AF171" s="8">
        <f>Table1[[#This Row],[GrossRevenue]]-Table1[[#This Row],[CostOfGoods]]</f>
        <v>970.94999999999982</v>
      </c>
      <c r="AG171" s="9">
        <f>IF(Table1[[#This Row],[GrossRevenue]]=0,0,Table1[[#This Row],[GrossProfit]]/Table1[[#This Row],[GrossRevenue]])</f>
        <v>0.36092112110623742</v>
      </c>
    </row>
    <row r="172" spans="1:33" hidden="1" x14ac:dyDescent="0.45">
      <c r="A172" t="s">
        <v>185</v>
      </c>
      <c r="C172" s="3">
        <v>45488</v>
      </c>
      <c r="D172" s="3">
        <f>YEAR(Table1[[#This Row],[OrderDate]]) * 100 + MONTH(Table1[[#This Row],[OrderDate]])</f>
        <v>202407</v>
      </c>
      <c r="E172" s="3">
        <f>_xlfn.MINIFS(Table1[OrderMonthKey],Table1[Country],Table1[[#This Row],[Country]])</f>
        <v>202303</v>
      </c>
      <c r="F172" s="3">
        <f>Table1[[#This Row],[CountryFirstMonthKey]]</f>
        <v>202303</v>
      </c>
      <c r="G172" s="3">
        <f>12*(INT(Table1[[#This Row],[OrderMonthKey]]/100)-INT(Table1[[#This Row],[CohortMonthKey]]/100)) + (MOD(Table1[[#This Row],[OrderMonthKey]],100)-MOD(Table1[[#This Row],[CohortMonthKey]],100))</f>
        <v>16</v>
      </c>
      <c r="H172" s="3" t="str">
        <f>TEXT(Table1[[#This Row],[OrderDate]],"MMM-YYYY")</f>
        <v>Jul-2024</v>
      </c>
      <c r="I172" s="3" t="str">
        <f t="shared" si="6"/>
        <v>Q4-2024</v>
      </c>
      <c r="J172" s="3" t="str">
        <f>IF(Table1[[#This Row],[LeadTimeDays]]&lt;=7,"Yes","No")</f>
        <v>Yes</v>
      </c>
      <c r="K172" s="3">
        <f>_xlfn.DAYS(Table1[[#This Row],[CorrectedRequiredDate]],Table1[[#This Row],[OrderDate]])</f>
        <v>0</v>
      </c>
      <c r="L172" s="3">
        <f>IF(Table1[[#This Row],[RequiredDate]]&lt;Table1[[#This Row],[OrderDate]],Table1[[#This Row],[OrderDate]],Table1[[#This Row],[RequiredDate]])</f>
        <v>45488</v>
      </c>
      <c r="M172" s="3">
        <v>45488</v>
      </c>
      <c r="N172" t="s">
        <v>647</v>
      </c>
      <c r="O172" t="s">
        <v>652</v>
      </c>
      <c r="P172" t="s">
        <v>689</v>
      </c>
      <c r="Q172" t="s">
        <v>705</v>
      </c>
      <c r="R172" t="s">
        <v>709</v>
      </c>
      <c r="S172" t="s">
        <v>715</v>
      </c>
      <c r="T172" t="s">
        <v>733</v>
      </c>
      <c r="U172" t="s">
        <v>904</v>
      </c>
      <c r="V172" s="8">
        <v>801.77</v>
      </c>
      <c r="W172" s="8">
        <v>1218.92</v>
      </c>
      <c r="X172" s="8">
        <f t="shared" si="7"/>
        <v>815.10700000000008</v>
      </c>
      <c r="Y172" s="8">
        <f t="shared" si="8"/>
        <v>1620.05</v>
      </c>
      <c r="AA172">
        <v>0.254</v>
      </c>
      <c r="AB172">
        <f>IF(Table1[[#This Row],[DiscountPct]]&gt;0.2,1,0)</f>
        <v>1</v>
      </c>
      <c r="AC172" s="6">
        <v>16</v>
      </c>
      <c r="AD172" s="8">
        <f>Table1[[#This Row],[UnitPrice]]*Table1[[#This Row],[Quantity]]</f>
        <v>19502.72</v>
      </c>
      <c r="AE172" s="8">
        <f>Table1[[#This Row],[UnitCost]]*Table1[[#This Row],[Quantity]]</f>
        <v>12828.32</v>
      </c>
      <c r="AF172" s="8">
        <f>Table1[[#This Row],[GrossRevenue]]-Table1[[#This Row],[CostOfGoods]]</f>
        <v>6674.4000000000015</v>
      </c>
      <c r="AG172" s="8">
        <f>IF(Table1[[#This Row],[GrossRevenue]]=0,0,Table1[[#This Row],[GrossProfit]]/Table1[[#This Row],[GrossRevenue]])</f>
        <v>0.34222918649296102</v>
      </c>
    </row>
    <row r="173" spans="1:33" hidden="1" x14ac:dyDescent="0.45">
      <c r="A173" t="s">
        <v>186</v>
      </c>
      <c r="C173" s="3">
        <v>45190</v>
      </c>
      <c r="D173" s="3">
        <f>YEAR(Table1[[#This Row],[OrderDate]]) * 100 + MONTH(Table1[[#This Row],[OrderDate]])</f>
        <v>202309</v>
      </c>
      <c r="E173" s="3">
        <f>_xlfn.MINIFS(Table1[OrderMonthKey],Table1[Country],Table1[[#This Row],[Country]])</f>
        <v>202303</v>
      </c>
      <c r="F173" s="3">
        <f>Table1[[#This Row],[CountryFirstMonthKey]]</f>
        <v>202303</v>
      </c>
      <c r="G173" s="3">
        <f>12*(INT(Table1[[#This Row],[OrderMonthKey]]/100)-INT(Table1[[#This Row],[CohortMonthKey]]/100)) + (MOD(Table1[[#This Row],[OrderMonthKey]],100)-MOD(Table1[[#This Row],[CohortMonthKey]],100))</f>
        <v>6</v>
      </c>
      <c r="H173" s="3" t="str">
        <f>TEXT(Table1[[#This Row],[OrderDate]],"MMM-YYYY")</f>
        <v>Sep-2023</v>
      </c>
      <c r="I173" s="3" t="str">
        <f t="shared" si="6"/>
        <v>Q3-2024</v>
      </c>
      <c r="J173" s="3" t="str">
        <f>IF(Table1[[#This Row],[LeadTimeDays]]&lt;=7,"Yes","No")</f>
        <v>No</v>
      </c>
      <c r="K173" s="3">
        <f>_xlfn.DAYS(Table1[[#This Row],[CorrectedRequiredDate]],Table1[[#This Row],[OrderDate]])</f>
        <v>19</v>
      </c>
      <c r="L173" s="3">
        <f>IF(Table1[[#This Row],[RequiredDate]]&lt;Table1[[#This Row],[OrderDate]],Table1[[#This Row],[OrderDate]],Table1[[#This Row],[RequiredDate]])</f>
        <v>45209</v>
      </c>
      <c r="M173" s="3">
        <v>45209</v>
      </c>
      <c r="N173" t="s">
        <v>647</v>
      </c>
      <c r="O173" t="s">
        <v>652</v>
      </c>
      <c r="P173" t="s">
        <v>689</v>
      </c>
      <c r="Q173" t="s">
        <v>702</v>
      </c>
      <c r="R173" t="s">
        <v>708</v>
      </c>
      <c r="S173" t="s">
        <v>726</v>
      </c>
      <c r="T173" t="s">
        <v>727</v>
      </c>
      <c r="U173" t="s">
        <v>905</v>
      </c>
      <c r="V173" s="8">
        <v>845.63</v>
      </c>
      <c r="W173" s="8">
        <v>2062.12</v>
      </c>
      <c r="X173" s="8">
        <f t="shared" si="7"/>
        <v>815.10700000000008</v>
      </c>
      <c r="Y173" s="8">
        <f t="shared" si="8"/>
        <v>1620.05</v>
      </c>
      <c r="AA173">
        <v>0.13400000000000001</v>
      </c>
      <c r="AB173">
        <f>IF(Table1[[#This Row],[DiscountPct]]&gt;0.2,1,0)</f>
        <v>0</v>
      </c>
      <c r="AC173" s="6">
        <v>5</v>
      </c>
      <c r="AD173" s="8">
        <f>Table1[[#This Row],[UnitPrice]]*Table1[[#This Row],[Quantity]]</f>
        <v>10310.599999999999</v>
      </c>
      <c r="AE173" s="8">
        <f>Table1[[#This Row],[UnitCost]]*Table1[[#This Row],[Quantity]]</f>
        <v>4228.1499999999996</v>
      </c>
      <c r="AF173" s="8">
        <f>Table1[[#This Row],[GrossRevenue]]-Table1[[#This Row],[CostOfGoods]]</f>
        <v>6082.4499999999989</v>
      </c>
      <c r="AG173" s="8">
        <f>IF(Table1[[#This Row],[GrossRevenue]]=0,0,Table1[[#This Row],[GrossProfit]]/Table1[[#This Row],[GrossRevenue]])</f>
        <v>0.58992202199678001</v>
      </c>
    </row>
    <row r="174" spans="1:33" hidden="1" x14ac:dyDescent="0.45">
      <c r="A174" t="s">
        <v>187</v>
      </c>
      <c r="C174" s="3">
        <v>44981</v>
      </c>
      <c r="D174" s="3">
        <f>YEAR(Table1[[#This Row],[OrderDate]]) * 100 + MONTH(Table1[[#This Row],[OrderDate]])</f>
        <v>202302</v>
      </c>
      <c r="E174" s="3">
        <f>_xlfn.MINIFS(Table1[OrderMonthKey],Table1[Country],Table1[[#This Row],[Country]])</f>
        <v>202301</v>
      </c>
      <c r="F174" s="3">
        <f>Table1[[#This Row],[CountryFirstMonthKey]]</f>
        <v>202301</v>
      </c>
      <c r="G174" s="3">
        <f>12*(INT(Table1[[#This Row],[OrderMonthKey]]/100)-INT(Table1[[#This Row],[CohortMonthKey]]/100)) + (MOD(Table1[[#This Row],[OrderMonthKey]],100)-MOD(Table1[[#This Row],[CohortMonthKey]],100))</f>
        <v>1</v>
      </c>
      <c r="H174" s="3" t="str">
        <f>TEXT(Table1[[#This Row],[OrderDate]],"MMM-YYYY")</f>
        <v>Feb-2023</v>
      </c>
      <c r="I174" s="3" t="str">
        <f t="shared" si="6"/>
        <v>Q3-2023</v>
      </c>
      <c r="J174" s="3" t="str">
        <f>IF(Table1[[#This Row],[LeadTimeDays]]&lt;=7,"Yes","No")</f>
        <v>No</v>
      </c>
      <c r="K174" s="3">
        <f>_xlfn.DAYS(Table1[[#This Row],[CorrectedRequiredDate]],Table1[[#This Row],[OrderDate]])</f>
        <v>13</v>
      </c>
      <c r="L174" s="3">
        <f>IF(Table1[[#This Row],[RequiredDate]]&lt;Table1[[#This Row],[OrderDate]],Table1[[#This Row],[OrderDate]],Table1[[#This Row],[RequiredDate]])</f>
        <v>44994</v>
      </c>
      <c r="M174" s="3">
        <v>44994</v>
      </c>
      <c r="N174" t="s">
        <v>648</v>
      </c>
      <c r="O174" t="s">
        <v>660</v>
      </c>
      <c r="P174" t="s">
        <v>700</v>
      </c>
      <c r="Q174" t="s">
        <v>706</v>
      </c>
      <c r="R174" t="s">
        <v>708</v>
      </c>
      <c r="S174" t="s">
        <v>724</v>
      </c>
      <c r="T174" t="s">
        <v>727</v>
      </c>
      <c r="U174" t="s">
        <v>906</v>
      </c>
      <c r="V174" s="8">
        <v>6.85</v>
      </c>
      <c r="W174" s="8">
        <v>10.18</v>
      </c>
      <c r="X174" s="8">
        <f t="shared" si="7"/>
        <v>815.10700000000008</v>
      </c>
      <c r="Y174" s="8">
        <f t="shared" si="8"/>
        <v>1620.05</v>
      </c>
      <c r="AA174">
        <v>4.7E-2</v>
      </c>
      <c r="AB174">
        <f>IF(Table1[[#This Row],[DiscountPct]]&gt;0.2,1,0)</f>
        <v>0</v>
      </c>
      <c r="AC174" s="6">
        <v>10</v>
      </c>
      <c r="AD174" s="8">
        <f>Table1[[#This Row],[UnitPrice]]*Table1[[#This Row],[Quantity]]</f>
        <v>101.8</v>
      </c>
      <c r="AE174" s="8">
        <f>Table1[[#This Row],[UnitCost]]*Table1[[#This Row],[Quantity]]</f>
        <v>68.5</v>
      </c>
      <c r="AF174" s="8">
        <f>Table1[[#This Row],[GrossRevenue]]-Table1[[#This Row],[CostOfGoods]]</f>
        <v>33.299999999999997</v>
      </c>
      <c r="AG174" s="8">
        <f>IF(Table1[[#This Row],[GrossRevenue]]=0,0,Table1[[#This Row],[GrossProfit]]/Table1[[#This Row],[GrossRevenue]])</f>
        <v>0.32711198428290766</v>
      </c>
    </row>
    <row r="175" spans="1:33" hidden="1" x14ac:dyDescent="0.45">
      <c r="A175" t="s">
        <v>188</v>
      </c>
      <c r="C175" s="3">
        <v>45798</v>
      </c>
      <c r="D175" s="3">
        <f>YEAR(Table1[[#This Row],[OrderDate]]) * 100 + MONTH(Table1[[#This Row],[OrderDate]])</f>
        <v>202505</v>
      </c>
      <c r="E175" s="3">
        <f>_xlfn.MINIFS(Table1[OrderMonthKey],Table1[Country],Table1[[#This Row],[Country]])</f>
        <v>202301</v>
      </c>
      <c r="F175" s="3">
        <f>Table1[[#This Row],[CountryFirstMonthKey]]</f>
        <v>202301</v>
      </c>
      <c r="G175" s="3">
        <f>12*(INT(Table1[[#This Row],[OrderMonthKey]]/100)-INT(Table1[[#This Row],[CohortMonthKey]]/100)) + (MOD(Table1[[#This Row],[OrderMonthKey]],100)-MOD(Table1[[#This Row],[CohortMonthKey]],100))</f>
        <v>28</v>
      </c>
      <c r="H175" s="3" t="str">
        <f>TEXT(Table1[[#This Row],[OrderDate]],"MMM-YYYY")</f>
        <v>May-2025</v>
      </c>
      <c r="I175" s="3" t="str">
        <f t="shared" si="6"/>
        <v>Q1-2023</v>
      </c>
      <c r="J175" s="3" t="str">
        <f>IF(Table1[[#This Row],[LeadTimeDays]]&lt;=7,"Yes","No")</f>
        <v>Yes</v>
      </c>
      <c r="K175" s="3">
        <f>_xlfn.DAYS(Table1[[#This Row],[CorrectedRequiredDate]],Table1[[#This Row],[OrderDate]])</f>
        <v>0</v>
      </c>
      <c r="L175" s="3">
        <f>IF(Table1[[#This Row],[RequiredDate]]&lt;Table1[[#This Row],[OrderDate]],Table1[[#This Row],[OrderDate]],Table1[[#This Row],[RequiredDate]])</f>
        <v>45798</v>
      </c>
      <c r="M175" s="3">
        <v>45796</v>
      </c>
      <c r="N175" t="s">
        <v>646</v>
      </c>
      <c r="O175" t="s">
        <v>661</v>
      </c>
      <c r="P175" t="s">
        <v>682</v>
      </c>
      <c r="Q175" t="s">
        <v>703</v>
      </c>
      <c r="R175" t="s">
        <v>710</v>
      </c>
      <c r="S175" t="s">
        <v>719</v>
      </c>
      <c r="T175" t="s">
        <v>731</v>
      </c>
      <c r="U175" t="s">
        <v>907</v>
      </c>
      <c r="V175" s="8">
        <v>1263.8399999999999</v>
      </c>
      <c r="W175" s="8">
        <v>2281.7199999999998</v>
      </c>
      <c r="X175" s="8">
        <f t="shared" si="7"/>
        <v>815.10700000000008</v>
      </c>
      <c r="Y175" s="8">
        <f t="shared" si="8"/>
        <v>1620.05</v>
      </c>
      <c r="AA175">
        <v>7.8E-2</v>
      </c>
      <c r="AB175">
        <f>IF(Table1[[#This Row],[DiscountPct]]&gt;0.2,1,0)</f>
        <v>0</v>
      </c>
      <c r="AC175" s="6">
        <v>15</v>
      </c>
      <c r="AD175" s="8">
        <f>Table1[[#This Row],[UnitPrice]]*Table1[[#This Row],[Quantity]]</f>
        <v>34225.799999999996</v>
      </c>
      <c r="AE175" s="8">
        <f>Table1[[#This Row],[UnitCost]]*Table1[[#This Row],[Quantity]]</f>
        <v>18957.599999999999</v>
      </c>
      <c r="AF175" s="8">
        <f>Table1[[#This Row],[GrossRevenue]]-Table1[[#This Row],[CostOfGoods]]</f>
        <v>15268.199999999997</v>
      </c>
      <c r="AG175" s="8">
        <f>IF(Table1[[#This Row],[GrossRevenue]]=0,0,Table1[[#This Row],[GrossProfit]]/Table1[[#This Row],[GrossRevenue]])</f>
        <v>0.44610206335571406</v>
      </c>
    </row>
    <row r="176" spans="1:33" hidden="1" x14ac:dyDescent="0.45">
      <c r="A176" t="s">
        <v>189</v>
      </c>
      <c r="C176" s="3">
        <v>45435</v>
      </c>
      <c r="D176" s="3">
        <f>YEAR(Table1[[#This Row],[OrderDate]]) * 100 + MONTH(Table1[[#This Row],[OrderDate]])</f>
        <v>202405</v>
      </c>
      <c r="E176" s="3">
        <f>_xlfn.MINIFS(Table1[OrderMonthKey],Table1[Country],Table1[[#This Row],[Country]])</f>
        <v>202301</v>
      </c>
      <c r="F176" s="3">
        <f>Table1[[#This Row],[CountryFirstMonthKey]]</f>
        <v>202301</v>
      </c>
      <c r="G176" s="3">
        <f>12*(INT(Table1[[#This Row],[OrderMonthKey]]/100)-INT(Table1[[#This Row],[CohortMonthKey]]/100)) + (MOD(Table1[[#This Row],[OrderMonthKey]],100)-MOD(Table1[[#This Row],[CohortMonthKey]],100))</f>
        <v>16</v>
      </c>
      <c r="H176" s="3" t="str">
        <f>TEXT(Table1[[#This Row],[OrderDate]],"MMM-YYYY")</f>
        <v>May-2024</v>
      </c>
      <c r="I176" s="3" t="str">
        <f t="shared" si="6"/>
        <v>Q2-2025</v>
      </c>
      <c r="J176" s="3" t="str">
        <f>IF(Table1[[#This Row],[LeadTimeDays]]&lt;=7,"Yes","No")</f>
        <v>No</v>
      </c>
      <c r="K176" s="3">
        <f>_xlfn.DAYS(Table1[[#This Row],[CorrectedRequiredDate]],Table1[[#This Row],[OrderDate]])</f>
        <v>11</v>
      </c>
      <c r="L176" s="3">
        <f>IF(Table1[[#This Row],[RequiredDate]]&lt;Table1[[#This Row],[OrderDate]],Table1[[#This Row],[OrderDate]],Table1[[#This Row],[RequiredDate]])</f>
        <v>45446</v>
      </c>
      <c r="M176" s="3">
        <v>45446</v>
      </c>
      <c r="N176" t="s">
        <v>646</v>
      </c>
      <c r="O176" t="s">
        <v>661</v>
      </c>
      <c r="P176" t="s">
        <v>682</v>
      </c>
      <c r="Q176" t="s">
        <v>705</v>
      </c>
      <c r="R176" t="s">
        <v>710</v>
      </c>
      <c r="S176" t="s">
        <v>721</v>
      </c>
      <c r="T176" t="s">
        <v>728</v>
      </c>
      <c r="U176" t="s">
        <v>908</v>
      </c>
      <c r="V176" s="8">
        <v>180.89</v>
      </c>
      <c r="W176" s="8">
        <v>249.57</v>
      </c>
      <c r="X176" s="8">
        <f t="shared" si="7"/>
        <v>815.10700000000008</v>
      </c>
      <c r="Y176" s="8">
        <f t="shared" si="8"/>
        <v>1620.05</v>
      </c>
      <c r="AA176">
        <v>2.1999999999999999E-2</v>
      </c>
      <c r="AB176">
        <f>IF(Table1[[#This Row],[DiscountPct]]&gt;0.2,1,0)</f>
        <v>0</v>
      </c>
      <c r="AC176" s="6">
        <v>8</v>
      </c>
      <c r="AD176" s="8">
        <f>Table1[[#This Row],[UnitPrice]]*Table1[[#This Row],[Quantity]]</f>
        <v>1996.56</v>
      </c>
      <c r="AE176" s="8">
        <f>Table1[[#This Row],[UnitCost]]*Table1[[#This Row],[Quantity]]</f>
        <v>1447.12</v>
      </c>
      <c r="AF176" s="8">
        <f>Table1[[#This Row],[GrossRevenue]]-Table1[[#This Row],[CostOfGoods]]</f>
        <v>549.44000000000005</v>
      </c>
      <c r="AG176" s="8">
        <f>IF(Table1[[#This Row],[GrossRevenue]]=0,0,Table1[[#This Row],[GrossProfit]]/Table1[[#This Row],[GrossRevenue]])</f>
        <v>0.27519333253195499</v>
      </c>
    </row>
    <row r="177" spans="1:33" x14ac:dyDescent="0.45">
      <c r="A177" t="s">
        <v>190</v>
      </c>
      <c r="B177">
        <v>1</v>
      </c>
      <c r="C177" s="3">
        <v>45761</v>
      </c>
      <c r="D177" s="6">
        <f>YEAR(Table1[[#This Row],[OrderDate]]) * 100 + MONTH(Table1[[#This Row],[OrderDate]])</f>
        <v>202504</v>
      </c>
      <c r="E177" s="6">
        <f>_xlfn.MINIFS(Table1[OrderMonthKey],Table1[Country],Table1[[#This Row],[Country]])</f>
        <v>202301</v>
      </c>
      <c r="F177" s="6">
        <f>Table1[[#This Row],[CountryFirstMonthKey]]</f>
        <v>202301</v>
      </c>
      <c r="G177" s="6">
        <f>12*(INT(Table1[[#This Row],[OrderMonthKey]]/100)-INT(Table1[[#This Row],[CohortMonthKey]]/100)) + (MOD(Table1[[#This Row],[OrderMonthKey]],100)-MOD(Table1[[#This Row],[CohortMonthKey]],100))</f>
        <v>27</v>
      </c>
      <c r="H177" s="3" t="str">
        <f>TEXT(Table1[[#This Row],[OrderDate]],"MMM-YYYY")</f>
        <v>Apr-2025</v>
      </c>
      <c r="I177" s="3" t="str">
        <f t="shared" si="6"/>
        <v>Q2-2024</v>
      </c>
      <c r="J177" s="26" t="str">
        <f>IF(Table1[[#This Row],[LeadTimeDays]]&lt;=7,"Yes","No")</f>
        <v>No</v>
      </c>
      <c r="K177" s="6">
        <f>_xlfn.DAYS(Table1[[#This Row],[CorrectedRequiredDate]],Table1[[#This Row],[OrderDate]])</f>
        <v>20</v>
      </c>
      <c r="L177" s="3">
        <f>IF(Table1[[#This Row],[RequiredDate]]&lt;Table1[[#This Row],[OrderDate]],Table1[[#This Row],[OrderDate]],Table1[[#This Row],[RequiredDate]])</f>
        <v>45781</v>
      </c>
      <c r="M177" s="3">
        <v>45781</v>
      </c>
      <c r="N177" t="s">
        <v>649</v>
      </c>
      <c r="O177" t="s">
        <v>658</v>
      </c>
      <c r="P177" t="s">
        <v>674</v>
      </c>
      <c r="Q177" t="s">
        <v>706</v>
      </c>
      <c r="R177" t="s">
        <v>709</v>
      </c>
      <c r="S177" t="s">
        <v>723</v>
      </c>
      <c r="T177" t="s">
        <v>732</v>
      </c>
      <c r="U177" t="s">
        <v>909</v>
      </c>
      <c r="V177" s="8">
        <v>1413.87</v>
      </c>
      <c r="W177" s="8">
        <v>3275</v>
      </c>
      <c r="X177" s="8">
        <f t="shared" si="7"/>
        <v>815.10700000000008</v>
      </c>
      <c r="Y177" s="8">
        <f t="shared" si="8"/>
        <v>1620.05</v>
      </c>
      <c r="Z177" s="8" t="str">
        <f>IF(W176 &lt;= X175, "Low",IF(W176 &lt;= Y176, "Medium", "High"))</f>
        <v>Low</v>
      </c>
      <c r="AA177">
        <v>0.255</v>
      </c>
      <c r="AB177">
        <f>IF(Table1[[#This Row],[DiscountPct]]&gt;0.2,1,0)</f>
        <v>1</v>
      </c>
      <c r="AC177" s="6">
        <v>38</v>
      </c>
      <c r="AD177" s="8">
        <f>Table1[[#This Row],[UnitPrice]]*Table1[[#This Row],[Quantity]]</f>
        <v>124450</v>
      </c>
      <c r="AE177" s="8">
        <f>Table1[[#This Row],[UnitCost]]*Table1[[#This Row],[Quantity]]</f>
        <v>53727.06</v>
      </c>
      <c r="AF177" s="8">
        <f>Table1[[#This Row],[GrossRevenue]]-Table1[[#This Row],[CostOfGoods]]</f>
        <v>70722.94</v>
      </c>
      <c r="AG177" s="9">
        <f>IF(Table1[[#This Row],[GrossRevenue]]=0,0,Table1[[#This Row],[GrossProfit]]/Table1[[#This Row],[GrossRevenue]])</f>
        <v>0.56828396946564885</v>
      </c>
    </row>
    <row r="178" spans="1:33" x14ac:dyDescent="0.45">
      <c r="A178" t="s">
        <v>191</v>
      </c>
      <c r="B178">
        <v>1</v>
      </c>
      <c r="C178" s="3">
        <v>45165</v>
      </c>
      <c r="D178" s="6">
        <f>YEAR(Table1[[#This Row],[OrderDate]]) * 100 + MONTH(Table1[[#This Row],[OrderDate]])</f>
        <v>202308</v>
      </c>
      <c r="E178" s="6">
        <f>_xlfn.MINIFS(Table1[OrderMonthKey],Table1[Country],Table1[[#This Row],[Country]])</f>
        <v>202301</v>
      </c>
      <c r="F178" s="6">
        <f>Table1[[#This Row],[CountryFirstMonthKey]]</f>
        <v>202301</v>
      </c>
      <c r="G178" s="6">
        <f>12*(INT(Table1[[#This Row],[OrderMonthKey]]/100)-INT(Table1[[#This Row],[CohortMonthKey]]/100)) + (MOD(Table1[[#This Row],[OrderMonthKey]],100)-MOD(Table1[[#This Row],[CohortMonthKey]],100))</f>
        <v>7</v>
      </c>
      <c r="H178" s="3" t="str">
        <f>TEXT(Table1[[#This Row],[OrderDate]],"MMM-YYYY")</f>
        <v>Aug-2023</v>
      </c>
      <c r="I178" s="3" t="str">
        <f t="shared" si="6"/>
        <v>Q2-2025</v>
      </c>
      <c r="J178" s="26" t="str">
        <f>IF(Table1[[#This Row],[LeadTimeDays]]&lt;=7,"Yes","No")</f>
        <v>No</v>
      </c>
      <c r="K178" s="6">
        <f>_xlfn.DAYS(Table1[[#This Row],[CorrectedRequiredDate]],Table1[[#This Row],[OrderDate]])</f>
        <v>15</v>
      </c>
      <c r="L178" s="3">
        <f>IF(Table1[[#This Row],[RequiredDate]]&lt;Table1[[#This Row],[OrderDate]],Table1[[#This Row],[OrderDate]],Table1[[#This Row],[RequiredDate]])</f>
        <v>45180</v>
      </c>
      <c r="M178" s="3">
        <v>45180</v>
      </c>
      <c r="N178" t="s">
        <v>649</v>
      </c>
      <c r="O178" t="s">
        <v>658</v>
      </c>
      <c r="P178" t="s">
        <v>683</v>
      </c>
      <c r="Q178" t="s">
        <v>704</v>
      </c>
      <c r="R178" t="s">
        <v>709</v>
      </c>
      <c r="S178" t="s">
        <v>725</v>
      </c>
      <c r="T178" t="s">
        <v>728</v>
      </c>
      <c r="U178" t="s">
        <v>910</v>
      </c>
      <c r="V178" s="8">
        <v>943.79</v>
      </c>
      <c r="W178" s="8">
        <v>1913.76</v>
      </c>
      <c r="X178" s="8">
        <f t="shared" si="7"/>
        <v>815.10700000000008</v>
      </c>
      <c r="Y178" s="8">
        <f t="shared" si="8"/>
        <v>1620.05</v>
      </c>
      <c r="Z178" s="8" t="str">
        <f>IF(W177 &lt;= X176, "Low",IF(W177 &lt;= Y177, "Medium", "High"))</f>
        <v>High</v>
      </c>
      <c r="AA178">
        <v>9.0999999999999998E-2</v>
      </c>
      <c r="AB178">
        <f>IF(Table1[[#This Row],[DiscountPct]]&gt;0.2,1,0)</f>
        <v>0</v>
      </c>
      <c r="AC178" s="6">
        <v>9</v>
      </c>
      <c r="AD178" s="8">
        <f>Table1[[#This Row],[UnitPrice]]*Table1[[#This Row],[Quantity]]</f>
        <v>17223.84</v>
      </c>
      <c r="AE178" s="8">
        <f>Table1[[#This Row],[UnitCost]]*Table1[[#This Row],[Quantity]]</f>
        <v>8494.11</v>
      </c>
      <c r="AF178" s="8">
        <f>Table1[[#This Row],[GrossRevenue]]-Table1[[#This Row],[CostOfGoods]]</f>
        <v>8729.73</v>
      </c>
      <c r="AG178" s="9">
        <f>IF(Table1[[#This Row],[GrossRevenue]]=0,0,Table1[[#This Row],[GrossProfit]]/Table1[[#This Row],[GrossRevenue]])</f>
        <v>0.50683993813226313</v>
      </c>
    </row>
    <row r="179" spans="1:33" hidden="1" x14ac:dyDescent="0.45">
      <c r="A179" t="s">
        <v>192</v>
      </c>
      <c r="C179" s="3">
        <v>45325</v>
      </c>
      <c r="D179" s="3">
        <f>YEAR(Table1[[#This Row],[OrderDate]]) * 100 + MONTH(Table1[[#This Row],[OrderDate]])</f>
        <v>202402</v>
      </c>
      <c r="E179" s="3">
        <f>_xlfn.MINIFS(Table1[OrderMonthKey],Table1[Country],Table1[[#This Row],[Country]])</f>
        <v>202301</v>
      </c>
      <c r="F179" s="3">
        <f>Table1[[#This Row],[CountryFirstMonthKey]]</f>
        <v>202301</v>
      </c>
      <c r="G179" s="3">
        <f>12*(INT(Table1[[#This Row],[OrderMonthKey]]/100)-INT(Table1[[#This Row],[CohortMonthKey]]/100)) + (MOD(Table1[[#This Row],[OrderMonthKey]],100)-MOD(Table1[[#This Row],[CohortMonthKey]],100))</f>
        <v>13</v>
      </c>
      <c r="H179" s="3" t="str">
        <f>TEXT(Table1[[#This Row],[OrderDate]],"MMM-YYYY")</f>
        <v>Feb-2024</v>
      </c>
      <c r="I179" s="3" t="str">
        <f t="shared" si="6"/>
        <v>Q3-2023</v>
      </c>
      <c r="J179" s="3" t="str">
        <f>IF(Table1[[#This Row],[LeadTimeDays]]&lt;=7,"Yes","No")</f>
        <v>No</v>
      </c>
      <c r="K179" s="3">
        <f>_xlfn.DAYS(Table1[[#This Row],[CorrectedRequiredDate]],Table1[[#This Row],[OrderDate]])</f>
        <v>18</v>
      </c>
      <c r="L179" s="3">
        <f>IF(Table1[[#This Row],[RequiredDate]]&lt;Table1[[#This Row],[OrderDate]],Table1[[#This Row],[OrderDate]],Table1[[#This Row],[RequiredDate]])</f>
        <v>45343</v>
      </c>
      <c r="M179" s="3">
        <v>45343</v>
      </c>
      <c r="N179" t="s">
        <v>649</v>
      </c>
      <c r="O179" t="s">
        <v>656</v>
      </c>
      <c r="P179" t="s">
        <v>698</v>
      </c>
      <c r="Q179" t="s">
        <v>701</v>
      </c>
      <c r="R179" t="s">
        <v>707</v>
      </c>
      <c r="S179" t="s">
        <v>722</v>
      </c>
      <c r="T179" t="s">
        <v>727</v>
      </c>
      <c r="U179" t="s">
        <v>911</v>
      </c>
      <c r="V179" s="8">
        <v>39.229999999999997</v>
      </c>
      <c r="W179" s="8">
        <v>30.09</v>
      </c>
      <c r="X179" s="8">
        <f t="shared" si="7"/>
        <v>815.10700000000008</v>
      </c>
      <c r="Y179" s="8">
        <f t="shared" si="8"/>
        <v>1620.05</v>
      </c>
      <c r="AA179">
        <v>0.17699999999999999</v>
      </c>
      <c r="AB179">
        <f>IF(Table1[[#This Row],[DiscountPct]]&gt;0.2,1,0)</f>
        <v>0</v>
      </c>
      <c r="AC179" s="6">
        <v>13</v>
      </c>
      <c r="AD179" s="8">
        <f>Table1[[#This Row],[UnitPrice]]*Table1[[#This Row],[Quantity]]</f>
        <v>391.17</v>
      </c>
      <c r="AE179" s="8">
        <f>Table1[[#This Row],[UnitCost]]*Table1[[#This Row],[Quantity]]</f>
        <v>509.98999999999995</v>
      </c>
      <c r="AF179" s="8">
        <f>Table1[[#This Row],[GrossRevenue]]-Table1[[#This Row],[CostOfGoods]]</f>
        <v>-118.81999999999994</v>
      </c>
      <c r="AG179" s="8">
        <f>IF(Table1[[#This Row],[GrossRevenue]]=0,0,Table1[[#This Row],[GrossProfit]]/Table1[[#This Row],[GrossRevenue]])</f>
        <v>-0.30375540046527066</v>
      </c>
    </row>
    <row r="180" spans="1:33" x14ac:dyDescent="0.45">
      <c r="A180" t="s">
        <v>193</v>
      </c>
      <c r="B180">
        <v>1</v>
      </c>
      <c r="C180" s="3">
        <v>45021</v>
      </c>
      <c r="D180" s="6">
        <f>YEAR(Table1[[#This Row],[OrderDate]]) * 100 + MONTH(Table1[[#This Row],[OrderDate]])</f>
        <v>202304</v>
      </c>
      <c r="E180" s="6">
        <f>_xlfn.MINIFS(Table1[OrderMonthKey],Table1[Country],Table1[[#This Row],[Country]])</f>
        <v>202301</v>
      </c>
      <c r="F180" s="6">
        <f>Table1[[#This Row],[CountryFirstMonthKey]]</f>
        <v>202301</v>
      </c>
      <c r="G180" s="6">
        <f>12*(INT(Table1[[#This Row],[OrderMonthKey]]/100)-INT(Table1[[#This Row],[CohortMonthKey]]/100)) + (MOD(Table1[[#This Row],[OrderMonthKey]],100)-MOD(Table1[[#This Row],[CohortMonthKey]],100))</f>
        <v>3</v>
      </c>
      <c r="H180" s="3" t="str">
        <f>TEXT(Table1[[#This Row],[OrderDate]],"MMM-YYYY")</f>
        <v>Apr-2023</v>
      </c>
      <c r="I180" s="3" t="str">
        <f t="shared" si="6"/>
        <v>Q1-2024</v>
      </c>
      <c r="J180" s="26" t="str">
        <f>IF(Table1[[#This Row],[LeadTimeDays]]&lt;=7,"Yes","No")</f>
        <v>No</v>
      </c>
      <c r="K180" s="6">
        <f>_xlfn.DAYS(Table1[[#This Row],[CorrectedRequiredDate]],Table1[[#This Row],[OrderDate]])</f>
        <v>11</v>
      </c>
      <c r="L180" s="3">
        <f>IF(Table1[[#This Row],[RequiredDate]]&lt;Table1[[#This Row],[OrderDate]],Table1[[#This Row],[OrderDate]],Table1[[#This Row],[RequiredDate]])</f>
        <v>45032</v>
      </c>
      <c r="M180" s="3">
        <v>45032</v>
      </c>
      <c r="N180" t="s">
        <v>648</v>
      </c>
      <c r="O180" t="s">
        <v>653</v>
      </c>
      <c r="P180" t="s">
        <v>688</v>
      </c>
      <c r="Q180" t="s">
        <v>703</v>
      </c>
      <c r="R180" t="s">
        <v>708</v>
      </c>
      <c r="S180" t="s">
        <v>719</v>
      </c>
      <c r="T180" t="s">
        <v>732</v>
      </c>
      <c r="U180" t="s">
        <v>912</v>
      </c>
      <c r="V180" s="8">
        <v>213.1</v>
      </c>
      <c r="W180" s="8">
        <v>501.31</v>
      </c>
      <c r="X180" s="8">
        <f t="shared" si="7"/>
        <v>815.10700000000008</v>
      </c>
      <c r="Y180" s="8">
        <f t="shared" si="8"/>
        <v>1620.05</v>
      </c>
      <c r="Z180" s="8" t="str">
        <f>IF(W179 &lt;= X178, "Low",IF(W179 &lt;= Y179, "Medium", "High"))</f>
        <v>Low</v>
      </c>
      <c r="AA180">
        <v>5.6000000000000001E-2</v>
      </c>
      <c r="AB180">
        <f>IF(Table1[[#This Row],[DiscountPct]]&gt;0.2,1,0)</f>
        <v>0</v>
      </c>
      <c r="AC180" s="6">
        <v>15</v>
      </c>
      <c r="AD180" s="8">
        <f>Table1[[#This Row],[UnitPrice]]*Table1[[#This Row],[Quantity]]</f>
        <v>7519.65</v>
      </c>
      <c r="AE180" s="8">
        <f>Table1[[#This Row],[UnitCost]]*Table1[[#This Row],[Quantity]]</f>
        <v>3196.5</v>
      </c>
      <c r="AF180" s="8">
        <f>Table1[[#This Row],[GrossRevenue]]-Table1[[#This Row],[CostOfGoods]]</f>
        <v>4323.1499999999996</v>
      </c>
      <c r="AG180" s="9">
        <f>IF(Table1[[#This Row],[GrossRevenue]]=0,0,Table1[[#This Row],[GrossProfit]]/Table1[[#This Row],[GrossRevenue]])</f>
        <v>0.57491372603778101</v>
      </c>
    </row>
    <row r="181" spans="1:33" x14ac:dyDescent="0.45">
      <c r="A181" t="s">
        <v>194</v>
      </c>
      <c r="B181">
        <v>1</v>
      </c>
      <c r="C181" s="3">
        <v>45890</v>
      </c>
      <c r="D181" s="6">
        <f>YEAR(Table1[[#This Row],[OrderDate]]) * 100 + MONTH(Table1[[#This Row],[OrderDate]])</f>
        <v>202508</v>
      </c>
      <c r="E181" s="6">
        <f>_xlfn.MINIFS(Table1[OrderMonthKey],Table1[Country],Table1[[#This Row],[Country]])</f>
        <v>202301</v>
      </c>
      <c r="F181" s="6">
        <f>Table1[[#This Row],[CountryFirstMonthKey]]</f>
        <v>202301</v>
      </c>
      <c r="G181" s="6">
        <f>12*(INT(Table1[[#This Row],[OrderMonthKey]]/100)-INT(Table1[[#This Row],[CohortMonthKey]]/100)) + (MOD(Table1[[#This Row],[OrderMonthKey]],100)-MOD(Table1[[#This Row],[CohortMonthKey]],100))</f>
        <v>31</v>
      </c>
      <c r="H181" s="3" t="str">
        <f>TEXT(Table1[[#This Row],[OrderDate]],"MMM-YYYY")</f>
        <v>Aug-2025</v>
      </c>
      <c r="I181" s="3" t="str">
        <f t="shared" si="6"/>
        <v>Q2-2023</v>
      </c>
      <c r="J181" s="26" t="str">
        <f>IF(Table1[[#This Row],[LeadTimeDays]]&lt;=7,"Yes","No")</f>
        <v>No</v>
      </c>
      <c r="K181" s="6">
        <f>_xlfn.DAYS(Table1[[#This Row],[CorrectedRequiredDate]],Table1[[#This Row],[OrderDate]])</f>
        <v>22</v>
      </c>
      <c r="L181" s="3">
        <f>IF(Table1[[#This Row],[RequiredDate]]&lt;Table1[[#This Row],[OrderDate]],Table1[[#This Row],[OrderDate]],Table1[[#This Row],[RequiredDate]])</f>
        <v>45912</v>
      </c>
      <c r="M181" s="3">
        <v>45912</v>
      </c>
      <c r="N181" t="s">
        <v>647</v>
      </c>
      <c r="O181" t="s">
        <v>659</v>
      </c>
      <c r="P181" t="s">
        <v>676</v>
      </c>
      <c r="Q181" t="s">
        <v>702</v>
      </c>
      <c r="R181" t="s">
        <v>707</v>
      </c>
      <c r="S181" t="s">
        <v>717</v>
      </c>
      <c r="T181" t="s">
        <v>728</v>
      </c>
      <c r="U181" t="s">
        <v>913</v>
      </c>
      <c r="V181" s="8">
        <v>352.66</v>
      </c>
      <c r="W181" s="8">
        <v>411.18</v>
      </c>
      <c r="X181" s="8">
        <f t="shared" si="7"/>
        <v>815.10700000000008</v>
      </c>
      <c r="Y181" s="8">
        <f t="shared" si="8"/>
        <v>1620.05</v>
      </c>
      <c r="Z181" s="8" t="str">
        <f>IF(W180 &lt;= X179, "Low",IF(W180 &lt;= Y180, "Medium", "High"))</f>
        <v>Low</v>
      </c>
      <c r="AA181">
        <v>0.17299999999999999</v>
      </c>
      <c r="AB181">
        <f>IF(Table1[[#This Row],[DiscountPct]]&gt;0.2,1,0)</f>
        <v>0</v>
      </c>
      <c r="AC181" s="6">
        <v>13</v>
      </c>
      <c r="AD181" s="8">
        <f>Table1[[#This Row],[UnitPrice]]*Table1[[#This Row],[Quantity]]</f>
        <v>5345.34</v>
      </c>
      <c r="AE181" s="8">
        <f>Table1[[#This Row],[UnitCost]]*Table1[[#This Row],[Quantity]]</f>
        <v>4584.58</v>
      </c>
      <c r="AF181" s="8">
        <f>Table1[[#This Row],[GrossRevenue]]-Table1[[#This Row],[CostOfGoods]]</f>
        <v>760.76000000000022</v>
      </c>
      <c r="AG181" s="9">
        <f>IF(Table1[[#This Row],[GrossRevenue]]=0,0,Table1[[#This Row],[GrossProfit]]/Table1[[#This Row],[GrossRevenue]])</f>
        <v>0.1423220973782772</v>
      </c>
    </row>
    <row r="182" spans="1:33" x14ac:dyDescent="0.45">
      <c r="A182" t="s">
        <v>195</v>
      </c>
      <c r="B182">
        <v>1</v>
      </c>
      <c r="C182" s="3">
        <v>45915</v>
      </c>
      <c r="D182" s="6">
        <f>YEAR(Table1[[#This Row],[OrderDate]]) * 100 + MONTH(Table1[[#This Row],[OrderDate]])</f>
        <v>202509</v>
      </c>
      <c r="E182" s="6">
        <f>_xlfn.MINIFS(Table1[OrderMonthKey],Table1[Country],Table1[[#This Row],[Country]])</f>
        <v>202301</v>
      </c>
      <c r="F182" s="6">
        <f>Table1[[#This Row],[CountryFirstMonthKey]]</f>
        <v>202301</v>
      </c>
      <c r="G182" s="6">
        <f>12*(INT(Table1[[#This Row],[OrderMonthKey]]/100)-INT(Table1[[#This Row],[CohortMonthKey]]/100)) + (MOD(Table1[[#This Row],[OrderMonthKey]],100)-MOD(Table1[[#This Row],[CohortMonthKey]],100))</f>
        <v>32</v>
      </c>
      <c r="H182" s="3" t="str">
        <f>TEXT(Table1[[#This Row],[OrderDate]],"MMM-YYYY")</f>
        <v>Sep-2025</v>
      </c>
      <c r="I182" s="3" t="str">
        <f t="shared" si="6"/>
        <v>Q3-2025</v>
      </c>
      <c r="J182" s="26" t="str">
        <f>IF(Table1[[#This Row],[LeadTimeDays]]&lt;=7,"Yes","No")</f>
        <v>Yes</v>
      </c>
      <c r="K182" s="6">
        <f>_xlfn.DAYS(Table1[[#This Row],[CorrectedRequiredDate]],Table1[[#This Row],[OrderDate]])</f>
        <v>3</v>
      </c>
      <c r="L182" s="3">
        <f>IF(Table1[[#This Row],[RequiredDate]]&lt;Table1[[#This Row],[OrderDate]],Table1[[#This Row],[OrderDate]],Table1[[#This Row],[RequiredDate]])</f>
        <v>45918</v>
      </c>
      <c r="M182" s="3">
        <v>45918</v>
      </c>
      <c r="N182" t="s">
        <v>648</v>
      </c>
      <c r="O182" t="s">
        <v>655</v>
      </c>
      <c r="P182" t="s">
        <v>692</v>
      </c>
      <c r="Q182" t="s">
        <v>703</v>
      </c>
      <c r="R182" t="s">
        <v>711</v>
      </c>
      <c r="S182" t="s">
        <v>716</v>
      </c>
      <c r="T182" t="s">
        <v>733</v>
      </c>
      <c r="U182" t="s">
        <v>914</v>
      </c>
      <c r="V182" s="8">
        <v>5.5</v>
      </c>
      <c r="W182" s="8">
        <v>5.92</v>
      </c>
      <c r="X182" s="8">
        <f t="shared" si="7"/>
        <v>815.10700000000008</v>
      </c>
      <c r="Y182" s="8">
        <f t="shared" si="8"/>
        <v>1620.05</v>
      </c>
      <c r="Z182" s="8" t="str">
        <f>IF(W181 &lt;= X180, "Low",IF(W181 &lt;= Y181, "Medium", "High"))</f>
        <v>Low</v>
      </c>
      <c r="AA182">
        <v>0.21199999999999999</v>
      </c>
      <c r="AB182">
        <f>IF(Table1[[#This Row],[DiscountPct]]&gt;0.2,1,0)</f>
        <v>1</v>
      </c>
      <c r="AC182" s="6">
        <v>4</v>
      </c>
      <c r="AD182" s="8">
        <f>Table1[[#This Row],[UnitPrice]]*Table1[[#This Row],[Quantity]]</f>
        <v>23.68</v>
      </c>
      <c r="AE182" s="8">
        <f>Table1[[#This Row],[UnitCost]]*Table1[[#This Row],[Quantity]]</f>
        <v>22</v>
      </c>
      <c r="AF182" s="8">
        <f>Table1[[#This Row],[GrossRevenue]]-Table1[[#This Row],[CostOfGoods]]</f>
        <v>1.6799999999999997</v>
      </c>
      <c r="AG182" s="9">
        <f>IF(Table1[[#This Row],[GrossRevenue]]=0,0,Table1[[#This Row],[GrossProfit]]/Table1[[#This Row],[GrossRevenue]])</f>
        <v>7.0945945945945929E-2</v>
      </c>
    </row>
    <row r="183" spans="1:33" x14ac:dyDescent="0.45">
      <c r="A183" t="s">
        <v>196</v>
      </c>
      <c r="B183">
        <v>1</v>
      </c>
      <c r="C183" s="3">
        <v>45568</v>
      </c>
      <c r="D183" s="6">
        <f>YEAR(Table1[[#This Row],[OrderDate]]) * 100 + MONTH(Table1[[#This Row],[OrderDate]])</f>
        <v>202410</v>
      </c>
      <c r="E183" s="6">
        <f>_xlfn.MINIFS(Table1[OrderMonthKey],Table1[Country],Table1[[#This Row],[Country]])</f>
        <v>202301</v>
      </c>
      <c r="F183" s="6">
        <f>Table1[[#This Row],[CountryFirstMonthKey]]</f>
        <v>202301</v>
      </c>
      <c r="G183" s="6">
        <f>12*(INT(Table1[[#This Row],[OrderMonthKey]]/100)-INT(Table1[[#This Row],[CohortMonthKey]]/100)) + (MOD(Table1[[#This Row],[OrderMonthKey]],100)-MOD(Table1[[#This Row],[CohortMonthKey]],100))</f>
        <v>21</v>
      </c>
      <c r="H183" s="3" t="str">
        <f>TEXT(Table1[[#This Row],[OrderDate]],"MMM-YYYY")</f>
        <v>Oct-2024</v>
      </c>
      <c r="I183" s="3" t="str">
        <f t="shared" si="6"/>
        <v>Q3-2025</v>
      </c>
      <c r="J183" s="26" t="str">
        <f>IF(Table1[[#This Row],[LeadTimeDays]]&lt;=7,"Yes","No")</f>
        <v>No</v>
      </c>
      <c r="K183" s="6">
        <f>_xlfn.DAYS(Table1[[#This Row],[CorrectedRequiredDate]],Table1[[#This Row],[OrderDate]])</f>
        <v>8</v>
      </c>
      <c r="L183" s="3">
        <f>IF(Table1[[#This Row],[RequiredDate]]&lt;Table1[[#This Row],[OrderDate]],Table1[[#This Row],[OrderDate]],Table1[[#This Row],[RequiredDate]])</f>
        <v>45576</v>
      </c>
      <c r="M183" s="3">
        <v>45576</v>
      </c>
      <c r="N183" t="s">
        <v>647</v>
      </c>
      <c r="O183" t="s">
        <v>659</v>
      </c>
      <c r="P183" t="s">
        <v>699</v>
      </c>
      <c r="Q183" t="s">
        <v>706</v>
      </c>
      <c r="R183" t="s">
        <v>711</v>
      </c>
      <c r="S183" t="s">
        <v>717</v>
      </c>
      <c r="T183" t="s">
        <v>730</v>
      </c>
      <c r="U183" t="s">
        <v>915</v>
      </c>
      <c r="V183" s="8">
        <v>1132.6099999999999</v>
      </c>
      <c r="W183" s="8">
        <v>2206.63</v>
      </c>
      <c r="X183" s="8">
        <f t="shared" si="7"/>
        <v>815.10700000000008</v>
      </c>
      <c r="Y183" s="8">
        <f t="shared" si="8"/>
        <v>1620.05</v>
      </c>
      <c r="Z183" s="8" t="str">
        <f>IF(W182 &lt;= X181, "Low",IF(W182 &lt;= Y182, "Medium", "High"))</f>
        <v>Low</v>
      </c>
      <c r="AA183">
        <v>6.3E-2</v>
      </c>
      <c r="AB183">
        <f>IF(Table1[[#This Row],[DiscountPct]]&gt;0.2,1,0)</f>
        <v>0</v>
      </c>
      <c r="AC183" s="6">
        <v>20</v>
      </c>
      <c r="AD183" s="8">
        <f>Table1[[#This Row],[UnitPrice]]*Table1[[#This Row],[Quantity]]</f>
        <v>44132.600000000006</v>
      </c>
      <c r="AE183" s="8">
        <f>Table1[[#This Row],[UnitCost]]*Table1[[#This Row],[Quantity]]</f>
        <v>22652.199999999997</v>
      </c>
      <c r="AF183" s="8">
        <f>Table1[[#This Row],[GrossRevenue]]-Table1[[#This Row],[CostOfGoods]]</f>
        <v>21480.400000000009</v>
      </c>
      <c r="AG183" s="9">
        <f>IF(Table1[[#This Row],[GrossRevenue]]=0,0,Table1[[#This Row],[GrossProfit]]/Table1[[#This Row],[GrossRevenue]])</f>
        <v>0.48672409964516039</v>
      </c>
    </row>
    <row r="184" spans="1:33" hidden="1" x14ac:dyDescent="0.45">
      <c r="A184" t="s">
        <v>197</v>
      </c>
      <c r="C184" s="3">
        <v>45690</v>
      </c>
      <c r="D184" s="3">
        <f>YEAR(Table1[[#This Row],[OrderDate]]) * 100 + MONTH(Table1[[#This Row],[OrderDate]])</f>
        <v>202502</v>
      </c>
      <c r="E184" s="3">
        <f>_xlfn.MINIFS(Table1[OrderMonthKey],Table1[Country],Table1[[#This Row],[Country]])</f>
        <v>202303</v>
      </c>
      <c r="F184" s="3">
        <f>Table1[[#This Row],[CountryFirstMonthKey]]</f>
        <v>202303</v>
      </c>
      <c r="G184" s="3">
        <f>12*(INT(Table1[[#This Row],[OrderMonthKey]]/100)-INT(Table1[[#This Row],[CohortMonthKey]]/100)) + (MOD(Table1[[#This Row],[OrderMonthKey]],100)-MOD(Table1[[#This Row],[CohortMonthKey]],100))</f>
        <v>23</v>
      </c>
      <c r="H184" s="3" t="str">
        <f>TEXT(Table1[[#This Row],[OrderDate]],"MMM-YYYY")</f>
        <v>Feb-2025</v>
      </c>
      <c r="I184" s="3" t="str">
        <f t="shared" si="6"/>
        <v>Q4-2024</v>
      </c>
      <c r="J184" s="3" t="str">
        <f>IF(Table1[[#This Row],[LeadTimeDays]]&lt;=7,"Yes","No")</f>
        <v>No</v>
      </c>
      <c r="K184" s="3">
        <f>_xlfn.DAYS(Table1[[#This Row],[CorrectedRequiredDate]],Table1[[#This Row],[OrderDate]])</f>
        <v>30</v>
      </c>
      <c r="L184" s="3">
        <f>IF(Table1[[#This Row],[RequiredDate]]&lt;Table1[[#This Row],[OrderDate]],Table1[[#This Row],[OrderDate]],Table1[[#This Row],[RequiredDate]])</f>
        <v>45720</v>
      </c>
      <c r="M184" s="3">
        <v>45720</v>
      </c>
      <c r="N184" t="s">
        <v>647</v>
      </c>
      <c r="O184" t="s">
        <v>652</v>
      </c>
      <c r="P184" t="s">
        <v>666</v>
      </c>
      <c r="Q184" t="s">
        <v>702</v>
      </c>
      <c r="R184" t="s">
        <v>710</v>
      </c>
      <c r="S184" t="s">
        <v>716</v>
      </c>
      <c r="T184" t="s">
        <v>733</v>
      </c>
      <c r="U184" t="s">
        <v>916</v>
      </c>
      <c r="V184" s="8">
        <v>766.59</v>
      </c>
      <c r="W184" s="8">
        <v>1912.8</v>
      </c>
      <c r="X184" s="8">
        <f t="shared" si="7"/>
        <v>815.10700000000008</v>
      </c>
      <c r="Y184" s="8">
        <f t="shared" si="8"/>
        <v>1620.05</v>
      </c>
      <c r="AA184">
        <v>0.19600000000000001</v>
      </c>
      <c r="AB184">
        <f>IF(Table1[[#This Row],[DiscountPct]]&gt;0.2,1,0)</f>
        <v>0</v>
      </c>
      <c r="AC184" s="6">
        <v>5</v>
      </c>
      <c r="AD184" s="8">
        <f>Table1[[#This Row],[UnitPrice]]*Table1[[#This Row],[Quantity]]</f>
        <v>9564</v>
      </c>
      <c r="AE184" s="8">
        <f>Table1[[#This Row],[UnitCost]]*Table1[[#This Row],[Quantity]]</f>
        <v>3832.9500000000003</v>
      </c>
      <c r="AF184" s="8">
        <f>Table1[[#This Row],[GrossRevenue]]-Table1[[#This Row],[CostOfGoods]]</f>
        <v>5731.0499999999993</v>
      </c>
      <c r="AG184" s="8">
        <f>IF(Table1[[#This Row],[GrossRevenue]]=0,0,Table1[[#This Row],[GrossProfit]]/Table1[[#This Row],[GrossRevenue]])</f>
        <v>0.5992314930991216</v>
      </c>
    </row>
    <row r="185" spans="1:33" x14ac:dyDescent="0.45">
      <c r="A185" t="s">
        <v>198</v>
      </c>
      <c r="B185">
        <v>1</v>
      </c>
      <c r="C185" s="3">
        <v>45157</v>
      </c>
      <c r="D185" s="6">
        <f>YEAR(Table1[[#This Row],[OrderDate]]) * 100 + MONTH(Table1[[#This Row],[OrderDate]])</f>
        <v>202308</v>
      </c>
      <c r="E185" s="6">
        <f>_xlfn.MINIFS(Table1[OrderMonthKey],Table1[Country],Table1[[#This Row],[Country]])</f>
        <v>202301</v>
      </c>
      <c r="F185" s="6">
        <f>Table1[[#This Row],[CountryFirstMonthKey]]</f>
        <v>202301</v>
      </c>
      <c r="G185" s="6">
        <f>12*(INT(Table1[[#This Row],[OrderMonthKey]]/100)-INT(Table1[[#This Row],[CohortMonthKey]]/100)) + (MOD(Table1[[#This Row],[OrderMonthKey]],100)-MOD(Table1[[#This Row],[CohortMonthKey]],100))</f>
        <v>7</v>
      </c>
      <c r="H185" s="3" t="str">
        <f>TEXT(Table1[[#This Row],[OrderDate]],"MMM-YYYY")</f>
        <v>Aug-2023</v>
      </c>
      <c r="I185" s="3" t="str">
        <f t="shared" si="6"/>
        <v>Q1-2025</v>
      </c>
      <c r="J185" s="26" t="str">
        <f>IF(Table1[[#This Row],[LeadTimeDays]]&lt;=7,"Yes","No")</f>
        <v>Yes</v>
      </c>
      <c r="K185" s="6">
        <f>_xlfn.DAYS(Table1[[#This Row],[CorrectedRequiredDate]],Table1[[#This Row],[OrderDate]])</f>
        <v>4</v>
      </c>
      <c r="L185" s="3">
        <f>IF(Table1[[#This Row],[RequiredDate]]&lt;Table1[[#This Row],[OrderDate]],Table1[[#This Row],[OrderDate]],Table1[[#This Row],[RequiredDate]])</f>
        <v>45161</v>
      </c>
      <c r="M185" s="3">
        <v>45161</v>
      </c>
      <c r="N185" t="s">
        <v>646</v>
      </c>
      <c r="O185" t="s">
        <v>651</v>
      </c>
      <c r="P185" t="s">
        <v>669</v>
      </c>
      <c r="Q185" t="s">
        <v>705</v>
      </c>
      <c r="R185" t="s">
        <v>708</v>
      </c>
      <c r="S185" t="s">
        <v>713</v>
      </c>
      <c r="T185" t="s">
        <v>732</v>
      </c>
      <c r="U185" t="s">
        <v>917</v>
      </c>
      <c r="V185" s="8">
        <v>790.63</v>
      </c>
      <c r="W185" s="8">
        <v>1382.31</v>
      </c>
      <c r="X185" s="8">
        <f t="shared" si="7"/>
        <v>815.10700000000008</v>
      </c>
      <c r="Y185" s="8">
        <f t="shared" si="8"/>
        <v>1620.05</v>
      </c>
      <c r="Z185" s="8" t="str">
        <f>IF(W184 &lt;= X183, "Low",IF(W184 &lt;= Y184, "Medium", "High"))</f>
        <v>High</v>
      </c>
      <c r="AA185">
        <v>0.10100000000000001</v>
      </c>
      <c r="AB185">
        <f>IF(Table1[[#This Row],[DiscountPct]]&gt;0.2,1,0)</f>
        <v>0</v>
      </c>
      <c r="AC185" s="6">
        <v>7</v>
      </c>
      <c r="AD185" s="8">
        <f>Table1[[#This Row],[UnitPrice]]*Table1[[#This Row],[Quantity]]</f>
        <v>9676.17</v>
      </c>
      <c r="AE185" s="8">
        <f>Table1[[#This Row],[UnitCost]]*Table1[[#This Row],[Quantity]]</f>
        <v>5534.41</v>
      </c>
      <c r="AF185" s="8">
        <f>Table1[[#This Row],[GrossRevenue]]-Table1[[#This Row],[CostOfGoods]]</f>
        <v>4141.76</v>
      </c>
      <c r="AG185" s="9">
        <f>IF(Table1[[#This Row],[GrossRevenue]]=0,0,Table1[[#This Row],[GrossProfit]]/Table1[[#This Row],[GrossRevenue]])</f>
        <v>0.42803712625966683</v>
      </c>
    </row>
    <row r="186" spans="1:33" x14ac:dyDescent="0.45">
      <c r="A186" t="s">
        <v>199</v>
      </c>
      <c r="B186">
        <v>1</v>
      </c>
      <c r="C186" s="3">
        <v>45587</v>
      </c>
      <c r="D186" s="6">
        <f>YEAR(Table1[[#This Row],[OrderDate]]) * 100 + MONTH(Table1[[#This Row],[OrderDate]])</f>
        <v>202410</v>
      </c>
      <c r="E186" s="6">
        <f>_xlfn.MINIFS(Table1[OrderMonthKey],Table1[Country],Table1[[#This Row],[Country]])</f>
        <v>202301</v>
      </c>
      <c r="F186" s="6">
        <f>Table1[[#This Row],[CountryFirstMonthKey]]</f>
        <v>202301</v>
      </c>
      <c r="G186" s="6">
        <f>12*(INT(Table1[[#This Row],[OrderMonthKey]]/100)-INT(Table1[[#This Row],[CohortMonthKey]]/100)) + (MOD(Table1[[#This Row],[OrderMonthKey]],100)-MOD(Table1[[#This Row],[CohortMonthKey]],100))</f>
        <v>21</v>
      </c>
      <c r="H186" s="3" t="str">
        <f>TEXT(Table1[[#This Row],[OrderDate]],"MMM-YYYY")</f>
        <v>Oct-2024</v>
      </c>
      <c r="I186" s="3" t="str">
        <f t="shared" si="6"/>
        <v>Q3-2023</v>
      </c>
      <c r="J186" s="26" t="str">
        <f>IF(Table1[[#This Row],[LeadTimeDays]]&lt;=7,"Yes","No")</f>
        <v>Yes</v>
      </c>
      <c r="K186" s="6">
        <f>_xlfn.DAYS(Table1[[#This Row],[CorrectedRequiredDate]],Table1[[#This Row],[OrderDate]])</f>
        <v>7</v>
      </c>
      <c r="L186" s="3">
        <f>IF(Table1[[#This Row],[RequiredDate]]&lt;Table1[[#This Row],[OrderDate]],Table1[[#This Row],[OrderDate]],Table1[[#This Row],[RequiredDate]])</f>
        <v>45594</v>
      </c>
      <c r="M186" s="3">
        <v>45594</v>
      </c>
      <c r="N186" t="s">
        <v>646</v>
      </c>
      <c r="O186" t="s">
        <v>651</v>
      </c>
      <c r="P186" t="s">
        <v>663</v>
      </c>
      <c r="Q186" t="s">
        <v>706</v>
      </c>
      <c r="R186" t="s">
        <v>710</v>
      </c>
      <c r="S186" t="s">
        <v>724</v>
      </c>
      <c r="T186" t="s">
        <v>732</v>
      </c>
      <c r="U186" t="s">
        <v>918</v>
      </c>
      <c r="V186" s="8">
        <v>1023.06</v>
      </c>
      <c r="W186" s="8">
        <v>1355.61</v>
      </c>
      <c r="X186" s="8">
        <f t="shared" si="7"/>
        <v>815.10700000000008</v>
      </c>
      <c r="Y186" s="8">
        <f t="shared" si="8"/>
        <v>1620.05</v>
      </c>
      <c r="Z186" s="8" t="str">
        <f>IF(W185 &lt;= X184, "Low",IF(W185 &lt;= Y185, "Medium", "High"))</f>
        <v>Medium</v>
      </c>
      <c r="AA186">
        <v>0.153</v>
      </c>
      <c r="AB186">
        <f>IF(Table1[[#This Row],[DiscountPct]]&gt;0.2,1,0)</f>
        <v>0</v>
      </c>
      <c r="AC186" s="6">
        <v>23</v>
      </c>
      <c r="AD186" s="8">
        <f>Table1[[#This Row],[UnitPrice]]*Table1[[#This Row],[Quantity]]</f>
        <v>31179.03</v>
      </c>
      <c r="AE186" s="8">
        <f>Table1[[#This Row],[UnitCost]]*Table1[[#This Row],[Quantity]]</f>
        <v>23530.379999999997</v>
      </c>
      <c r="AF186" s="8">
        <f>Table1[[#This Row],[GrossRevenue]]-Table1[[#This Row],[CostOfGoods]]</f>
        <v>7648.6500000000015</v>
      </c>
      <c r="AG186" s="9">
        <f>IF(Table1[[#This Row],[GrossRevenue]]=0,0,Table1[[#This Row],[GrossProfit]]/Table1[[#This Row],[GrossRevenue]])</f>
        <v>0.24531391771969821</v>
      </c>
    </row>
    <row r="187" spans="1:33" hidden="1" x14ac:dyDescent="0.45">
      <c r="A187" t="s">
        <v>200</v>
      </c>
      <c r="C187" s="3">
        <v>45099</v>
      </c>
      <c r="D187" s="3">
        <f>YEAR(Table1[[#This Row],[OrderDate]]) * 100 + MONTH(Table1[[#This Row],[OrderDate]])</f>
        <v>202306</v>
      </c>
      <c r="E187" s="3">
        <f>_xlfn.MINIFS(Table1[OrderMonthKey],Table1[Country],Table1[[#This Row],[Country]])</f>
        <v>202301</v>
      </c>
      <c r="F187" s="3">
        <f>Table1[[#This Row],[CountryFirstMonthKey]]</f>
        <v>202301</v>
      </c>
      <c r="G187" s="3">
        <f>12*(INT(Table1[[#This Row],[OrderMonthKey]]/100)-INT(Table1[[#This Row],[CohortMonthKey]]/100)) + (MOD(Table1[[#This Row],[OrderMonthKey]],100)-MOD(Table1[[#This Row],[CohortMonthKey]],100))</f>
        <v>5</v>
      </c>
      <c r="H187" s="3" t="str">
        <f>TEXT(Table1[[#This Row],[OrderDate]],"MMM-YYYY")</f>
        <v>Jun-2023</v>
      </c>
      <c r="I187" s="3" t="str">
        <f t="shared" si="6"/>
        <v>Q4-2024</v>
      </c>
      <c r="J187" s="3" t="str">
        <f>IF(Table1[[#This Row],[LeadTimeDays]]&lt;=7,"Yes","No")</f>
        <v>No</v>
      </c>
      <c r="K187" s="3">
        <f>_xlfn.DAYS(Table1[[#This Row],[CorrectedRequiredDate]],Table1[[#This Row],[OrderDate]])</f>
        <v>29</v>
      </c>
      <c r="L187" s="3">
        <f>IF(Table1[[#This Row],[RequiredDate]]&lt;Table1[[#This Row],[OrderDate]],Table1[[#This Row],[OrderDate]],Table1[[#This Row],[RequiredDate]])</f>
        <v>45128</v>
      </c>
      <c r="M187" s="3">
        <v>45128</v>
      </c>
      <c r="N187" t="s">
        <v>649</v>
      </c>
      <c r="O187" t="s">
        <v>657</v>
      </c>
      <c r="P187" t="s">
        <v>679</v>
      </c>
      <c r="Q187" t="s">
        <v>701</v>
      </c>
      <c r="R187" t="s">
        <v>707</v>
      </c>
      <c r="S187" t="s">
        <v>713</v>
      </c>
      <c r="T187" t="s">
        <v>733</v>
      </c>
      <c r="U187" t="s">
        <v>919</v>
      </c>
      <c r="V187" s="8">
        <v>734.34</v>
      </c>
      <c r="W187" s="8">
        <v>887.9</v>
      </c>
      <c r="X187" s="8">
        <f t="shared" si="7"/>
        <v>815.10700000000008</v>
      </c>
      <c r="Y187" s="8">
        <f t="shared" si="8"/>
        <v>1620.05</v>
      </c>
      <c r="AA187">
        <v>2.5000000000000001E-2</v>
      </c>
      <c r="AB187">
        <f>IF(Table1[[#This Row],[DiscountPct]]&gt;0.2,1,0)</f>
        <v>0</v>
      </c>
      <c r="AC187" s="6">
        <v>12</v>
      </c>
      <c r="AD187" s="8">
        <f>Table1[[#This Row],[UnitPrice]]*Table1[[#This Row],[Quantity]]</f>
        <v>10654.8</v>
      </c>
      <c r="AE187" s="8">
        <f>Table1[[#This Row],[UnitCost]]*Table1[[#This Row],[Quantity]]</f>
        <v>8812.08</v>
      </c>
      <c r="AF187" s="8">
        <f>Table1[[#This Row],[GrossRevenue]]-Table1[[#This Row],[CostOfGoods]]</f>
        <v>1842.7199999999993</v>
      </c>
      <c r="AG187" s="8">
        <f>IF(Table1[[#This Row],[GrossRevenue]]=0,0,Table1[[#This Row],[GrossProfit]]/Table1[[#This Row],[GrossRevenue]])</f>
        <v>0.17294740398693542</v>
      </c>
    </row>
    <row r="188" spans="1:33" hidden="1" x14ac:dyDescent="0.45">
      <c r="A188" t="s">
        <v>201</v>
      </c>
      <c r="C188" s="3">
        <v>45670</v>
      </c>
      <c r="D188" s="3">
        <f>YEAR(Table1[[#This Row],[OrderDate]]) * 100 + MONTH(Table1[[#This Row],[OrderDate]])</f>
        <v>202501</v>
      </c>
      <c r="E188" s="3">
        <f>_xlfn.MINIFS(Table1[OrderMonthKey],Table1[Country],Table1[[#This Row],[Country]])</f>
        <v>202301</v>
      </c>
      <c r="F188" s="3">
        <f>Table1[[#This Row],[CountryFirstMonthKey]]</f>
        <v>202301</v>
      </c>
      <c r="G188" s="3">
        <f>12*(INT(Table1[[#This Row],[OrderMonthKey]]/100)-INT(Table1[[#This Row],[CohortMonthKey]]/100)) + (MOD(Table1[[#This Row],[OrderMonthKey]],100)-MOD(Table1[[#This Row],[CohortMonthKey]],100))</f>
        <v>24</v>
      </c>
      <c r="H188" s="3" t="str">
        <f>TEXT(Table1[[#This Row],[OrderDate]],"MMM-YYYY")</f>
        <v>Jan-2025</v>
      </c>
      <c r="I188" s="3" t="str">
        <f t="shared" si="6"/>
        <v>Q2-2023</v>
      </c>
      <c r="J188" s="3" t="str">
        <f>IF(Table1[[#This Row],[LeadTimeDays]]&lt;=7,"Yes","No")</f>
        <v>No</v>
      </c>
      <c r="K188" s="3">
        <f>_xlfn.DAYS(Table1[[#This Row],[CorrectedRequiredDate]],Table1[[#This Row],[OrderDate]])</f>
        <v>26</v>
      </c>
      <c r="L188" s="3">
        <f>IF(Table1[[#This Row],[RequiredDate]]&lt;Table1[[#This Row],[OrderDate]],Table1[[#This Row],[OrderDate]],Table1[[#This Row],[RequiredDate]])</f>
        <v>45696</v>
      </c>
      <c r="M188" s="3">
        <v>45696</v>
      </c>
      <c r="N188" t="s">
        <v>649</v>
      </c>
      <c r="O188" t="s">
        <v>657</v>
      </c>
      <c r="P188" t="s">
        <v>690</v>
      </c>
      <c r="Q188" t="s">
        <v>703</v>
      </c>
      <c r="R188" t="s">
        <v>708</v>
      </c>
      <c r="S188" t="s">
        <v>718</v>
      </c>
      <c r="T188" t="s">
        <v>732</v>
      </c>
      <c r="U188" t="s">
        <v>920</v>
      </c>
      <c r="V188" s="8">
        <v>594.74</v>
      </c>
      <c r="W188" s="8">
        <v>1020.69</v>
      </c>
      <c r="X188" s="8">
        <f t="shared" si="7"/>
        <v>815.10700000000008</v>
      </c>
      <c r="Y188" s="8">
        <f t="shared" si="8"/>
        <v>1620.05</v>
      </c>
      <c r="AA188">
        <v>0.21099999999999999</v>
      </c>
      <c r="AB188">
        <f>IF(Table1[[#This Row],[DiscountPct]]&gt;0.2,1,0)</f>
        <v>1</v>
      </c>
      <c r="AC188" s="6">
        <v>6</v>
      </c>
      <c r="AD188" s="8">
        <f>Table1[[#This Row],[UnitPrice]]*Table1[[#This Row],[Quantity]]</f>
        <v>6124.14</v>
      </c>
      <c r="AE188" s="8">
        <f>Table1[[#This Row],[UnitCost]]*Table1[[#This Row],[Quantity]]</f>
        <v>3568.44</v>
      </c>
      <c r="AF188" s="8">
        <f>Table1[[#This Row],[GrossRevenue]]-Table1[[#This Row],[CostOfGoods]]</f>
        <v>2555.7000000000003</v>
      </c>
      <c r="AG188" s="8">
        <f>IF(Table1[[#This Row],[GrossRevenue]]=0,0,Table1[[#This Row],[GrossProfit]]/Table1[[#This Row],[GrossRevenue]])</f>
        <v>0.417315737393332</v>
      </c>
    </row>
    <row r="189" spans="1:33" x14ac:dyDescent="0.45">
      <c r="A189" t="s">
        <v>202</v>
      </c>
      <c r="B189">
        <v>1</v>
      </c>
      <c r="C189" s="3">
        <v>45126</v>
      </c>
      <c r="D189" s="6">
        <f>YEAR(Table1[[#This Row],[OrderDate]]) * 100 + MONTH(Table1[[#This Row],[OrderDate]])</f>
        <v>202307</v>
      </c>
      <c r="E189" s="6">
        <f>_xlfn.MINIFS(Table1[OrderMonthKey],Table1[Country],Table1[[#This Row],[Country]])</f>
        <v>202301</v>
      </c>
      <c r="F189" s="6">
        <f>Table1[[#This Row],[CountryFirstMonthKey]]</f>
        <v>202301</v>
      </c>
      <c r="G189" s="6">
        <f>12*(INT(Table1[[#This Row],[OrderMonthKey]]/100)-INT(Table1[[#This Row],[CohortMonthKey]]/100)) + (MOD(Table1[[#This Row],[OrderMonthKey]],100)-MOD(Table1[[#This Row],[CohortMonthKey]],100))</f>
        <v>6</v>
      </c>
      <c r="H189" s="3" t="str">
        <f>TEXT(Table1[[#This Row],[OrderDate]],"MMM-YYYY")</f>
        <v>Jul-2023</v>
      </c>
      <c r="I189" s="3" t="str">
        <f t="shared" si="6"/>
        <v>Q1-2025</v>
      </c>
      <c r="J189" s="26" t="str">
        <f>IF(Table1[[#This Row],[LeadTimeDays]]&lt;=7,"Yes","No")</f>
        <v>No</v>
      </c>
      <c r="K189" s="6">
        <f>_xlfn.DAYS(Table1[[#This Row],[CorrectedRequiredDate]],Table1[[#This Row],[OrderDate]])</f>
        <v>12</v>
      </c>
      <c r="L189" s="3">
        <f>IF(Table1[[#This Row],[RequiredDate]]&lt;Table1[[#This Row],[OrderDate]],Table1[[#This Row],[OrderDate]],Table1[[#This Row],[RequiredDate]])</f>
        <v>45138</v>
      </c>
      <c r="M189" s="3">
        <v>45138</v>
      </c>
      <c r="N189" t="s">
        <v>648</v>
      </c>
      <c r="O189" t="s">
        <v>655</v>
      </c>
      <c r="P189" t="s">
        <v>692</v>
      </c>
      <c r="Q189" t="s">
        <v>701</v>
      </c>
      <c r="R189" t="s">
        <v>707</v>
      </c>
      <c r="S189" t="s">
        <v>712</v>
      </c>
      <c r="T189" t="s">
        <v>732</v>
      </c>
      <c r="U189" t="s">
        <v>921</v>
      </c>
      <c r="V189" s="8">
        <v>1334.64</v>
      </c>
      <c r="W189" s="8">
        <v>2273.42</v>
      </c>
      <c r="X189" s="8">
        <f t="shared" si="7"/>
        <v>815.10700000000008</v>
      </c>
      <c r="Y189" s="8">
        <f t="shared" si="8"/>
        <v>1620.05</v>
      </c>
      <c r="Z189" s="8" t="str">
        <f>IF(W188 &lt;= X187, "Low",IF(W188 &lt;= Y188, "Medium", "High"))</f>
        <v>Medium</v>
      </c>
      <c r="AA189">
        <v>0.11799999999999999</v>
      </c>
      <c r="AB189">
        <f>IF(Table1[[#This Row],[DiscountPct]]&gt;0.2,1,0)</f>
        <v>0</v>
      </c>
      <c r="AC189" s="6">
        <v>14</v>
      </c>
      <c r="AD189" s="8">
        <f>Table1[[#This Row],[UnitPrice]]*Table1[[#This Row],[Quantity]]</f>
        <v>31827.88</v>
      </c>
      <c r="AE189" s="8">
        <f>Table1[[#This Row],[UnitCost]]*Table1[[#This Row],[Quantity]]</f>
        <v>18684.960000000003</v>
      </c>
      <c r="AF189" s="8">
        <f>Table1[[#This Row],[GrossRevenue]]-Table1[[#This Row],[CostOfGoods]]</f>
        <v>13142.919999999998</v>
      </c>
      <c r="AG189" s="9">
        <f>IF(Table1[[#This Row],[GrossRevenue]]=0,0,Table1[[#This Row],[GrossProfit]]/Table1[[#This Row],[GrossRevenue]])</f>
        <v>0.41293733669977384</v>
      </c>
    </row>
    <row r="190" spans="1:33" x14ac:dyDescent="0.45">
      <c r="A190" t="s">
        <v>203</v>
      </c>
      <c r="B190">
        <v>1</v>
      </c>
      <c r="C190" s="3">
        <v>45431</v>
      </c>
      <c r="D190" s="6">
        <f>YEAR(Table1[[#This Row],[OrderDate]]) * 100 + MONTH(Table1[[#This Row],[OrderDate]])</f>
        <v>202405</v>
      </c>
      <c r="E190" s="6">
        <f>_xlfn.MINIFS(Table1[OrderMonthKey],Table1[Country],Table1[[#This Row],[Country]])</f>
        <v>202301</v>
      </c>
      <c r="F190" s="6">
        <f>Table1[[#This Row],[CountryFirstMonthKey]]</f>
        <v>202301</v>
      </c>
      <c r="G190" s="6">
        <f>12*(INT(Table1[[#This Row],[OrderMonthKey]]/100)-INT(Table1[[#This Row],[CohortMonthKey]]/100)) + (MOD(Table1[[#This Row],[OrderMonthKey]],100)-MOD(Table1[[#This Row],[CohortMonthKey]],100))</f>
        <v>16</v>
      </c>
      <c r="H190" s="3" t="str">
        <f>TEXT(Table1[[#This Row],[OrderDate]],"MMM-YYYY")</f>
        <v>May-2024</v>
      </c>
      <c r="I190" s="3" t="str">
        <f t="shared" si="6"/>
        <v>Q3-2023</v>
      </c>
      <c r="J190" s="26" t="str">
        <f>IF(Table1[[#This Row],[LeadTimeDays]]&lt;=7,"Yes","No")</f>
        <v>No</v>
      </c>
      <c r="K190" s="6">
        <f>_xlfn.DAYS(Table1[[#This Row],[CorrectedRequiredDate]],Table1[[#This Row],[OrderDate]])</f>
        <v>20</v>
      </c>
      <c r="L190" s="3">
        <f>IF(Table1[[#This Row],[RequiredDate]]&lt;Table1[[#This Row],[OrderDate]],Table1[[#This Row],[OrderDate]],Table1[[#This Row],[RequiredDate]])</f>
        <v>45451</v>
      </c>
      <c r="M190" s="3">
        <v>45451</v>
      </c>
      <c r="N190" t="s">
        <v>648</v>
      </c>
      <c r="O190" t="s">
        <v>655</v>
      </c>
      <c r="P190" t="s">
        <v>672</v>
      </c>
      <c r="Q190" t="s">
        <v>705</v>
      </c>
      <c r="R190" t="s">
        <v>707</v>
      </c>
      <c r="S190" t="s">
        <v>718</v>
      </c>
      <c r="T190" t="s">
        <v>732</v>
      </c>
      <c r="U190" t="s">
        <v>922</v>
      </c>
      <c r="V190" s="8">
        <v>1075.9000000000001</v>
      </c>
      <c r="W190" s="8">
        <v>1242.1500000000001</v>
      </c>
      <c r="X190" s="8">
        <f t="shared" si="7"/>
        <v>815.10700000000008</v>
      </c>
      <c r="Y190" s="8">
        <f t="shared" si="8"/>
        <v>1620.05</v>
      </c>
      <c r="Z190" s="8" t="str">
        <f>IF(W189 &lt;= X188, "Low",IF(W189 &lt;= Y189, "Medium", "High"))</f>
        <v>High</v>
      </c>
      <c r="AA190">
        <v>1.2E-2</v>
      </c>
      <c r="AB190">
        <f>IF(Table1[[#This Row],[DiscountPct]]&gt;0.2,1,0)</f>
        <v>0</v>
      </c>
      <c r="AC190" s="6">
        <v>7</v>
      </c>
      <c r="AD190" s="8">
        <f>Table1[[#This Row],[UnitPrice]]*Table1[[#This Row],[Quantity]]</f>
        <v>8695.0500000000011</v>
      </c>
      <c r="AE190" s="8">
        <f>Table1[[#This Row],[UnitCost]]*Table1[[#This Row],[Quantity]]</f>
        <v>7531.3000000000011</v>
      </c>
      <c r="AF190" s="8">
        <f>Table1[[#This Row],[GrossRevenue]]-Table1[[#This Row],[CostOfGoods]]</f>
        <v>1163.75</v>
      </c>
      <c r="AG190" s="9">
        <f>IF(Table1[[#This Row],[GrossRevenue]]=0,0,Table1[[#This Row],[GrossProfit]]/Table1[[#This Row],[GrossRevenue]])</f>
        <v>0.13384051845590306</v>
      </c>
    </row>
    <row r="191" spans="1:33" x14ac:dyDescent="0.45">
      <c r="A191" t="s">
        <v>204</v>
      </c>
      <c r="B191">
        <v>1</v>
      </c>
      <c r="C191" s="3">
        <v>45325</v>
      </c>
      <c r="D191" s="6">
        <f>YEAR(Table1[[#This Row],[OrderDate]]) * 100 + MONTH(Table1[[#This Row],[OrderDate]])</f>
        <v>202402</v>
      </c>
      <c r="E191" s="6">
        <f>_xlfn.MINIFS(Table1[OrderMonthKey],Table1[Country],Table1[[#This Row],[Country]])</f>
        <v>202301</v>
      </c>
      <c r="F191" s="6">
        <f>Table1[[#This Row],[CountryFirstMonthKey]]</f>
        <v>202301</v>
      </c>
      <c r="G191" s="6">
        <f>12*(INT(Table1[[#This Row],[OrderMonthKey]]/100)-INT(Table1[[#This Row],[CohortMonthKey]]/100)) + (MOD(Table1[[#This Row],[OrderMonthKey]],100)-MOD(Table1[[#This Row],[CohortMonthKey]],100))</f>
        <v>13</v>
      </c>
      <c r="H191" s="3" t="str">
        <f>TEXT(Table1[[#This Row],[OrderDate]],"MMM-YYYY")</f>
        <v>Feb-2024</v>
      </c>
      <c r="I191" s="3" t="str">
        <f t="shared" si="6"/>
        <v>Q2-2024</v>
      </c>
      <c r="J191" s="26" t="str">
        <f>IF(Table1[[#This Row],[LeadTimeDays]]&lt;=7,"Yes","No")</f>
        <v>No</v>
      </c>
      <c r="K191" s="6">
        <f>_xlfn.DAYS(Table1[[#This Row],[CorrectedRequiredDate]],Table1[[#This Row],[OrderDate]])</f>
        <v>16</v>
      </c>
      <c r="L191" s="3">
        <f>IF(Table1[[#This Row],[RequiredDate]]&lt;Table1[[#This Row],[OrderDate]],Table1[[#This Row],[OrderDate]],Table1[[#This Row],[RequiredDate]])</f>
        <v>45341</v>
      </c>
      <c r="M191" s="3">
        <v>45341</v>
      </c>
      <c r="N191" t="s">
        <v>647</v>
      </c>
      <c r="O191" t="s">
        <v>659</v>
      </c>
      <c r="P191" t="s">
        <v>676</v>
      </c>
      <c r="Q191" t="s">
        <v>705</v>
      </c>
      <c r="R191" t="s">
        <v>708</v>
      </c>
      <c r="S191" t="s">
        <v>722</v>
      </c>
      <c r="T191" t="s">
        <v>731</v>
      </c>
      <c r="U191" t="s">
        <v>923</v>
      </c>
      <c r="V191" s="8">
        <v>993.75</v>
      </c>
      <c r="W191" s="8">
        <v>1310.29</v>
      </c>
      <c r="X191" s="8">
        <f t="shared" si="7"/>
        <v>815.10700000000008</v>
      </c>
      <c r="Y191" s="8">
        <f t="shared" si="8"/>
        <v>1620.05</v>
      </c>
      <c r="Z191" s="8" t="str">
        <f>IF(W190 &lt;= X189, "Low",IF(W190 &lt;= Y190, "Medium", "High"))</f>
        <v>Medium</v>
      </c>
      <c r="AA191">
        <v>0.215</v>
      </c>
      <c r="AB191">
        <f>IF(Table1[[#This Row],[DiscountPct]]&gt;0.2,1,0)</f>
        <v>1</v>
      </c>
      <c r="AC191" s="6">
        <v>19</v>
      </c>
      <c r="AD191" s="8">
        <f>Table1[[#This Row],[UnitPrice]]*Table1[[#This Row],[Quantity]]</f>
        <v>24895.51</v>
      </c>
      <c r="AE191" s="8">
        <f>Table1[[#This Row],[UnitCost]]*Table1[[#This Row],[Quantity]]</f>
        <v>18881.25</v>
      </c>
      <c r="AF191" s="8">
        <f>Table1[[#This Row],[GrossRevenue]]-Table1[[#This Row],[CostOfGoods]]</f>
        <v>6014.2599999999984</v>
      </c>
      <c r="AG191" s="9">
        <f>IF(Table1[[#This Row],[GrossRevenue]]=0,0,Table1[[#This Row],[GrossProfit]]/Table1[[#This Row],[GrossRevenue]])</f>
        <v>0.24158010822031759</v>
      </c>
    </row>
    <row r="192" spans="1:33" x14ac:dyDescent="0.45">
      <c r="A192" t="s">
        <v>205</v>
      </c>
      <c r="B192">
        <v>1</v>
      </c>
      <c r="C192" s="3">
        <v>45146</v>
      </c>
      <c r="D192" s="6">
        <f>YEAR(Table1[[#This Row],[OrderDate]]) * 100 + MONTH(Table1[[#This Row],[OrderDate]])</f>
        <v>202308</v>
      </c>
      <c r="E192" s="6">
        <f>_xlfn.MINIFS(Table1[OrderMonthKey],Table1[Country],Table1[[#This Row],[Country]])</f>
        <v>202301</v>
      </c>
      <c r="F192" s="6">
        <f>Table1[[#This Row],[CountryFirstMonthKey]]</f>
        <v>202301</v>
      </c>
      <c r="G192" s="6">
        <f>12*(INT(Table1[[#This Row],[OrderMonthKey]]/100)-INT(Table1[[#This Row],[CohortMonthKey]]/100)) + (MOD(Table1[[#This Row],[OrderMonthKey]],100)-MOD(Table1[[#This Row],[CohortMonthKey]],100))</f>
        <v>7</v>
      </c>
      <c r="H192" s="3" t="str">
        <f>TEXT(Table1[[#This Row],[OrderDate]],"MMM-YYYY")</f>
        <v>Aug-2023</v>
      </c>
      <c r="I192" s="3" t="str">
        <f t="shared" si="6"/>
        <v>Q1-2024</v>
      </c>
      <c r="J192" s="26" t="str">
        <f>IF(Table1[[#This Row],[LeadTimeDays]]&lt;=7,"Yes","No")</f>
        <v>No</v>
      </c>
      <c r="K192" s="6">
        <f>_xlfn.DAYS(Table1[[#This Row],[CorrectedRequiredDate]],Table1[[#This Row],[OrderDate]])</f>
        <v>14</v>
      </c>
      <c r="L192" s="3">
        <f>IF(Table1[[#This Row],[RequiredDate]]&lt;Table1[[#This Row],[OrderDate]],Table1[[#This Row],[OrderDate]],Table1[[#This Row],[RequiredDate]])</f>
        <v>45160</v>
      </c>
      <c r="M192" s="3">
        <v>45160</v>
      </c>
      <c r="N192" t="s">
        <v>649</v>
      </c>
      <c r="O192" t="s">
        <v>658</v>
      </c>
      <c r="P192" t="s">
        <v>674</v>
      </c>
      <c r="Q192" t="s">
        <v>703</v>
      </c>
      <c r="R192" t="s">
        <v>711</v>
      </c>
      <c r="S192" t="s">
        <v>725</v>
      </c>
      <c r="T192" t="s">
        <v>732</v>
      </c>
      <c r="U192" t="s">
        <v>924</v>
      </c>
      <c r="V192" s="8">
        <v>446.69</v>
      </c>
      <c r="W192" s="8">
        <v>967.25</v>
      </c>
      <c r="X192" s="8">
        <f t="shared" si="7"/>
        <v>815.10700000000008</v>
      </c>
      <c r="Y192" s="8">
        <f t="shared" si="8"/>
        <v>1620.05</v>
      </c>
      <c r="Z192" s="8" t="str">
        <f>IF(W191 &lt;= X190, "Low",IF(W191 &lt;= Y191, "Medium", "High"))</f>
        <v>Medium</v>
      </c>
      <c r="AA192">
        <v>9.4E-2</v>
      </c>
      <c r="AB192">
        <f>IF(Table1[[#This Row],[DiscountPct]]&gt;0.2,1,0)</f>
        <v>0</v>
      </c>
      <c r="AC192" s="6">
        <v>10</v>
      </c>
      <c r="AD192" s="8">
        <f>Table1[[#This Row],[UnitPrice]]*Table1[[#This Row],[Quantity]]</f>
        <v>9672.5</v>
      </c>
      <c r="AE192" s="8">
        <f>Table1[[#This Row],[UnitCost]]*Table1[[#This Row],[Quantity]]</f>
        <v>4466.8999999999996</v>
      </c>
      <c r="AF192" s="8">
        <f>Table1[[#This Row],[GrossRevenue]]-Table1[[#This Row],[CostOfGoods]]</f>
        <v>5205.6000000000004</v>
      </c>
      <c r="AG192" s="9">
        <f>IF(Table1[[#This Row],[GrossRevenue]]=0,0,Table1[[#This Row],[GrossProfit]]/Table1[[#This Row],[GrossRevenue]])</f>
        <v>0.53818557766864827</v>
      </c>
    </row>
    <row r="193" spans="1:33" hidden="1" x14ac:dyDescent="0.45">
      <c r="A193" t="s">
        <v>206</v>
      </c>
      <c r="C193" s="3">
        <v>45516</v>
      </c>
      <c r="D193" s="3">
        <f>YEAR(Table1[[#This Row],[OrderDate]]) * 100 + MONTH(Table1[[#This Row],[OrderDate]])</f>
        <v>202408</v>
      </c>
      <c r="E193" s="3">
        <f>_xlfn.MINIFS(Table1[OrderMonthKey],Table1[Country],Table1[[#This Row],[Country]])</f>
        <v>202301</v>
      </c>
      <c r="F193" s="3">
        <f>Table1[[#This Row],[CountryFirstMonthKey]]</f>
        <v>202301</v>
      </c>
      <c r="G193" s="3">
        <f>12*(INT(Table1[[#This Row],[OrderMonthKey]]/100)-INT(Table1[[#This Row],[CohortMonthKey]]/100)) + (MOD(Table1[[#This Row],[OrderMonthKey]],100)-MOD(Table1[[#This Row],[CohortMonthKey]],100))</f>
        <v>19</v>
      </c>
      <c r="H193" s="3" t="str">
        <f>TEXT(Table1[[#This Row],[OrderDate]],"MMM-YYYY")</f>
        <v>Aug-2024</v>
      </c>
      <c r="I193" s="3" t="str">
        <f t="shared" si="6"/>
        <v>Q3-2023</v>
      </c>
      <c r="J193" s="3" t="str">
        <f>IF(Table1[[#This Row],[LeadTimeDays]]&lt;=7,"Yes","No")</f>
        <v>No</v>
      </c>
      <c r="K193" s="3">
        <f>_xlfn.DAYS(Table1[[#This Row],[CorrectedRequiredDate]],Table1[[#This Row],[OrderDate]])</f>
        <v>22</v>
      </c>
      <c r="L193" s="3">
        <f>IF(Table1[[#This Row],[RequiredDate]]&lt;Table1[[#This Row],[OrderDate]],Table1[[#This Row],[OrderDate]],Table1[[#This Row],[RequiredDate]])</f>
        <v>45538</v>
      </c>
      <c r="M193" s="3">
        <v>45538</v>
      </c>
      <c r="N193" t="s">
        <v>648</v>
      </c>
      <c r="O193" t="s">
        <v>660</v>
      </c>
      <c r="P193" t="s">
        <v>697</v>
      </c>
      <c r="Q193" t="s">
        <v>704</v>
      </c>
      <c r="R193" t="s">
        <v>710</v>
      </c>
      <c r="S193" t="s">
        <v>714</v>
      </c>
      <c r="T193" t="s">
        <v>731</v>
      </c>
      <c r="U193" t="s">
        <v>925</v>
      </c>
      <c r="V193" s="8">
        <v>797.8</v>
      </c>
      <c r="W193" s="8">
        <v>886.22</v>
      </c>
      <c r="X193" s="8">
        <f t="shared" si="7"/>
        <v>815.10700000000008</v>
      </c>
      <c r="Y193" s="8">
        <f t="shared" si="8"/>
        <v>1620.05</v>
      </c>
      <c r="AA193">
        <v>0.23599999999999999</v>
      </c>
      <c r="AB193">
        <f>IF(Table1[[#This Row],[DiscountPct]]&gt;0.2,1,0)</f>
        <v>1</v>
      </c>
      <c r="AC193" s="6">
        <v>36</v>
      </c>
      <c r="AD193" s="8">
        <f>Table1[[#This Row],[UnitPrice]]*Table1[[#This Row],[Quantity]]</f>
        <v>31903.920000000002</v>
      </c>
      <c r="AE193" s="8">
        <f>Table1[[#This Row],[UnitCost]]*Table1[[#This Row],[Quantity]]</f>
        <v>28720.799999999999</v>
      </c>
      <c r="AF193" s="8">
        <f>Table1[[#This Row],[GrossRevenue]]-Table1[[#This Row],[CostOfGoods]]</f>
        <v>3183.1200000000026</v>
      </c>
      <c r="AG193" s="8">
        <f>IF(Table1[[#This Row],[GrossRevenue]]=0,0,Table1[[#This Row],[GrossProfit]]/Table1[[#This Row],[GrossRevenue]])</f>
        <v>9.9772065627045284E-2</v>
      </c>
    </row>
    <row r="194" spans="1:33" x14ac:dyDescent="0.45">
      <c r="A194" t="s">
        <v>207</v>
      </c>
      <c r="B194">
        <v>1</v>
      </c>
      <c r="C194" s="3">
        <v>45214</v>
      </c>
      <c r="D194" s="6">
        <f>YEAR(Table1[[#This Row],[OrderDate]]) * 100 + MONTH(Table1[[#This Row],[OrderDate]])</f>
        <v>202310</v>
      </c>
      <c r="E194" s="6">
        <f>_xlfn.MINIFS(Table1[OrderMonthKey],Table1[Country],Table1[[#This Row],[Country]])</f>
        <v>202301</v>
      </c>
      <c r="F194" s="6">
        <f>Table1[[#This Row],[CountryFirstMonthKey]]</f>
        <v>202301</v>
      </c>
      <c r="G194" s="6">
        <f>12*(INT(Table1[[#This Row],[OrderMonthKey]]/100)-INT(Table1[[#This Row],[CohortMonthKey]]/100)) + (MOD(Table1[[#This Row],[OrderMonthKey]],100)-MOD(Table1[[#This Row],[CohortMonthKey]],100))</f>
        <v>9</v>
      </c>
      <c r="H194" s="3" t="str">
        <f>TEXT(Table1[[#This Row],[OrderDate]],"MMM-YYYY")</f>
        <v>Oct-2023</v>
      </c>
      <c r="I194" s="3" t="str">
        <f t="shared" ref="I194:I257" si="9">"Q" &amp; ROUNDUP(MONTH(C193)/3,0) &amp; "-" &amp; YEAR(C193)</f>
        <v>Q3-2024</v>
      </c>
      <c r="J194" s="26" t="str">
        <f>IF(Table1[[#This Row],[LeadTimeDays]]&lt;=7,"Yes","No")</f>
        <v>No</v>
      </c>
      <c r="K194" s="6">
        <f>_xlfn.DAYS(Table1[[#This Row],[CorrectedRequiredDate]],Table1[[#This Row],[OrderDate]])</f>
        <v>29</v>
      </c>
      <c r="L194" s="3">
        <f>IF(Table1[[#This Row],[RequiredDate]]&lt;Table1[[#This Row],[OrderDate]],Table1[[#This Row],[OrderDate]],Table1[[#This Row],[RequiredDate]])</f>
        <v>45243</v>
      </c>
      <c r="M194" s="3">
        <v>45243</v>
      </c>
      <c r="N194" t="s">
        <v>647</v>
      </c>
      <c r="O194" t="s">
        <v>659</v>
      </c>
      <c r="P194" t="s">
        <v>676</v>
      </c>
      <c r="Q194" t="s">
        <v>703</v>
      </c>
      <c r="R194" t="s">
        <v>710</v>
      </c>
      <c r="S194" t="s">
        <v>713</v>
      </c>
      <c r="T194" t="s">
        <v>728</v>
      </c>
      <c r="U194" t="s">
        <v>926</v>
      </c>
      <c r="V194" s="8">
        <v>986.44</v>
      </c>
      <c r="W194" s="8">
        <v>790.61</v>
      </c>
      <c r="X194" s="8">
        <f t="shared" ref="X194:X257" si="10">_xlfn.PERCENTILE.INC(W:W, 0.33)</f>
        <v>815.10700000000008</v>
      </c>
      <c r="Y194" s="8">
        <f t="shared" ref="Y194:Y257" si="11">_xlfn.PERCENTILE.INC(W:W, 0.66)</f>
        <v>1620.05</v>
      </c>
      <c r="Z194" s="8" t="str">
        <f>IF(W193 &lt;= X192, "Low",IF(W193 &lt;= Y193, "Medium", "High"))</f>
        <v>Medium</v>
      </c>
      <c r="AA194">
        <v>7.1999999999999995E-2</v>
      </c>
      <c r="AB194">
        <f>IF(Table1[[#This Row],[DiscountPct]]&gt;0.2,1,0)</f>
        <v>0</v>
      </c>
      <c r="AC194" s="6">
        <v>6</v>
      </c>
      <c r="AD194" s="8">
        <f>Table1[[#This Row],[UnitPrice]]*Table1[[#This Row],[Quantity]]</f>
        <v>4743.66</v>
      </c>
      <c r="AE194" s="8">
        <f>Table1[[#This Row],[UnitCost]]*Table1[[#This Row],[Quantity]]</f>
        <v>5918.64</v>
      </c>
      <c r="AF194" s="8">
        <f>Table1[[#This Row],[GrossRevenue]]-Table1[[#This Row],[CostOfGoods]]</f>
        <v>-1174.9800000000005</v>
      </c>
      <c r="AG194" s="9">
        <f>IF(Table1[[#This Row],[GrossRevenue]]=0,0,Table1[[#This Row],[GrossProfit]]/Table1[[#This Row],[GrossRevenue]])</f>
        <v>-0.24769481792539949</v>
      </c>
    </row>
    <row r="195" spans="1:33" hidden="1" x14ac:dyDescent="0.45">
      <c r="A195" t="s">
        <v>208</v>
      </c>
      <c r="C195" s="3">
        <v>45050</v>
      </c>
      <c r="D195" s="3">
        <f>YEAR(Table1[[#This Row],[OrderDate]]) * 100 + MONTH(Table1[[#This Row],[OrderDate]])</f>
        <v>202305</v>
      </c>
      <c r="E195" s="3">
        <f>_xlfn.MINIFS(Table1[OrderMonthKey],Table1[Country],Table1[[#This Row],[Country]])</f>
        <v>202301</v>
      </c>
      <c r="F195" s="3">
        <f>Table1[[#This Row],[CountryFirstMonthKey]]</f>
        <v>202301</v>
      </c>
      <c r="G195" s="3">
        <f>12*(INT(Table1[[#This Row],[OrderMonthKey]]/100)-INT(Table1[[#This Row],[CohortMonthKey]]/100)) + (MOD(Table1[[#This Row],[OrderMonthKey]],100)-MOD(Table1[[#This Row],[CohortMonthKey]],100))</f>
        <v>4</v>
      </c>
      <c r="H195" s="3" t="str">
        <f>TEXT(Table1[[#This Row],[OrderDate]],"MMM-YYYY")</f>
        <v>May-2023</v>
      </c>
      <c r="I195" s="3" t="str">
        <f t="shared" si="9"/>
        <v>Q4-2023</v>
      </c>
      <c r="J195" s="3" t="str">
        <f>IF(Table1[[#This Row],[LeadTimeDays]]&lt;=7,"Yes","No")</f>
        <v>No</v>
      </c>
      <c r="K195" s="3">
        <f>_xlfn.DAYS(Table1[[#This Row],[CorrectedRequiredDate]],Table1[[#This Row],[OrderDate]])</f>
        <v>22</v>
      </c>
      <c r="L195" s="3">
        <f>IF(Table1[[#This Row],[RequiredDate]]&lt;Table1[[#This Row],[OrderDate]],Table1[[#This Row],[OrderDate]],Table1[[#This Row],[RequiredDate]])</f>
        <v>45072</v>
      </c>
      <c r="M195" s="3">
        <v>45072</v>
      </c>
      <c r="N195" t="s">
        <v>648</v>
      </c>
      <c r="O195" t="s">
        <v>660</v>
      </c>
      <c r="P195" t="s">
        <v>686</v>
      </c>
      <c r="Q195" t="s">
        <v>706</v>
      </c>
      <c r="R195" t="s">
        <v>708</v>
      </c>
      <c r="S195" t="s">
        <v>713</v>
      </c>
      <c r="T195" t="s">
        <v>729</v>
      </c>
      <c r="U195" t="s">
        <v>927</v>
      </c>
      <c r="V195" s="8">
        <v>249.71</v>
      </c>
      <c r="W195" s="8">
        <v>361.33</v>
      </c>
      <c r="X195" s="8">
        <f t="shared" si="10"/>
        <v>815.10700000000008</v>
      </c>
      <c r="Y195" s="8">
        <f t="shared" si="11"/>
        <v>1620.05</v>
      </c>
      <c r="AA195">
        <v>9.4E-2</v>
      </c>
      <c r="AB195">
        <f>IF(Table1[[#This Row],[DiscountPct]]&gt;0.2,1,0)</f>
        <v>0</v>
      </c>
      <c r="AC195" s="6">
        <v>12</v>
      </c>
      <c r="AD195" s="8">
        <f>Table1[[#This Row],[UnitPrice]]*Table1[[#This Row],[Quantity]]</f>
        <v>4335.96</v>
      </c>
      <c r="AE195" s="8">
        <f>Table1[[#This Row],[UnitCost]]*Table1[[#This Row],[Quantity]]</f>
        <v>2996.52</v>
      </c>
      <c r="AF195" s="8">
        <f>Table1[[#This Row],[GrossRevenue]]-Table1[[#This Row],[CostOfGoods]]</f>
        <v>1339.44</v>
      </c>
      <c r="AG195" s="8">
        <f>IF(Table1[[#This Row],[GrossRevenue]]=0,0,Table1[[#This Row],[GrossProfit]]/Table1[[#This Row],[GrossRevenue]])</f>
        <v>0.30891428887720368</v>
      </c>
    </row>
    <row r="196" spans="1:33" x14ac:dyDescent="0.45">
      <c r="A196" t="s">
        <v>209</v>
      </c>
      <c r="B196">
        <v>1</v>
      </c>
      <c r="C196" s="3">
        <v>45557</v>
      </c>
      <c r="D196" s="6">
        <f>YEAR(Table1[[#This Row],[OrderDate]]) * 100 + MONTH(Table1[[#This Row],[OrderDate]])</f>
        <v>202409</v>
      </c>
      <c r="E196" s="6">
        <f>_xlfn.MINIFS(Table1[OrderMonthKey],Table1[Country],Table1[[#This Row],[Country]])</f>
        <v>202301</v>
      </c>
      <c r="F196" s="6">
        <f>Table1[[#This Row],[CountryFirstMonthKey]]</f>
        <v>202301</v>
      </c>
      <c r="G196" s="6">
        <f>12*(INT(Table1[[#This Row],[OrderMonthKey]]/100)-INT(Table1[[#This Row],[CohortMonthKey]]/100)) + (MOD(Table1[[#This Row],[OrderMonthKey]],100)-MOD(Table1[[#This Row],[CohortMonthKey]],100))</f>
        <v>20</v>
      </c>
      <c r="H196" s="3" t="str">
        <f>TEXT(Table1[[#This Row],[OrderDate]],"MMM-YYYY")</f>
        <v>Sep-2024</v>
      </c>
      <c r="I196" s="3" t="str">
        <f t="shared" si="9"/>
        <v>Q2-2023</v>
      </c>
      <c r="J196" s="26" t="str">
        <f>IF(Table1[[#This Row],[LeadTimeDays]]&lt;=7,"Yes","No")</f>
        <v>No</v>
      </c>
      <c r="K196" s="6">
        <f>_xlfn.DAYS(Table1[[#This Row],[CorrectedRequiredDate]],Table1[[#This Row],[OrderDate]])</f>
        <v>9</v>
      </c>
      <c r="L196" s="3">
        <f>IF(Table1[[#This Row],[RequiredDate]]&lt;Table1[[#This Row],[OrderDate]],Table1[[#This Row],[OrderDate]],Table1[[#This Row],[RequiredDate]])</f>
        <v>45566</v>
      </c>
      <c r="M196" s="3">
        <v>45566</v>
      </c>
      <c r="N196" t="s">
        <v>648</v>
      </c>
      <c r="O196" t="s">
        <v>655</v>
      </c>
      <c r="P196" t="s">
        <v>670</v>
      </c>
      <c r="Q196" t="s">
        <v>703</v>
      </c>
      <c r="R196" t="s">
        <v>708</v>
      </c>
      <c r="S196" t="s">
        <v>723</v>
      </c>
      <c r="T196" t="s">
        <v>732</v>
      </c>
      <c r="U196" t="s">
        <v>928</v>
      </c>
      <c r="V196" s="8">
        <v>1378.8</v>
      </c>
      <c r="W196" s="8">
        <v>1952.04</v>
      </c>
      <c r="X196" s="8">
        <f t="shared" si="10"/>
        <v>815.10700000000008</v>
      </c>
      <c r="Y196" s="8">
        <f t="shared" si="11"/>
        <v>1620.05</v>
      </c>
      <c r="Z196" s="8" t="str">
        <f>IF(W195 &lt;= X194, "Low",IF(W195 &lt;= Y195, "Medium", "High"))</f>
        <v>Low</v>
      </c>
      <c r="AA196">
        <v>0.159</v>
      </c>
      <c r="AB196">
        <f>IF(Table1[[#This Row],[DiscountPct]]&gt;0.2,1,0)</f>
        <v>0</v>
      </c>
      <c r="AC196" s="6">
        <v>19</v>
      </c>
      <c r="AD196" s="8">
        <f>Table1[[#This Row],[UnitPrice]]*Table1[[#This Row],[Quantity]]</f>
        <v>37088.76</v>
      </c>
      <c r="AE196" s="8">
        <f>Table1[[#This Row],[UnitCost]]*Table1[[#This Row],[Quantity]]</f>
        <v>26197.200000000001</v>
      </c>
      <c r="AF196" s="8">
        <f>Table1[[#This Row],[GrossRevenue]]-Table1[[#This Row],[CostOfGoods]]</f>
        <v>10891.560000000001</v>
      </c>
      <c r="AG196" s="9">
        <f>IF(Table1[[#This Row],[GrossRevenue]]=0,0,Table1[[#This Row],[GrossProfit]]/Table1[[#This Row],[GrossRevenue]])</f>
        <v>0.29366201512264095</v>
      </c>
    </row>
    <row r="197" spans="1:33" hidden="1" x14ac:dyDescent="0.45">
      <c r="A197" t="s">
        <v>210</v>
      </c>
      <c r="C197" s="3">
        <v>45588</v>
      </c>
      <c r="D197" s="3">
        <f>YEAR(Table1[[#This Row],[OrderDate]]) * 100 + MONTH(Table1[[#This Row],[OrderDate]])</f>
        <v>202410</v>
      </c>
      <c r="E197" s="3">
        <f>_xlfn.MINIFS(Table1[OrderMonthKey],Table1[Country],Table1[[#This Row],[Country]])</f>
        <v>202303</v>
      </c>
      <c r="F197" s="3">
        <f>Table1[[#This Row],[CountryFirstMonthKey]]</f>
        <v>202303</v>
      </c>
      <c r="G197" s="3">
        <f>12*(INT(Table1[[#This Row],[OrderMonthKey]]/100)-INT(Table1[[#This Row],[CohortMonthKey]]/100)) + (MOD(Table1[[#This Row],[OrderMonthKey]],100)-MOD(Table1[[#This Row],[CohortMonthKey]],100))</f>
        <v>19</v>
      </c>
      <c r="H197" s="3" t="str">
        <f>TEXT(Table1[[#This Row],[OrderDate]],"MMM-YYYY")</f>
        <v>Oct-2024</v>
      </c>
      <c r="I197" s="3" t="str">
        <f t="shared" si="9"/>
        <v>Q3-2024</v>
      </c>
      <c r="J197" s="3" t="str">
        <f>IF(Table1[[#This Row],[LeadTimeDays]]&lt;=7,"Yes","No")</f>
        <v>No</v>
      </c>
      <c r="K197" s="3">
        <f>_xlfn.DAYS(Table1[[#This Row],[CorrectedRequiredDate]],Table1[[#This Row],[OrderDate]])</f>
        <v>22</v>
      </c>
      <c r="L197" s="3">
        <f>IF(Table1[[#This Row],[RequiredDate]]&lt;Table1[[#This Row],[OrderDate]],Table1[[#This Row],[OrderDate]],Table1[[#This Row],[RequiredDate]])</f>
        <v>45610</v>
      </c>
      <c r="M197" s="3">
        <v>45610</v>
      </c>
      <c r="N197" t="s">
        <v>647</v>
      </c>
      <c r="O197" t="s">
        <v>652</v>
      </c>
      <c r="P197" t="s">
        <v>666</v>
      </c>
      <c r="Q197" t="s">
        <v>703</v>
      </c>
      <c r="R197" t="s">
        <v>711</v>
      </c>
      <c r="S197" t="s">
        <v>717</v>
      </c>
      <c r="T197" t="s">
        <v>730</v>
      </c>
      <c r="U197" t="s">
        <v>929</v>
      </c>
      <c r="V197" s="8">
        <v>1406.4</v>
      </c>
      <c r="W197" s="8">
        <v>1564.76</v>
      </c>
      <c r="X197" s="8">
        <f t="shared" si="10"/>
        <v>815.10700000000008</v>
      </c>
      <c r="Y197" s="8">
        <f t="shared" si="11"/>
        <v>1620.05</v>
      </c>
      <c r="AA197">
        <v>0.185</v>
      </c>
      <c r="AB197">
        <f>IF(Table1[[#This Row],[DiscountPct]]&gt;0.2,1,0)</f>
        <v>0</v>
      </c>
      <c r="AC197" s="6">
        <v>17</v>
      </c>
      <c r="AD197" s="8">
        <f>Table1[[#This Row],[UnitPrice]]*Table1[[#This Row],[Quantity]]</f>
        <v>26600.92</v>
      </c>
      <c r="AE197" s="8">
        <f>Table1[[#This Row],[UnitCost]]*Table1[[#This Row],[Quantity]]</f>
        <v>23908.800000000003</v>
      </c>
      <c r="AF197" s="8">
        <f>Table1[[#This Row],[GrossRevenue]]-Table1[[#This Row],[CostOfGoods]]</f>
        <v>2692.1199999999953</v>
      </c>
      <c r="AG197" s="8">
        <f>IF(Table1[[#This Row],[GrossRevenue]]=0,0,Table1[[#This Row],[GrossProfit]]/Table1[[#This Row],[GrossRevenue]])</f>
        <v>0.10120401850763039</v>
      </c>
    </row>
    <row r="198" spans="1:33" hidden="1" x14ac:dyDescent="0.45">
      <c r="A198" t="s">
        <v>211</v>
      </c>
      <c r="C198" s="3">
        <v>45333</v>
      </c>
      <c r="D198" s="3">
        <f>YEAR(Table1[[#This Row],[OrderDate]]) * 100 + MONTH(Table1[[#This Row],[OrderDate]])</f>
        <v>202402</v>
      </c>
      <c r="E198" s="3">
        <f>_xlfn.MINIFS(Table1[OrderMonthKey],Table1[Country],Table1[[#This Row],[Country]])</f>
        <v>202301</v>
      </c>
      <c r="F198" s="3">
        <f>Table1[[#This Row],[CountryFirstMonthKey]]</f>
        <v>202301</v>
      </c>
      <c r="G198" s="3">
        <f>12*(INT(Table1[[#This Row],[OrderMonthKey]]/100)-INT(Table1[[#This Row],[CohortMonthKey]]/100)) + (MOD(Table1[[#This Row],[OrderMonthKey]],100)-MOD(Table1[[#This Row],[CohortMonthKey]],100))</f>
        <v>13</v>
      </c>
      <c r="H198" s="3" t="str">
        <f>TEXT(Table1[[#This Row],[OrderDate]],"MMM-YYYY")</f>
        <v>Feb-2024</v>
      </c>
      <c r="I198" s="3" t="str">
        <f t="shared" si="9"/>
        <v>Q4-2024</v>
      </c>
      <c r="J198" s="3" t="str">
        <f>IF(Table1[[#This Row],[LeadTimeDays]]&lt;=7,"Yes","No")</f>
        <v>No</v>
      </c>
      <c r="K198" s="3">
        <f>_xlfn.DAYS(Table1[[#This Row],[CorrectedRequiredDate]],Table1[[#This Row],[OrderDate]])</f>
        <v>21</v>
      </c>
      <c r="L198" s="3">
        <f>IF(Table1[[#This Row],[RequiredDate]]&lt;Table1[[#This Row],[OrderDate]],Table1[[#This Row],[OrderDate]],Table1[[#This Row],[RequiredDate]])</f>
        <v>45354</v>
      </c>
      <c r="M198" s="3">
        <v>45354</v>
      </c>
      <c r="N198" t="s">
        <v>646</v>
      </c>
      <c r="O198" t="s">
        <v>650</v>
      </c>
      <c r="P198" t="s">
        <v>662</v>
      </c>
      <c r="Q198" t="s">
        <v>706</v>
      </c>
      <c r="R198" t="s">
        <v>708</v>
      </c>
      <c r="S198" t="s">
        <v>717</v>
      </c>
      <c r="T198" t="s">
        <v>730</v>
      </c>
      <c r="U198" t="s">
        <v>930</v>
      </c>
      <c r="V198" s="8">
        <v>516.86</v>
      </c>
      <c r="W198" s="8">
        <v>852.54</v>
      </c>
      <c r="X198" s="8">
        <f t="shared" si="10"/>
        <v>815.10700000000008</v>
      </c>
      <c r="Y198" s="8">
        <f t="shared" si="11"/>
        <v>1620.05</v>
      </c>
      <c r="AA198">
        <v>5.0999999999999997E-2</v>
      </c>
      <c r="AB198">
        <f>IF(Table1[[#This Row],[DiscountPct]]&gt;0.2,1,0)</f>
        <v>0</v>
      </c>
      <c r="AC198" s="6">
        <v>14</v>
      </c>
      <c r="AD198" s="8">
        <f>Table1[[#This Row],[UnitPrice]]*Table1[[#This Row],[Quantity]]</f>
        <v>11935.56</v>
      </c>
      <c r="AE198" s="8">
        <f>Table1[[#This Row],[UnitCost]]*Table1[[#This Row],[Quantity]]</f>
        <v>7236.04</v>
      </c>
      <c r="AF198" s="8">
        <f>Table1[[#This Row],[GrossRevenue]]-Table1[[#This Row],[CostOfGoods]]</f>
        <v>4699.5199999999995</v>
      </c>
      <c r="AG198" s="8">
        <f>IF(Table1[[#This Row],[GrossRevenue]]=0,0,Table1[[#This Row],[GrossProfit]]/Table1[[#This Row],[GrossRevenue]])</f>
        <v>0.39374105613812838</v>
      </c>
    </row>
    <row r="199" spans="1:33" hidden="1" x14ac:dyDescent="0.45">
      <c r="A199" t="s">
        <v>212</v>
      </c>
      <c r="C199" s="3">
        <v>44956</v>
      </c>
      <c r="D199" s="3">
        <f>YEAR(Table1[[#This Row],[OrderDate]]) * 100 + MONTH(Table1[[#This Row],[OrderDate]])</f>
        <v>202301</v>
      </c>
      <c r="E199" s="3">
        <f>_xlfn.MINIFS(Table1[OrderMonthKey],Table1[Country],Table1[[#This Row],[Country]])</f>
        <v>202301</v>
      </c>
      <c r="F199" s="3">
        <f>Table1[[#This Row],[CountryFirstMonthKey]]</f>
        <v>202301</v>
      </c>
      <c r="G199" s="3">
        <f>12*(INT(Table1[[#This Row],[OrderMonthKey]]/100)-INT(Table1[[#This Row],[CohortMonthKey]]/100)) + (MOD(Table1[[#This Row],[OrderMonthKey]],100)-MOD(Table1[[#This Row],[CohortMonthKey]],100))</f>
        <v>0</v>
      </c>
      <c r="H199" s="3" t="str">
        <f>TEXT(Table1[[#This Row],[OrderDate]],"MMM-YYYY")</f>
        <v>Jan-2023</v>
      </c>
      <c r="I199" s="3" t="str">
        <f t="shared" si="9"/>
        <v>Q1-2024</v>
      </c>
      <c r="J199" s="3" t="str">
        <f>IF(Table1[[#This Row],[LeadTimeDays]]&lt;=7,"Yes","No")</f>
        <v>No</v>
      </c>
      <c r="K199" s="3">
        <f>_xlfn.DAYS(Table1[[#This Row],[CorrectedRequiredDate]],Table1[[#This Row],[OrderDate]])</f>
        <v>22</v>
      </c>
      <c r="L199" s="3">
        <f>IF(Table1[[#This Row],[RequiredDate]]&lt;Table1[[#This Row],[OrderDate]],Table1[[#This Row],[OrderDate]],Table1[[#This Row],[RequiredDate]])</f>
        <v>44978</v>
      </c>
      <c r="M199" s="3">
        <v>44978</v>
      </c>
      <c r="N199" t="s">
        <v>649</v>
      </c>
      <c r="O199" t="s">
        <v>656</v>
      </c>
      <c r="P199" t="s">
        <v>684</v>
      </c>
      <c r="Q199" t="s">
        <v>705</v>
      </c>
      <c r="R199" t="s">
        <v>709</v>
      </c>
      <c r="S199" t="s">
        <v>715</v>
      </c>
      <c r="T199" t="s">
        <v>729</v>
      </c>
      <c r="U199" t="s">
        <v>931</v>
      </c>
      <c r="V199" s="8">
        <v>1142.8800000000001</v>
      </c>
      <c r="W199" s="8">
        <v>1465.29</v>
      </c>
      <c r="X199" s="8">
        <f t="shared" si="10"/>
        <v>815.10700000000008</v>
      </c>
      <c r="Y199" s="8">
        <f t="shared" si="11"/>
        <v>1620.05</v>
      </c>
      <c r="AA199">
        <v>0.186</v>
      </c>
      <c r="AB199">
        <f>IF(Table1[[#This Row],[DiscountPct]]&gt;0.2,1,0)</f>
        <v>0</v>
      </c>
      <c r="AC199" s="6">
        <v>7</v>
      </c>
      <c r="AD199" s="8">
        <f>Table1[[#This Row],[UnitPrice]]*Table1[[#This Row],[Quantity]]</f>
        <v>10257.029999999999</v>
      </c>
      <c r="AE199" s="8">
        <f>Table1[[#This Row],[UnitCost]]*Table1[[#This Row],[Quantity]]</f>
        <v>8000.1600000000008</v>
      </c>
      <c r="AF199" s="8">
        <f>Table1[[#This Row],[GrossRevenue]]-Table1[[#This Row],[CostOfGoods]]</f>
        <v>2256.8699999999981</v>
      </c>
      <c r="AG199" s="8">
        <f>IF(Table1[[#This Row],[GrossRevenue]]=0,0,Table1[[#This Row],[GrossProfit]]/Table1[[#This Row],[GrossRevenue]])</f>
        <v>0.22003152959482408</v>
      </c>
    </row>
    <row r="200" spans="1:33" hidden="1" x14ac:dyDescent="0.45">
      <c r="A200" t="s">
        <v>213</v>
      </c>
      <c r="C200" s="3">
        <v>45030</v>
      </c>
      <c r="D200" s="3">
        <f>YEAR(Table1[[#This Row],[OrderDate]]) * 100 + MONTH(Table1[[#This Row],[OrderDate]])</f>
        <v>202304</v>
      </c>
      <c r="E200" s="3">
        <f>_xlfn.MINIFS(Table1[OrderMonthKey],Table1[Country],Table1[[#This Row],[Country]])</f>
        <v>202301</v>
      </c>
      <c r="F200" s="3">
        <f>Table1[[#This Row],[CountryFirstMonthKey]]</f>
        <v>202301</v>
      </c>
      <c r="G200" s="3">
        <f>12*(INT(Table1[[#This Row],[OrderMonthKey]]/100)-INT(Table1[[#This Row],[CohortMonthKey]]/100)) + (MOD(Table1[[#This Row],[OrderMonthKey]],100)-MOD(Table1[[#This Row],[CohortMonthKey]],100))</f>
        <v>3</v>
      </c>
      <c r="H200" s="3" t="str">
        <f>TEXT(Table1[[#This Row],[OrderDate]],"MMM-YYYY")</f>
        <v>Apr-2023</v>
      </c>
      <c r="I200" s="3" t="str">
        <f t="shared" si="9"/>
        <v>Q1-2023</v>
      </c>
      <c r="J200" s="3" t="str">
        <f>IF(Table1[[#This Row],[LeadTimeDays]]&lt;=7,"Yes","No")</f>
        <v>No</v>
      </c>
      <c r="K200" s="3">
        <f>_xlfn.DAYS(Table1[[#This Row],[CorrectedRequiredDate]],Table1[[#This Row],[OrderDate]])</f>
        <v>29</v>
      </c>
      <c r="L200" s="3">
        <f>IF(Table1[[#This Row],[RequiredDate]]&lt;Table1[[#This Row],[OrderDate]],Table1[[#This Row],[OrderDate]],Table1[[#This Row],[RequiredDate]])</f>
        <v>45059</v>
      </c>
      <c r="M200" s="3">
        <v>45059</v>
      </c>
      <c r="N200" t="s">
        <v>649</v>
      </c>
      <c r="O200" t="s">
        <v>656</v>
      </c>
      <c r="P200" t="s">
        <v>698</v>
      </c>
      <c r="Q200" t="s">
        <v>704</v>
      </c>
      <c r="R200" t="s">
        <v>711</v>
      </c>
      <c r="S200" t="s">
        <v>713</v>
      </c>
      <c r="T200" t="s">
        <v>728</v>
      </c>
      <c r="U200" t="s">
        <v>932</v>
      </c>
      <c r="V200" s="8">
        <v>1320.33</v>
      </c>
      <c r="W200" s="8">
        <v>2645.23</v>
      </c>
      <c r="X200" s="8">
        <f t="shared" si="10"/>
        <v>815.10700000000008</v>
      </c>
      <c r="Y200" s="8">
        <f t="shared" si="11"/>
        <v>1620.05</v>
      </c>
      <c r="AA200">
        <v>0.155</v>
      </c>
      <c r="AB200">
        <f>IF(Table1[[#This Row],[DiscountPct]]&gt;0.2,1,0)</f>
        <v>0</v>
      </c>
      <c r="AC200" s="6">
        <v>25</v>
      </c>
      <c r="AD200" s="8">
        <f>Table1[[#This Row],[UnitPrice]]*Table1[[#This Row],[Quantity]]</f>
        <v>66130.75</v>
      </c>
      <c r="AE200" s="8">
        <f>Table1[[#This Row],[UnitCost]]*Table1[[#This Row],[Quantity]]</f>
        <v>33008.25</v>
      </c>
      <c r="AF200" s="8">
        <f>Table1[[#This Row],[GrossRevenue]]-Table1[[#This Row],[CostOfGoods]]</f>
        <v>33122.5</v>
      </c>
      <c r="AG200" s="8">
        <f>IF(Table1[[#This Row],[GrossRevenue]]=0,0,Table1[[#This Row],[GrossProfit]]/Table1[[#This Row],[GrossRevenue]])</f>
        <v>0.50086381902518873</v>
      </c>
    </row>
    <row r="201" spans="1:33" hidden="1" x14ac:dyDescent="0.45">
      <c r="A201" t="s">
        <v>214</v>
      </c>
      <c r="C201" s="3">
        <v>44939</v>
      </c>
      <c r="D201" s="3">
        <f>YEAR(Table1[[#This Row],[OrderDate]]) * 100 + MONTH(Table1[[#This Row],[OrderDate]])</f>
        <v>202301</v>
      </c>
      <c r="E201" s="3">
        <f>_xlfn.MINIFS(Table1[OrderMonthKey],Table1[Country],Table1[[#This Row],[Country]])</f>
        <v>202301</v>
      </c>
      <c r="F201" s="3">
        <f>Table1[[#This Row],[CountryFirstMonthKey]]</f>
        <v>202301</v>
      </c>
      <c r="G201" s="3">
        <f>12*(INT(Table1[[#This Row],[OrderMonthKey]]/100)-INT(Table1[[#This Row],[CohortMonthKey]]/100)) + (MOD(Table1[[#This Row],[OrderMonthKey]],100)-MOD(Table1[[#This Row],[CohortMonthKey]],100))</f>
        <v>0</v>
      </c>
      <c r="H201" s="3" t="str">
        <f>TEXT(Table1[[#This Row],[OrderDate]],"MMM-YYYY")</f>
        <v>Jan-2023</v>
      </c>
      <c r="I201" s="3" t="str">
        <f t="shared" si="9"/>
        <v>Q2-2023</v>
      </c>
      <c r="J201" s="3" t="str">
        <f>IF(Table1[[#This Row],[LeadTimeDays]]&lt;=7,"Yes","No")</f>
        <v>Yes</v>
      </c>
      <c r="K201" s="3">
        <f>_xlfn.DAYS(Table1[[#This Row],[CorrectedRequiredDate]],Table1[[#This Row],[OrderDate]])</f>
        <v>6</v>
      </c>
      <c r="L201" s="3">
        <f>IF(Table1[[#This Row],[RequiredDate]]&lt;Table1[[#This Row],[OrderDate]],Table1[[#This Row],[OrderDate]],Table1[[#This Row],[RequiredDate]])</f>
        <v>44945</v>
      </c>
      <c r="M201" s="3">
        <v>44945</v>
      </c>
      <c r="N201" t="s">
        <v>648</v>
      </c>
      <c r="O201" t="s">
        <v>660</v>
      </c>
      <c r="P201" t="s">
        <v>677</v>
      </c>
      <c r="Q201" t="s">
        <v>701</v>
      </c>
      <c r="R201" t="s">
        <v>711</v>
      </c>
      <c r="S201" t="s">
        <v>722</v>
      </c>
      <c r="T201" t="s">
        <v>730</v>
      </c>
      <c r="U201" t="s">
        <v>933</v>
      </c>
      <c r="V201" s="8">
        <v>833.57</v>
      </c>
      <c r="W201" s="8">
        <v>881.57</v>
      </c>
      <c r="X201" s="8">
        <f t="shared" si="10"/>
        <v>815.10700000000008</v>
      </c>
      <c r="Y201" s="8">
        <f t="shared" si="11"/>
        <v>1620.05</v>
      </c>
      <c r="AA201">
        <v>5.7000000000000002E-2</v>
      </c>
      <c r="AB201">
        <f>IF(Table1[[#This Row],[DiscountPct]]&gt;0.2,1,0)</f>
        <v>0</v>
      </c>
      <c r="AC201" s="6">
        <v>18</v>
      </c>
      <c r="AD201" s="8">
        <f>Table1[[#This Row],[UnitPrice]]*Table1[[#This Row],[Quantity]]</f>
        <v>15868.26</v>
      </c>
      <c r="AE201" s="8">
        <f>Table1[[#This Row],[UnitCost]]*Table1[[#This Row],[Quantity]]</f>
        <v>15004.26</v>
      </c>
      <c r="AF201" s="8">
        <f>Table1[[#This Row],[GrossRevenue]]-Table1[[#This Row],[CostOfGoods]]</f>
        <v>864</v>
      </c>
      <c r="AG201" s="8">
        <f>IF(Table1[[#This Row],[GrossRevenue]]=0,0,Table1[[#This Row],[GrossProfit]]/Table1[[#This Row],[GrossRevenue]])</f>
        <v>5.4448313803781886E-2</v>
      </c>
    </row>
    <row r="202" spans="1:33" hidden="1" x14ac:dyDescent="0.45">
      <c r="A202" t="s">
        <v>215</v>
      </c>
      <c r="C202" s="3">
        <v>45303</v>
      </c>
      <c r="D202" s="3">
        <f>YEAR(Table1[[#This Row],[OrderDate]]) * 100 + MONTH(Table1[[#This Row],[OrderDate]])</f>
        <v>202401</v>
      </c>
      <c r="E202" s="3">
        <f>_xlfn.MINIFS(Table1[OrderMonthKey],Table1[Country],Table1[[#This Row],[Country]])</f>
        <v>202301</v>
      </c>
      <c r="F202" s="3">
        <f>Table1[[#This Row],[CountryFirstMonthKey]]</f>
        <v>202301</v>
      </c>
      <c r="G202" s="3">
        <f>12*(INT(Table1[[#This Row],[OrderMonthKey]]/100)-INT(Table1[[#This Row],[CohortMonthKey]]/100)) + (MOD(Table1[[#This Row],[OrderMonthKey]],100)-MOD(Table1[[#This Row],[CohortMonthKey]],100))</f>
        <v>12</v>
      </c>
      <c r="H202" s="3" t="str">
        <f>TEXT(Table1[[#This Row],[OrderDate]],"MMM-YYYY")</f>
        <v>Jan-2024</v>
      </c>
      <c r="I202" s="3" t="str">
        <f t="shared" si="9"/>
        <v>Q1-2023</v>
      </c>
      <c r="J202" s="3" t="str">
        <f>IF(Table1[[#This Row],[LeadTimeDays]]&lt;=7,"Yes","No")</f>
        <v>No</v>
      </c>
      <c r="K202" s="3">
        <f>_xlfn.DAYS(Table1[[#This Row],[CorrectedRequiredDate]],Table1[[#This Row],[OrderDate]])</f>
        <v>17</v>
      </c>
      <c r="L202" s="3">
        <f>IF(Table1[[#This Row],[RequiredDate]]&lt;Table1[[#This Row],[OrderDate]],Table1[[#This Row],[OrderDate]],Table1[[#This Row],[RequiredDate]])</f>
        <v>45320</v>
      </c>
      <c r="M202" s="3">
        <v>45320</v>
      </c>
      <c r="N202" t="s">
        <v>648</v>
      </c>
      <c r="O202" t="s">
        <v>660</v>
      </c>
      <c r="P202" t="s">
        <v>677</v>
      </c>
      <c r="Q202" t="s">
        <v>702</v>
      </c>
      <c r="R202" t="s">
        <v>710</v>
      </c>
      <c r="S202" t="s">
        <v>720</v>
      </c>
      <c r="T202" t="s">
        <v>728</v>
      </c>
      <c r="U202" t="s">
        <v>934</v>
      </c>
      <c r="V202" s="8">
        <v>493.76</v>
      </c>
      <c r="W202" s="8">
        <v>625.04</v>
      </c>
      <c r="X202" s="8">
        <f t="shared" si="10"/>
        <v>815.10700000000008</v>
      </c>
      <c r="Y202" s="8">
        <f t="shared" si="11"/>
        <v>1620.05</v>
      </c>
      <c r="AA202">
        <v>0.25800000000000001</v>
      </c>
      <c r="AB202">
        <f>IF(Table1[[#This Row],[DiscountPct]]&gt;0.2,1,0)</f>
        <v>1</v>
      </c>
      <c r="AC202" s="6">
        <v>10</v>
      </c>
      <c r="AD202" s="8">
        <f>Table1[[#This Row],[UnitPrice]]*Table1[[#This Row],[Quantity]]</f>
        <v>6250.4</v>
      </c>
      <c r="AE202" s="8">
        <f>Table1[[#This Row],[UnitCost]]*Table1[[#This Row],[Quantity]]</f>
        <v>4937.6000000000004</v>
      </c>
      <c r="AF202" s="8">
        <f>Table1[[#This Row],[GrossRevenue]]-Table1[[#This Row],[CostOfGoods]]</f>
        <v>1312.7999999999993</v>
      </c>
      <c r="AG202" s="8">
        <f>IF(Table1[[#This Row],[GrossRevenue]]=0,0,Table1[[#This Row],[GrossProfit]]/Table1[[#This Row],[GrossRevenue]])</f>
        <v>0.21003455778830143</v>
      </c>
    </row>
    <row r="203" spans="1:33" hidden="1" x14ac:dyDescent="0.45">
      <c r="A203" t="s">
        <v>216</v>
      </c>
      <c r="C203" s="3">
        <v>45153</v>
      </c>
      <c r="D203" s="3">
        <f>YEAR(Table1[[#This Row],[OrderDate]]) * 100 + MONTH(Table1[[#This Row],[OrderDate]])</f>
        <v>202308</v>
      </c>
      <c r="E203" s="3">
        <f>_xlfn.MINIFS(Table1[OrderMonthKey],Table1[Country],Table1[[#This Row],[Country]])</f>
        <v>202301</v>
      </c>
      <c r="F203" s="3">
        <f>Table1[[#This Row],[CountryFirstMonthKey]]</f>
        <v>202301</v>
      </c>
      <c r="G203" s="3">
        <f>12*(INT(Table1[[#This Row],[OrderMonthKey]]/100)-INT(Table1[[#This Row],[CohortMonthKey]]/100)) + (MOD(Table1[[#This Row],[OrderMonthKey]],100)-MOD(Table1[[#This Row],[CohortMonthKey]],100))</f>
        <v>7</v>
      </c>
      <c r="H203" s="3" t="str">
        <f>TEXT(Table1[[#This Row],[OrderDate]],"MMM-YYYY")</f>
        <v>Aug-2023</v>
      </c>
      <c r="I203" s="3" t="str">
        <f t="shared" si="9"/>
        <v>Q1-2024</v>
      </c>
      <c r="J203" s="3" t="str">
        <f>IF(Table1[[#This Row],[LeadTimeDays]]&lt;=7,"Yes","No")</f>
        <v>No</v>
      </c>
      <c r="K203" s="3">
        <f>_xlfn.DAYS(Table1[[#This Row],[CorrectedRequiredDate]],Table1[[#This Row],[OrderDate]])</f>
        <v>23</v>
      </c>
      <c r="L203" s="3">
        <f>IF(Table1[[#This Row],[RequiredDate]]&lt;Table1[[#This Row],[OrderDate]],Table1[[#This Row],[OrderDate]],Table1[[#This Row],[RequiredDate]])</f>
        <v>45176</v>
      </c>
      <c r="M203" s="3">
        <v>45176</v>
      </c>
      <c r="N203" t="s">
        <v>648</v>
      </c>
      <c r="O203" t="s">
        <v>660</v>
      </c>
      <c r="P203" t="s">
        <v>700</v>
      </c>
      <c r="Q203" t="s">
        <v>706</v>
      </c>
      <c r="R203" t="s">
        <v>708</v>
      </c>
      <c r="S203" t="s">
        <v>723</v>
      </c>
      <c r="T203" t="s">
        <v>730</v>
      </c>
      <c r="U203" t="s">
        <v>935</v>
      </c>
      <c r="V203" s="8">
        <v>590.33000000000004</v>
      </c>
      <c r="W203" s="8">
        <v>973.04</v>
      </c>
      <c r="X203" s="8">
        <f t="shared" si="10"/>
        <v>815.10700000000008</v>
      </c>
      <c r="Y203" s="8">
        <f t="shared" si="11"/>
        <v>1620.05</v>
      </c>
      <c r="AA203">
        <v>0</v>
      </c>
      <c r="AB203">
        <f>IF(Table1[[#This Row],[DiscountPct]]&gt;0.2,1,0)</f>
        <v>0</v>
      </c>
      <c r="AC203" s="6">
        <v>26</v>
      </c>
      <c r="AD203" s="8">
        <f>Table1[[#This Row],[UnitPrice]]*Table1[[#This Row],[Quantity]]</f>
        <v>25299.040000000001</v>
      </c>
      <c r="AE203" s="8">
        <f>Table1[[#This Row],[UnitCost]]*Table1[[#This Row],[Quantity]]</f>
        <v>15348.580000000002</v>
      </c>
      <c r="AF203" s="8">
        <f>Table1[[#This Row],[GrossRevenue]]-Table1[[#This Row],[CostOfGoods]]</f>
        <v>9950.4599999999991</v>
      </c>
      <c r="AG203" s="8">
        <f>IF(Table1[[#This Row],[GrossRevenue]]=0,0,Table1[[#This Row],[GrossProfit]]/Table1[[#This Row],[GrossRevenue]])</f>
        <v>0.39331373838691108</v>
      </c>
    </row>
    <row r="204" spans="1:33" hidden="1" x14ac:dyDescent="0.45">
      <c r="A204" t="s">
        <v>217</v>
      </c>
      <c r="C204" s="3">
        <v>44946</v>
      </c>
      <c r="D204" s="3">
        <f>YEAR(Table1[[#This Row],[OrderDate]]) * 100 + MONTH(Table1[[#This Row],[OrderDate]])</f>
        <v>202301</v>
      </c>
      <c r="E204" s="3">
        <f>_xlfn.MINIFS(Table1[OrderMonthKey],Table1[Country],Table1[[#This Row],[Country]])</f>
        <v>202301</v>
      </c>
      <c r="F204" s="3">
        <f>Table1[[#This Row],[CountryFirstMonthKey]]</f>
        <v>202301</v>
      </c>
      <c r="G204" s="3">
        <f>12*(INT(Table1[[#This Row],[OrderMonthKey]]/100)-INT(Table1[[#This Row],[CohortMonthKey]]/100)) + (MOD(Table1[[#This Row],[OrderMonthKey]],100)-MOD(Table1[[#This Row],[CohortMonthKey]],100))</f>
        <v>0</v>
      </c>
      <c r="H204" s="3" t="str">
        <f>TEXT(Table1[[#This Row],[OrderDate]],"MMM-YYYY")</f>
        <v>Jan-2023</v>
      </c>
      <c r="I204" s="3" t="str">
        <f t="shared" si="9"/>
        <v>Q3-2023</v>
      </c>
      <c r="J204" s="3" t="str">
        <f>IF(Table1[[#This Row],[LeadTimeDays]]&lt;=7,"Yes","No")</f>
        <v>No</v>
      </c>
      <c r="K204" s="3">
        <f>_xlfn.DAYS(Table1[[#This Row],[CorrectedRequiredDate]],Table1[[#This Row],[OrderDate]])</f>
        <v>14</v>
      </c>
      <c r="L204" s="3">
        <f>IF(Table1[[#This Row],[RequiredDate]]&lt;Table1[[#This Row],[OrderDate]],Table1[[#This Row],[OrderDate]],Table1[[#This Row],[RequiredDate]])</f>
        <v>44960</v>
      </c>
      <c r="M204" s="3">
        <v>44960</v>
      </c>
      <c r="N204" t="s">
        <v>646</v>
      </c>
      <c r="O204" t="s">
        <v>650</v>
      </c>
      <c r="P204" t="s">
        <v>662</v>
      </c>
      <c r="Q204" t="s">
        <v>701</v>
      </c>
      <c r="R204" t="s">
        <v>707</v>
      </c>
      <c r="S204" t="s">
        <v>724</v>
      </c>
      <c r="T204" t="s">
        <v>729</v>
      </c>
      <c r="U204" t="s">
        <v>936</v>
      </c>
      <c r="V204" s="8">
        <v>884.36</v>
      </c>
      <c r="W204" s="8">
        <v>1545.34</v>
      </c>
      <c r="X204" s="8">
        <f t="shared" si="10"/>
        <v>815.10700000000008</v>
      </c>
      <c r="Y204" s="8">
        <f t="shared" si="11"/>
        <v>1620.05</v>
      </c>
      <c r="AA204">
        <v>0.24299999999999999</v>
      </c>
      <c r="AB204">
        <f>IF(Table1[[#This Row],[DiscountPct]]&gt;0.2,1,0)</f>
        <v>1</v>
      </c>
      <c r="AC204" s="6">
        <v>41</v>
      </c>
      <c r="AD204" s="8">
        <f>Table1[[#This Row],[UnitPrice]]*Table1[[#This Row],[Quantity]]</f>
        <v>63358.939999999995</v>
      </c>
      <c r="AE204" s="8">
        <f>Table1[[#This Row],[UnitCost]]*Table1[[#This Row],[Quantity]]</f>
        <v>36258.76</v>
      </c>
      <c r="AF204" s="8">
        <f>Table1[[#This Row],[GrossRevenue]]-Table1[[#This Row],[CostOfGoods]]</f>
        <v>27100.179999999993</v>
      </c>
      <c r="AG204" s="8">
        <f>IF(Table1[[#This Row],[GrossRevenue]]=0,0,Table1[[#This Row],[GrossProfit]]/Table1[[#This Row],[GrossRevenue]])</f>
        <v>0.42772464312060771</v>
      </c>
    </row>
    <row r="205" spans="1:33" x14ac:dyDescent="0.45">
      <c r="A205" t="s">
        <v>218</v>
      </c>
      <c r="B205">
        <v>1</v>
      </c>
      <c r="C205" s="3">
        <v>45692</v>
      </c>
      <c r="D205" s="6">
        <f>YEAR(Table1[[#This Row],[OrderDate]]) * 100 + MONTH(Table1[[#This Row],[OrderDate]])</f>
        <v>202502</v>
      </c>
      <c r="E205" s="6">
        <f>_xlfn.MINIFS(Table1[OrderMonthKey],Table1[Country],Table1[[#This Row],[Country]])</f>
        <v>202301</v>
      </c>
      <c r="F205" s="6">
        <f>Table1[[#This Row],[CountryFirstMonthKey]]</f>
        <v>202301</v>
      </c>
      <c r="G205" s="6">
        <f>12*(INT(Table1[[#This Row],[OrderMonthKey]]/100)-INT(Table1[[#This Row],[CohortMonthKey]]/100)) + (MOD(Table1[[#This Row],[OrderMonthKey]],100)-MOD(Table1[[#This Row],[CohortMonthKey]],100))</f>
        <v>25</v>
      </c>
      <c r="H205" s="3" t="str">
        <f>TEXT(Table1[[#This Row],[OrderDate]],"MMM-YYYY")</f>
        <v>Feb-2025</v>
      </c>
      <c r="I205" s="3" t="str">
        <f t="shared" si="9"/>
        <v>Q1-2023</v>
      </c>
      <c r="J205" s="26" t="str">
        <f>IF(Table1[[#This Row],[LeadTimeDays]]&lt;=7,"Yes","No")</f>
        <v>No</v>
      </c>
      <c r="K205" s="6">
        <f>_xlfn.DAYS(Table1[[#This Row],[CorrectedRequiredDate]],Table1[[#This Row],[OrderDate]])</f>
        <v>21</v>
      </c>
      <c r="L205" s="3">
        <f>IF(Table1[[#This Row],[RequiredDate]]&lt;Table1[[#This Row],[OrderDate]],Table1[[#This Row],[OrderDate]],Table1[[#This Row],[RequiredDate]])</f>
        <v>45713</v>
      </c>
      <c r="M205" s="3">
        <v>45713</v>
      </c>
      <c r="N205" t="s">
        <v>649</v>
      </c>
      <c r="O205" t="s">
        <v>658</v>
      </c>
      <c r="P205" t="s">
        <v>674</v>
      </c>
      <c r="Q205" t="s">
        <v>701</v>
      </c>
      <c r="R205" t="s">
        <v>709</v>
      </c>
      <c r="S205" t="s">
        <v>726</v>
      </c>
      <c r="T205" t="s">
        <v>732</v>
      </c>
      <c r="U205" t="s">
        <v>937</v>
      </c>
      <c r="V205" s="8">
        <v>1016.32</v>
      </c>
      <c r="W205" s="8">
        <v>2253.42</v>
      </c>
      <c r="X205" s="8">
        <f t="shared" si="10"/>
        <v>815.10700000000008</v>
      </c>
      <c r="Y205" s="8">
        <f t="shared" si="11"/>
        <v>1620.05</v>
      </c>
      <c r="Z205" s="8" t="str">
        <f>IF(W204 &lt;= X203, "Low",IF(W204 &lt;= Y204, "Medium", "High"))</f>
        <v>Medium</v>
      </c>
      <c r="AA205">
        <v>5.5E-2</v>
      </c>
      <c r="AB205">
        <f>IF(Table1[[#This Row],[DiscountPct]]&gt;0.2,1,0)</f>
        <v>0</v>
      </c>
      <c r="AC205" s="6">
        <v>12</v>
      </c>
      <c r="AD205" s="8">
        <f>Table1[[#This Row],[UnitPrice]]*Table1[[#This Row],[Quantity]]</f>
        <v>27041.040000000001</v>
      </c>
      <c r="AE205" s="8">
        <f>Table1[[#This Row],[UnitCost]]*Table1[[#This Row],[Quantity]]</f>
        <v>12195.84</v>
      </c>
      <c r="AF205" s="8">
        <f>Table1[[#This Row],[GrossRevenue]]-Table1[[#This Row],[CostOfGoods]]</f>
        <v>14845.2</v>
      </c>
      <c r="AG205" s="9">
        <f>IF(Table1[[#This Row],[GrossRevenue]]=0,0,Table1[[#This Row],[GrossProfit]]/Table1[[#This Row],[GrossRevenue]])</f>
        <v>0.54898776082576706</v>
      </c>
    </row>
    <row r="206" spans="1:33" hidden="1" x14ac:dyDescent="0.45">
      <c r="A206" t="s">
        <v>219</v>
      </c>
      <c r="C206" s="3">
        <v>45035</v>
      </c>
      <c r="D206" s="3">
        <f>YEAR(Table1[[#This Row],[OrderDate]]) * 100 + MONTH(Table1[[#This Row],[OrderDate]])</f>
        <v>202304</v>
      </c>
      <c r="E206" s="3">
        <f>_xlfn.MINIFS(Table1[OrderMonthKey],Table1[Country],Table1[[#This Row],[Country]])</f>
        <v>202301</v>
      </c>
      <c r="F206" s="3">
        <f>Table1[[#This Row],[CountryFirstMonthKey]]</f>
        <v>202301</v>
      </c>
      <c r="G206" s="3">
        <f>12*(INT(Table1[[#This Row],[OrderMonthKey]]/100)-INT(Table1[[#This Row],[CohortMonthKey]]/100)) + (MOD(Table1[[#This Row],[OrderMonthKey]],100)-MOD(Table1[[#This Row],[CohortMonthKey]],100))</f>
        <v>3</v>
      </c>
      <c r="H206" s="3" t="str">
        <f>TEXT(Table1[[#This Row],[OrderDate]],"MMM-YYYY")</f>
        <v>Apr-2023</v>
      </c>
      <c r="I206" s="3" t="str">
        <f t="shared" si="9"/>
        <v>Q1-2025</v>
      </c>
      <c r="J206" s="3" t="str">
        <f>IF(Table1[[#This Row],[LeadTimeDays]]&lt;=7,"Yes","No")</f>
        <v>No</v>
      </c>
      <c r="K206" s="3">
        <f>_xlfn.DAYS(Table1[[#This Row],[CorrectedRequiredDate]],Table1[[#This Row],[OrderDate]])</f>
        <v>9</v>
      </c>
      <c r="L206" s="3">
        <f>IF(Table1[[#This Row],[RequiredDate]]&lt;Table1[[#This Row],[OrderDate]],Table1[[#This Row],[OrderDate]],Table1[[#This Row],[RequiredDate]])</f>
        <v>45044</v>
      </c>
      <c r="M206" s="3">
        <v>45044</v>
      </c>
      <c r="N206" t="s">
        <v>649</v>
      </c>
      <c r="O206" t="s">
        <v>656</v>
      </c>
      <c r="P206" t="s">
        <v>671</v>
      </c>
      <c r="Q206" t="s">
        <v>702</v>
      </c>
      <c r="R206" t="s">
        <v>708</v>
      </c>
      <c r="S206" t="s">
        <v>718</v>
      </c>
      <c r="T206" t="s">
        <v>732</v>
      </c>
      <c r="U206" t="s">
        <v>938</v>
      </c>
      <c r="V206" s="8">
        <v>1178.42</v>
      </c>
      <c r="W206" s="8">
        <v>2446.56</v>
      </c>
      <c r="X206" s="8">
        <f t="shared" si="10"/>
        <v>815.10700000000008</v>
      </c>
      <c r="Y206" s="8">
        <f t="shared" si="11"/>
        <v>1620.05</v>
      </c>
      <c r="AA206">
        <v>2.9000000000000001E-2</v>
      </c>
      <c r="AB206">
        <f>IF(Table1[[#This Row],[DiscountPct]]&gt;0.2,1,0)</f>
        <v>0</v>
      </c>
      <c r="AC206" s="6">
        <v>11</v>
      </c>
      <c r="AD206" s="8">
        <f>Table1[[#This Row],[UnitPrice]]*Table1[[#This Row],[Quantity]]</f>
        <v>26912.16</v>
      </c>
      <c r="AE206" s="8">
        <f>Table1[[#This Row],[UnitCost]]*Table1[[#This Row],[Quantity]]</f>
        <v>12962.62</v>
      </c>
      <c r="AF206" s="8">
        <f>Table1[[#This Row],[GrossRevenue]]-Table1[[#This Row],[CostOfGoods]]</f>
        <v>13949.539999999999</v>
      </c>
      <c r="AG206" s="8">
        <f>IF(Table1[[#This Row],[GrossRevenue]]=0,0,Table1[[#This Row],[GrossProfit]]/Table1[[#This Row],[GrossRevenue]])</f>
        <v>0.51833594925119353</v>
      </c>
    </row>
    <row r="207" spans="1:33" x14ac:dyDescent="0.45">
      <c r="A207" t="s">
        <v>220</v>
      </c>
      <c r="B207">
        <v>1</v>
      </c>
      <c r="C207" s="3">
        <v>45109</v>
      </c>
      <c r="D207" s="6">
        <f>YEAR(Table1[[#This Row],[OrderDate]]) * 100 + MONTH(Table1[[#This Row],[OrderDate]])</f>
        <v>202307</v>
      </c>
      <c r="E207" s="6">
        <f>_xlfn.MINIFS(Table1[OrderMonthKey],Table1[Country],Table1[[#This Row],[Country]])</f>
        <v>202301</v>
      </c>
      <c r="F207" s="6">
        <f>Table1[[#This Row],[CountryFirstMonthKey]]</f>
        <v>202301</v>
      </c>
      <c r="G207" s="6">
        <f>12*(INT(Table1[[#This Row],[OrderMonthKey]]/100)-INT(Table1[[#This Row],[CohortMonthKey]]/100)) + (MOD(Table1[[#This Row],[OrderMonthKey]],100)-MOD(Table1[[#This Row],[CohortMonthKey]],100))</f>
        <v>6</v>
      </c>
      <c r="H207" s="3" t="str">
        <f>TEXT(Table1[[#This Row],[OrderDate]],"MMM-YYYY")</f>
        <v>Jul-2023</v>
      </c>
      <c r="I207" s="3" t="str">
        <f t="shared" si="9"/>
        <v>Q2-2023</v>
      </c>
      <c r="J207" s="26" t="str">
        <f>IF(Table1[[#This Row],[LeadTimeDays]]&lt;=7,"Yes","No")</f>
        <v>No</v>
      </c>
      <c r="K207" s="6">
        <f>_xlfn.DAYS(Table1[[#This Row],[CorrectedRequiredDate]],Table1[[#This Row],[OrderDate]])</f>
        <v>30</v>
      </c>
      <c r="L207" s="3">
        <f>IF(Table1[[#This Row],[RequiredDate]]&lt;Table1[[#This Row],[OrderDate]],Table1[[#This Row],[OrderDate]],Table1[[#This Row],[RequiredDate]])</f>
        <v>45139</v>
      </c>
      <c r="M207" s="3">
        <v>45139</v>
      </c>
      <c r="N207" t="s">
        <v>649</v>
      </c>
      <c r="O207" t="s">
        <v>658</v>
      </c>
      <c r="P207" t="s">
        <v>674</v>
      </c>
      <c r="Q207" t="s">
        <v>705</v>
      </c>
      <c r="R207" t="s">
        <v>707</v>
      </c>
      <c r="S207" t="s">
        <v>717</v>
      </c>
      <c r="T207" t="s">
        <v>727</v>
      </c>
      <c r="U207" t="s">
        <v>939</v>
      </c>
      <c r="V207" s="8">
        <v>137.46</v>
      </c>
      <c r="W207" s="8">
        <v>188.3</v>
      </c>
      <c r="X207" s="8">
        <f t="shared" si="10"/>
        <v>815.10700000000008</v>
      </c>
      <c r="Y207" s="8">
        <f t="shared" si="11"/>
        <v>1620.05</v>
      </c>
      <c r="Z207" s="8" t="str">
        <f>IF(W206 &lt;= X205, "Low",IF(W206 &lt;= Y206, "Medium", "High"))</f>
        <v>High</v>
      </c>
      <c r="AA207">
        <v>3.7999999999999999E-2</v>
      </c>
      <c r="AB207">
        <f>IF(Table1[[#This Row],[DiscountPct]]&gt;0.2,1,0)</f>
        <v>0</v>
      </c>
      <c r="AC207" s="6">
        <v>37</v>
      </c>
      <c r="AD207" s="8">
        <f>Table1[[#This Row],[UnitPrice]]*Table1[[#This Row],[Quantity]]</f>
        <v>6967.1</v>
      </c>
      <c r="AE207" s="8">
        <f>Table1[[#This Row],[UnitCost]]*Table1[[#This Row],[Quantity]]</f>
        <v>5086.0200000000004</v>
      </c>
      <c r="AF207" s="8">
        <f>Table1[[#This Row],[GrossRevenue]]-Table1[[#This Row],[CostOfGoods]]</f>
        <v>1881.08</v>
      </c>
      <c r="AG207" s="9">
        <f>IF(Table1[[#This Row],[GrossRevenue]]=0,0,Table1[[#This Row],[GrossProfit]]/Table1[[#This Row],[GrossRevenue]])</f>
        <v>0.26999468932554432</v>
      </c>
    </row>
    <row r="208" spans="1:33" hidden="1" x14ac:dyDescent="0.45">
      <c r="A208" t="s">
        <v>221</v>
      </c>
      <c r="C208" s="3">
        <v>45678</v>
      </c>
      <c r="D208" s="3">
        <f>YEAR(Table1[[#This Row],[OrderDate]]) * 100 + MONTH(Table1[[#This Row],[OrderDate]])</f>
        <v>202501</v>
      </c>
      <c r="E208" s="3">
        <f>_xlfn.MINIFS(Table1[OrderMonthKey],Table1[Country],Table1[[#This Row],[Country]])</f>
        <v>202301</v>
      </c>
      <c r="F208" s="3">
        <f>Table1[[#This Row],[CountryFirstMonthKey]]</f>
        <v>202301</v>
      </c>
      <c r="G208" s="3">
        <f>12*(INT(Table1[[#This Row],[OrderMonthKey]]/100)-INT(Table1[[#This Row],[CohortMonthKey]]/100)) + (MOD(Table1[[#This Row],[OrderMonthKey]],100)-MOD(Table1[[#This Row],[CohortMonthKey]],100))</f>
        <v>24</v>
      </c>
      <c r="H208" s="3" t="str">
        <f>TEXT(Table1[[#This Row],[OrderDate]],"MMM-YYYY")</f>
        <v>Jan-2025</v>
      </c>
      <c r="I208" s="3" t="str">
        <f t="shared" si="9"/>
        <v>Q3-2023</v>
      </c>
      <c r="J208" s="3" t="str">
        <f>IF(Table1[[#This Row],[LeadTimeDays]]&lt;=7,"Yes","No")</f>
        <v>No</v>
      </c>
      <c r="K208" s="3">
        <f>_xlfn.DAYS(Table1[[#This Row],[CorrectedRequiredDate]],Table1[[#This Row],[OrderDate]])</f>
        <v>24</v>
      </c>
      <c r="L208" s="3">
        <f>IF(Table1[[#This Row],[RequiredDate]]&lt;Table1[[#This Row],[OrderDate]],Table1[[#This Row],[OrderDate]],Table1[[#This Row],[RequiredDate]])</f>
        <v>45702</v>
      </c>
      <c r="M208" s="3">
        <v>45702</v>
      </c>
      <c r="N208" t="s">
        <v>646</v>
      </c>
      <c r="O208" t="s">
        <v>650</v>
      </c>
      <c r="P208" t="s">
        <v>664</v>
      </c>
      <c r="Q208" t="s">
        <v>705</v>
      </c>
      <c r="R208" t="s">
        <v>707</v>
      </c>
      <c r="S208" t="s">
        <v>713</v>
      </c>
      <c r="T208" t="s">
        <v>733</v>
      </c>
      <c r="U208" t="s">
        <v>940</v>
      </c>
      <c r="V208" s="8">
        <v>1030.44</v>
      </c>
      <c r="W208" s="8">
        <v>2562.84</v>
      </c>
      <c r="X208" s="8">
        <f t="shared" si="10"/>
        <v>815.10700000000008</v>
      </c>
      <c r="Y208" s="8">
        <f t="shared" si="11"/>
        <v>1620.05</v>
      </c>
      <c r="AA208">
        <v>0.14799999999999999</v>
      </c>
      <c r="AB208">
        <f>IF(Table1[[#This Row],[DiscountPct]]&gt;0.2,1,0)</f>
        <v>0</v>
      </c>
      <c r="AC208" s="6">
        <v>13</v>
      </c>
      <c r="AD208" s="8">
        <f>Table1[[#This Row],[UnitPrice]]*Table1[[#This Row],[Quantity]]</f>
        <v>33316.92</v>
      </c>
      <c r="AE208" s="8">
        <f>Table1[[#This Row],[UnitCost]]*Table1[[#This Row],[Quantity]]</f>
        <v>13395.720000000001</v>
      </c>
      <c r="AF208" s="8">
        <f>Table1[[#This Row],[GrossRevenue]]-Table1[[#This Row],[CostOfGoods]]</f>
        <v>19921.199999999997</v>
      </c>
      <c r="AG208" s="8">
        <f>IF(Table1[[#This Row],[GrossRevenue]]=0,0,Table1[[#This Row],[GrossProfit]]/Table1[[#This Row],[GrossRevenue]])</f>
        <v>0.5979304209392704</v>
      </c>
    </row>
    <row r="209" spans="1:33" hidden="1" x14ac:dyDescent="0.45">
      <c r="A209" t="s">
        <v>222</v>
      </c>
      <c r="C209" s="3">
        <v>45545</v>
      </c>
      <c r="D209" s="3">
        <f>YEAR(Table1[[#This Row],[OrderDate]]) * 100 + MONTH(Table1[[#This Row],[OrderDate]])</f>
        <v>202409</v>
      </c>
      <c r="E209" s="3">
        <f>_xlfn.MINIFS(Table1[OrderMonthKey],Table1[Country],Table1[[#This Row],[Country]])</f>
        <v>202301</v>
      </c>
      <c r="F209" s="3">
        <f>Table1[[#This Row],[CountryFirstMonthKey]]</f>
        <v>202301</v>
      </c>
      <c r="G209" s="3">
        <f>12*(INT(Table1[[#This Row],[OrderMonthKey]]/100)-INT(Table1[[#This Row],[CohortMonthKey]]/100)) + (MOD(Table1[[#This Row],[OrderMonthKey]],100)-MOD(Table1[[#This Row],[CohortMonthKey]],100))</f>
        <v>20</v>
      </c>
      <c r="H209" s="3" t="str">
        <f>TEXT(Table1[[#This Row],[OrderDate]],"MMM-YYYY")</f>
        <v>Sep-2024</v>
      </c>
      <c r="I209" s="3" t="str">
        <f t="shared" si="9"/>
        <v>Q1-2025</v>
      </c>
      <c r="J209" s="3" t="str">
        <f>IF(Table1[[#This Row],[LeadTimeDays]]&lt;=7,"Yes","No")</f>
        <v>No</v>
      </c>
      <c r="K209" s="3">
        <f>_xlfn.DAYS(Table1[[#This Row],[CorrectedRequiredDate]],Table1[[#This Row],[OrderDate]])</f>
        <v>27</v>
      </c>
      <c r="L209" s="3">
        <f>IF(Table1[[#This Row],[RequiredDate]]&lt;Table1[[#This Row],[OrderDate]],Table1[[#This Row],[OrderDate]],Table1[[#This Row],[RequiredDate]])</f>
        <v>45572</v>
      </c>
      <c r="M209" s="3">
        <v>45572</v>
      </c>
      <c r="N209" t="s">
        <v>646</v>
      </c>
      <c r="O209" t="s">
        <v>650</v>
      </c>
      <c r="P209" t="s">
        <v>662</v>
      </c>
      <c r="Q209" t="s">
        <v>704</v>
      </c>
      <c r="R209" t="s">
        <v>707</v>
      </c>
      <c r="S209" t="s">
        <v>716</v>
      </c>
      <c r="T209" t="s">
        <v>728</v>
      </c>
      <c r="U209" t="s">
        <v>941</v>
      </c>
      <c r="V209" s="8">
        <v>1248.3900000000001</v>
      </c>
      <c r="W209" s="8">
        <v>1805.11</v>
      </c>
      <c r="X209" s="8">
        <f t="shared" si="10"/>
        <v>815.10700000000008</v>
      </c>
      <c r="Y209" s="8">
        <f t="shared" si="11"/>
        <v>1620.05</v>
      </c>
      <c r="AA209">
        <v>0.20300000000000001</v>
      </c>
      <c r="AB209">
        <f>IF(Table1[[#This Row],[DiscountPct]]&gt;0.2,1,0)</f>
        <v>1</v>
      </c>
      <c r="AC209" s="6">
        <v>11</v>
      </c>
      <c r="AD209" s="8">
        <f>Table1[[#This Row],[UnitPrice]]*Table1[[#This Row],[Quantity]]</f>
        <v>19856.21</v>
      </c>
      <c r="AE209" s="8">
        <f>Table1[[#This Row],[UnitCost]]*Table1[[#This Row],[Quantity]]</f>
        <v>13732.29</v>
      </c>
      <c r="AF209" s="8">
        <f>Table1[[#This Row],[GrossRevenue]]-Table1[[#This Row],[CostOfGoods]]</f>
        <v>6123.9199999999983</v>
      </c>
      <c r="AG209" s="8">
        <f>IF(Table1[[#This Row],[GrossRevenue]]=0,0,Table1[[#This Row],[GrossProfit]]/Table1[[#This Row],[GrossRevenue]])</f>
        <v>0.30841333769133178</v>
      </c>
    </row>
    <row r="210" spans="1:33" x14ac:dyDescent="0.45">
      <c r="A210" t="s">
        <v>223</v>
      </c>
      <c r="B210">
        <v>1</v>
      </c>
      <c r="C210" s="3">
        <v>45859</v>
      </c>
      <c r="D210" s="6">
        <f>YEAR(Table1[[#This Row],[OrderDate]]) * 100 + MONTH(Table1[[#This Row],[OrderDate]])</f>
        <v>202507</v>
      </c>
      <c r="E210" s="6">
        <f>_xlfn.MINIFS(Table1[OrderMonthKey],Table1[Country],Table1[[#This Row],[Country]])</f>
        <v>202301</v>
      </c>
      <c r="F210" s="6">
        <f>Table1[[#This Row],[CountryFirstMonthKey]]</f>
        <v>202301</v>
      </c>
      <c r="G210" s="6">
        <f>12*(INT(Table1[[#This Row],[OrderMonthKey]]/100)-INT(Table1[[#This Row],[CohortMonthKey]]/100)) + (MOD(Table1[[#This Row],[OrderMonthKey]],100)-MOD(Table1[[#This Row],[CohortMonthKey]],100))</f>
        <v>30</v>
      </c>
      <c r="H210" s="3" t="str">
        <f>TEXT(Table1[[#This Row],[OrderDate]],"MMM-YYYY")</f>
        <v>Jul-2025</v>
      </c>
      <c r="I210" s="3" t="str">
        <f t="shared" si="9"/>
        <v>Q3-2024</v>
      </c>
      <c r="J210" s="26" t="str">
        <f>IF(Table1[[#This Row],[LeadTimeDays]]&lt;=7,"Yes","No")</f>
        <v>No</v>
      </c>
      <c r="K210" s="6">
        <f>_xlfn.DAYS(Table1[[#This Row],[CorrectedRequiredDate]],Table1[[#This Row],[OrderDate]])</f>
        <v>17</v>
      </c>
      <c r="L210" s="3">
        <f>IF(Table1[[#This Row],[RequiredDate]]&lt;Table1[[#This Row],[OrderDate]],Table1[[#This Row],[OrderDate]],Table1[[#This Row],[RequiredDate]])</f>
        <v>45876</v>
      </c>
      <c r="M210" s="3">
        <v>45876</v>
      </c>
      <c r="N210" t="s">
        <v>646</v>
      </c>
      <c r="O210" t="s">
        <v>651</v>
      </c>
      <c r="P210" t="s">
        <v>665</v>
      </c>
      <c r="Q210" t="s">
        <v>706</v>
      </c>
      <c r="R210" t="s">
        <v>711</v>
      </c>
      <c r="S210" t="s">
        <v>724</v>
      </c>
      <c r="T210" t="s">
        <v>733</v>
      </c>
      <c r="U210" t="s">
        <v>942</v>
      </c>
      <c r="V210" s="8">
        <v>1204.95</v>
      </c>
      <c r="W210" s="8">
        <v>2065.73</v>
      </c>
      <c r="X210" s="8">
        <f t="shared" si="10"/>
        <v>815.10700000000008</v>
      </c>
      <c r="Y210" s="8">
        <f t="shared" si="11"/>
        <v>1620.05</v>
      </c>
      <c r="Z210" s="8" t="str">
        <f>IF(W209 &lt;= X208, "Low",IF(W209 &lt;= Y209, "Medium", "High"))</f>
        <v>High</v>
      </c>
      <c r="AA210">
        <v>0.13600000000000001</v>
      </c>
      <c r="AB210">
        <f>IF(Table1[[#This Row],[DiscountPct]]&gt;0.2,1,0)</f>
        <v>0</v>
      </c>
      <c r="AC210" s="6">
        <v>10</v>
      </c>
      <c r="AD210" s="8">
        <f>Table1[[#This Row],[UnitPrice]]*Table1[[#This Row],[Quantity]]</f>
        <v>20657.3</v>
      </c>
      <c r="AE210" s="8">
        <f>Table1[[#This Row],[UnitCost]]*Table1[[#This Row],[Quantity]]</f>
        <v>12049.5</v>
      </c>
      <c r="AF210" s="8">
        <f>Table1[[#This Row],[GrossRevenue]]-Table1[[#This Row],[CostOfGoods]]</f>
        <v>8607.7999999999993</v>
      </c>
      <c r="AG210" s="9">
        <f>IF(Table1[[#This Row],[GrossRevenue]]=0,0,Table1[[#This Row],[GrossProfit]]/Table1[[#This Row],[GrossRevenue]])</f>
        <v>0.41669530868022442</v>
      </c>
    </row>
    <row r="211" spans="1:33" hidden="1" x14ac:dyDescent="0.45">
      <c r="A211" t="s">
        <v>224</v>
      </c>
      <c r="C211" s="3">
        <v>45567</v>
      </c>
      <c r="D211" s="3">
        <f>YEAR(Table1[[#This Row],[OrderDate]]) * 100 + MONTH(Table1[[#This Row],[OrderDate]])</f>
        <v>202410</v>
      </c>
      <c r="E211" s="3">
        <f>_xlfn.MINIFS(Table1[OrderMonthKey],Table1[Country],Table1[[#This Row],[Country]])</f>
        <v>202301</v>
      </c>
      <c r="F211" s="3">
        <f>Table1[[#This Row],[CountryFirstMonthKey]]</f>
        <v>202301</v>
      </c>
      <c r="G211" s="3">
        <f>12*(INT(Table1[[#This Row],[OrderMonthKey]]/100)-INT(Table1[[#This Row],[CohortMonthKey]]/100)) + (MOD(Table1[[#This Row],[OrderMonthKey]],100)-MOD(Table1[[#This Row],[CohortMonthKey]],100))</f>
        <v>21</v>
      </c>
      <c r="H211" s="3" t="str">
        <f>TEXT(Table1[[#This Row],[OrderDate]],"MMM-YYYY")</f>
        <v>Oct-2024</v>
      </c>
      <c r="I211" s="3" t="str">
        <f t="shared" si="9"/>
        <v>Q3-2025</v>
      </c>
      <c r="J211" s="3" t="str">
        <f>IF(Table1[[#This Row],[LeadTimeDays]]&lt;=7,"Yes","No")</f>
        <v>No</v>
      </c>
      <c r="K211" s="3">
        <f>_xlfn.DAYS(Table1[[#This Row],[CorrectedRequiredDate]],Table1[[#This Row],[OrderDate]])</f>
        <v>21</v>
      </c>
      <c r="L211" s="3">
        <f>IF(Table1[[#This Row],[RequiredDate]]&lt;Table1[[#This Row],[OrderDate]],Table1[[#This Row],[OrderDate]],Table1[[#This Row],[RequiredDate]])</f>
        <v>45588</v>
      </c>
      <c r="M211" s="3">
        <v>45588</v>
      </c>
      <c r="N211" t="s">
        <v>646</v>
      </c>
      <c r="O211" t="s">
        <v>661</v>
      </c>
      <c r="P211" t="s">
        <v>687</v>
      </c>
      <c r="Q211" t="s">
        <v>701</v>
      </c>
      <c r="R211" t="s">
        <v>709</v>
      </c>
      <c r="S211" t="s">
        <v>720</v>
      </c>
      <c r="T211" t="s">
        <v>727</v>
      </c>
      <c r="U211" t="s">
        <v>943</v>
      </c>
      <c r="V211" s="8">
        <v>1095.6099999999999</v>
      </c>
      <c r="W211" s="8">
        <v>2366.5100000000002</v>
      </c>
      <c r="X211" s="8">
        <f t="shared" si="10"/>
        <v>815.10700000000008</v>
      </c>
      <c r="Y211" s="8">
        <f t="shared" si="11"/>
        <v>1620.05</v>
      </c>
      <c r="AA211">
        <v>0.152</v>
      </c>
      <c r="AB211">
        <f>IF(Table1[[#This Row],[DiscountPct]]&gt;0.2,1,0)</f>
        <v>0</v>
      </c>
      <c r="AC211" s="6">
        <v>9</v>
      </c>
      <c r="AD211" s="8">
        <f>Table1[[#This Row],[UnitPrice]]*Table1[[#This Row],[Quantity]]</f>
        <v>21298.590000000004</v>
      </c>
      <c r="AE211" s="8">
        <f>Table1[[#This Row],[UnitCost]]*Table1[[#This Row],[Quantity]]</f>
        <v>9860.49</v>
      </c>
      <c r="AF211" s="8">
        <f>Table1[[#This Row],[GrossRevenue]]-Table1[[#This Row],[CostOfGoods]]</f>
        <v>11438.100000000004</v>
      </c>
      <c r="AG211" s="8">
        <f>IF(Table1[[#This Row],[GrossRevenue]]=0,0,Table1[[#This Row],[GrossProfit]]/Table1[[#This Row],[GrossRevenue]])</f>
        <v>0.53703555024064986</v>
      </c>
    </row>
    <row r="212" spans="1:33" x14ac:dyDescent="0.45">
      <c r="A212" t="s">
        <v>225</v>
      </c>
      <c r="B212">
        <v>1</v>
      </c>
      <c r="C212" s="3">
        <v>45852</v>
      </c>
      <c r="D212" s="6">
        <f>YEAR(Table1[[#This Row],[OrderDate]]) * 100 + MONTH(Table1[[#This Row],[OrderDate]])</f>
        <v>202507</v>
      </c>
      <c r="E212" s="6">
        <f>_xlfn.MINIFS(Table1[OrderMonthKey],Table1[Country],Table1[[#This Row],[Country]])</f>
        <v>202301</v>
      </c>
      <c r="F212" s="6">
        <f>Table1[[#This Row],[CountryFirstMonthKey]]</f>
        <v>202301</v>
      </c>
      <c r="G212" s="6">
        <f>12*(INT(Table1[[#This Row],[OrderMonthKey]]/100)-INT(Table1[[#This Row],[CohortMonthKey]]/100)) + (MOD(Table1[[#This Row],[OrderMonthKey]],100)-MOD(Table1[[#This Row],[CohortMonthKey]],100))</f>
        <v>30</v>
      </c>
      <c r="H212" s="3" t="str">
        <f>TEXT(Table1[[#This Row],[OrderDate]],"MMM-YYYY")</f>
        <v>Jul-2025</v>
      </c>
      <c r="I212" s="3" t="str">
        <f t="shared" si="9"/>
        <v>Q4-2024</v>
      </c>
      <c r="J212" s="26" t="str">
        <f>IF(Table1[[#This Row],[LeadTimeDays]]&lt;=7,"Yes","No")</f>
        <v>No</v>
      </c>
      <c r="K212" s="6">
        <f>_xlfn.DAYS(Table1[[#This Row],[CorrectedRequiredDate]],Table1[[#This Row],[OrderDate]])</f>
        <v>21</v>
      </c>
      <c r="L212" s="3">
        <f>IF(Table1[[#This Row],[RequiredDate]]&lt;Table1[[#This Row],[OrderDate]],Table1[[#This Row],[OrderDate]],Table1[[#This Row],[RequiredDate]])</f>
        <v>45873</v>
      </c>
      <c r="M212" s="3">
        <v>45873</v>
      </c>
      <c r="N212" t="s">
        <v>648</v>
      </c>
      <c r="O212" t="s">
        <v>653</v>
      </c>
      <c r="P212" t="s">
        <v>681</v>
      </c>
      <c r="Q212" t="s">
        <v>704</v>
      </c>
      <c r="R212" t="s">
        <v>708</v>
      </c>
      <c r="S212" t="s">
        <v>722</v>
      </c>
      <c r="T212" t="s">
        <v>732</v>
      </c>
      <c r="U212" t="s">
        <v>944</v>
      </c>
      <c r="V212" s="8">
        <v>90.3</v>
      </c>
      <c r="W212" s="8">
        <v>131.76</v>
      </c>
      <c r="X212" s="8">
        <f t="shared" si="10"/>
        <v>815.10700000000008</v>
      </c>
      <c r="Y212" s="8">
        <f t="shared" si="11"/>
        <v>1620.05</v>
      </c>
      <c r="Z212" s="8" t="str">
        <f>IF(W211 &lt;= X210, "Low",IF(W211 &lt;= Y211, "Medium", "High"))</f>
        <v>High</v>
      </c>
      <c r="AA212">
        <v>0.10199999999999999</v>
      </c>
      <c r="AB212">
        <f>IF(Table1[[#This Row],[DiscountPct]]&gt;0.2,1,0)</f>
        <v>0</v>
      </c>
      <c r="AC212" s="6">
        <v>15</v>
      </c>
      <c r="AD212" s="8">
        <f>Table1[[#This Row],[UnitPrice]]*Table1[[#This Row],[Quantity]]</f>
        <v>1976.3999999999999</v>
      </c>
      <c r="AE212" s="8">
        <f>Table1[[#This Row],[UnitCost]]*Table1[[#This Row],[Quantity]]</f>
        <v>1354.5</v>
      </c>
      <c r="AF212" s="8">
        <f>Table1[[#This Row],[GrossRevenue]]-Table1[[#This Row],[CostOfGoods]]</f>
        <v>621.89999999999986</v>
      </c>
      <c r="AG212" s="9">
        <f>IF(Table1[[#This Row],[GrossRevenue]]=0,0,Table1[[#This Row],[GrossProfit]]/Table1[[#This Row],[GrossRevenue]])</f>
        <v>0.31466302367941706</v>
      </c>
    </row>
    <row r="213" spans="1:33" x14ac:dyDescent="0.45">
      <c r="A213" t="s">
        <v>226</v>
      </c>
      <c r="B213">
        <v>1</v>
      </c>
      <c r="C213" s="3">
        <v>45544</v>
      </c>
      <c r="D213" s="6">
        <f>YEAR(Table1[[#This Row],[OrderDate]]) * 100 + MONTH(Table1[[#This Row],[OrderDate]])</f>
        <v>202409</v>
      </c>
      <c r="E213" s="6">
        <f>_xlfn.MINIFS(Table1[OrderMonthKey],Table1[Country],Table1[[#This Row],[Country]])</f>
        <v>202301</v>
      </c>
      <c r="F213" s="6">
        <f>Table1[[#This Row],[CountryFirstMonthKey]]</f>
        <v>202301</v>
      </c>
      <c r="G213" s="6">
        <f>12*(INT(Table1[[#This Row],[OrderMonthKey]]/100)-INT(Table1[[#This Row],[CohortMonthKey]]/100)) + (MOD(Table1[[#This Row],[OrderMonthKey]],100)-MOD(Table1[[#This Row],[CohortMonthKey]],100))</f>
        <v>20</v>
      </c>
      <c r="H213" s="3" t="str">
        <f>TEXT(Table1[[#This Row],[OrderDate]],"MMM-YYYY")</f>
        <v>Sep-2024</v>
      </c>
      <c r="I213" s="3" t="str">
        <f t="shared" si="9"/>
        <v>Q3-2025</v>
      </c>
      <c r="J213" s="26" t="str">
        <f>IF(Table1[[#This Row],[LeadTimeDays]]&lt;=7,"Yes","No")</f>
        <v>No</v>
      </c>
      <c r="K213" s="6">
        <f>_xlfn.DAYS(Table1[[#This Row],[CorrectedRequiredDate]],Table1[[#This Row],[OrderDate]])</f>
        <v>22</v>
      </c>
      <c r="L213" s="3">
        <f>IF(Table1[[#This Row],[RequiredDate]]&lt;Table1[[#This Row],[OrderDate]],Table1[[#This Row],[OrderDate]],Table1[[#This Row],[RequiredDate]])</f>
        <v>45566</v>
      </c>
      <c r="M213" s="3">
        <v>45566</v>
      </c>
      <c r="N213" t="s">
        <v>647</v>
      </c>
      <c r="O213" t="s">
        <v>659</v>
      </c>
      <c r="P213" t="s">
        <v>676</v>
      </c>
      <c r="Q213" t="s">
        <v>704</v>
      </c>
      <c r="R213" t="s">
        <v>711</v>
      </c>
      <c r="S213" t="s">
        <v>716</v>
      </c>
      <c r="T213" t="s">
        <v>728</v>
      </c>
      <c r="U213" t="s">
        <v>945</v>
      </c>
      <c r="V213" s="8">
        <v>1166.18</v>
      </c>
      <c r="W213" s="8">
        <v>1335.02</v>
      </c>
      <c r="X213" s="8">
        <f t="shared" si="10"/>
        <v>815.10700000000008</v>
      </c>
      <c r="Y213" s="8">
        <f t="shared" si="11"/>
        <v>1620.05</v>
      </c>
      <c r="Z213" s="8" t="str">
        <f>IF(W212 &lt;= X211, "Low",IF(W212 &lt;= Y212, "Medium", "High"))</f>
        <v>Low</v>
      </c>
      <c r="AA213">
        <v>0.128</v>
      </c>
      <c r="AB213">
        <f>IF(Table1[[#This Row],[DiscountPct]]&gt;0.2,1,0)</f>
        <v>0</v>
      </c>
      <c r="AC213" s="6">
        <v>6</v>
      </c>
      <c r="AD213" s="8">
        <f>Table1[[#This Row],[UnitPrice]]*Table1[[#This Row],[Quantity]]</f>
        <v>8010.12</v>
      </c>
      <c r="AE213" s="8">
        <f>Table1[[#This Row],[UnitCost]]*Table1[[#This Row],[Quantity]]</f>
        <v>6997.08</v>
      </c>
      <c r="AF213" s="8">
        <f>Table1[[#This Row],[GrossRevenue]]-Table1[[#This Row],[CostOfGoods]]</f>
        <v>1013.04</v>
      </c>
      <c r="AG213" s="9">
        <f>IF(Table1[[#This Row],[GrossRevenue]]=0,0,Table1[[#This Row],[GrossProfit]]/Table1[[#This Row],[GrossRevenue]])</f>
        <v>0.12647001543048045</v>
      </c>
    </row>
    <row r="214" spans="1:33" hidden="1" x14ac:dyDescent="0.45">
      <c r="A214" t="s">
        <v>227</v>
      </c>
      <c r="C214" s="3">
        <v>45686</v>
      </c>
      <c r="D214" s="3">
        <f>YEAR(Table1[[#This Row],[OrderDate]]) * 100 + MONTH(Table1[[#This Row],[OrderDate]])</f>
        <v>202501</v>
      </c>
      <c r="E214" s="3">
        <f>_xlfn.MINIFS(Table1[OrderMonthKey],Table1[Country],Table1[[#This Row],[Country]])</f>
        <v>202301</v>
      </c>
      <c r="F214" s="3">
        <f>Table1[[#This Row],[CountryFirstMonthKey]]</f>
        <v>202301</v>
      </c>
      <c r="G214" s="3">
        <f>12*(INT(Table1[[#This Row],[OrderMonthKey]]/100)-INT(Table1[[#This Row],[CohortMonthKey]]/100)) + (MOD(Table1[[#This Row],[OrderMonthKey]],100)-MOD(Table1[[#This Row],[CohortMonthKey]],100))</f>
        <v>24</v>
      </c>
      <c r="H214" s="3" t="str">
        <f>TEXT(Table1[[#This Row],[OrderDate]],"MMM-YYYY")</f>
        <v>Jan-2025</v>
      </c>
      <c r="I214" s="3" t="str">
        <f t="shared" si="9"/>
        <v>Q3-2024</v>
      </c>
      <c r="J214" s="3" t="str">
        <f>IF(Table1[[#This Row],[LeadTimeDays]]&lt;=7,"Yes","No")</f>
        <v>No</v>
      </c>
      <c r="K214" s="3">
        <f>_xlfn.DAYS(Table1[[#This Row],[CorrectedRequiredDate]],Table1[[#This Row],[OrderDate]])</f>
        <v>8</v>
      </c>
      <c r="L214" s="3">
        <f>IF(Table1[[#This Row],[RequiredDate]]&lt;Table1[[#This Row],[OrderDate]],Table1[[#This Row],[OrderDate]],Table1[[#This Row],[RequiredDate]])</f>
        <v>45694</v>
      </c>
      <c r="M214" s="3">
        <v>45694</v>
      </c>
      <c r="N214" t="s">
        <v>646</v>
      </c>
      <c r="O214" t="s">
        <v>650</v>
      </c>
      <c r="P214" t="s">
        <v>662</v>
      </c>
      <c r="Q214" t="s">
        <v>702</v>
      </c>
      <c r="R214" t="s">
        <v>707</v>
      </c>
      <c r="S214" t="s">
        <v>717</v>
      </c>
      <c r="T214" t="s">
        <v>730</v>
      </c>
      <c r="U214" t="s">
        <v>946</v>
      </c>
      <c r="V214" s="8">
        <v>1445.27</v>
      </c>
      <c r="W214" s="8">
        <v>2691.45</v>
      </c>
      <c r="X214" s="8">
        <f t="shared" si="10"/>
        <v>815.10700000000008</v>
      </c>
      <c r="Y214" s="8">
        <f t="shared" si="11"/>
        <v>1620.05</v>
      </c>
      <c r="AA214">
        <v>0</v>
      </c>
      <c r="AB214">
        <f>IF(Table1[[#This Row],[DiscountPct]]&gt;0.2,1,0)</f>
        <v>0</v>
      </c>
      <c r="AC214" s="6">
        <v>9</v>
      </c>
      <c r="AD214" s="8">
        <f>Table1[[#This Row],[UnitPrice]]*Table1[[#This Row],[Quantity]]</f>
        <v>24223.05</v>
      </c>
      <c r="AE214" s="8">
        <f>Table1[[#This Row],[UnitCost]]*Table1[[#This Row],[Quantity]]</f>
        <v>13007.43</v>
      </c>
      <c r="AF214" s="8">
        <f>Table1[[#This Row],[GrossRevenue]]-Table1[[#This Row],[CostOfGoods]]</f>
        <v>11215.619999999999</v>
      </c>
      <c r="AG214" s="8">
        <f>IF(Table1[[#This Row],[GrossRevenue]]=0,0,Table1[[#This Row],[GrossProfit]]/Table1[[#This Row],[GrossRevenue]])</f>
        <v>0.46301436028906351</v>
      </c>
    </row>
    <row r="215" spans="1:33" x14ac:dyDescent="0.45">
      <c r="A215" t="s">
        <v>228</v>
      </c>
      <c r="B215">
        <v>1</v>
      </c>
      <c r="C215" s="3">
        <v>45240</v>
      </c>
      <c r="D215" s="6">
        <f>YEAR(Table1[[#This Row],[OrderDate]]) * 100 + MONTH(Table1[[#This Row],[OrderDate]])</f>
        <v>202311</v>
      </c>
      <c r="E215" s="6">
        <f>_xlfn.MINIFS(Table1[OrderMonthKey],Table1[Country],Table1[[#This Row],[Country]])</f>
        <v>202301</v>
      </c>
      <c r="F215" s="6">
        <f>Table1[[#This Row],[CountryFirstMonthKey]]</f>
        <v>202301</v>
      </c>
      <c r="G215" s="6">
        <f>12*(INT(Table1[[#This Row],[OrderMonthKey]]/100)-INT(Table1[[#This Row],[CohortMonthKey]]/100)) + (MOD(Table1[[#This Row],[OrderMonthKey]],100)-MOD(Table1[[#This Row],[CohortMonthKey]],100))</f>
        <v>10</v>
      </c>
      <c r="H215" s="3" t="str">
        <f>TEXT(Table1[[#This Row],[OrderDate]],"MMM-YYYY")</f>
        <v>Nov-2023</v>
      </c>
      <c r="I215" s="3" t="str">
        <f t="shared" si="9"/>
        <v>Q1-2025</v>
      </c>
      <c r="J215" s="26" t="str">
        <f>IF(Table1[[#This Row],[LeadTimeDays]]&lt;=7,"Yes","No")</f>
        <v>No</v>
      </c>
      <c r="K215" s="6">
        <f>_xlfn.DAYS(Table1[[#This Row],[CorrectedRequiredDate]],Table1[[#This Row],[OrderDate]])</f>
        <v>18</v>
      </c>
      <c r="L215" s="3">
        <f>IF(Table1[[#This Row],[RequiredDate]]&lt;Table1[[#This Row],[OrderDate]],Table1[[#This Row],[OrderDate]],Table1[[#This Row],[RequiredDate]])</f>
        <v>45258</v>
      </c>
      <c r="M215" s="3">
        <v>45258</v>
      </c>
      <c r="N215" t="s">
        <v>648</v>
      </c>
      <c r="O215" t="s">
        <v>655</v>
      </c>
      <c r="P215" t="s">
        <v>672</v>
      </c>
      <c r="Q215" t="s">
        <v>702</v>
      </c>
      <c r="R215" t="s">
        <v>709</v>
      </c>
      <c r="S215" t="s">
        <v>716</v>
      </c>
      <c r="T215" t="s">
        <v>733</v>
      </c>
      <c r="U215" t="s">
        <v>947</v>
      </c>
      <c r="V215" s="8">
        <v>388.51</v>
      </c>
      <c r="W215" s="8">
        <v>776.46</v>
      </c>
      <c r="X215" s="8">
        <f t="shared" si="10"/>
        <v>815.10700000000008</v>
      </c>
      <c r="Y215" s="8">
        <f t="shared" si="11"/>
        <v>1620.05</v>
      </c>
      <c r="Z215" s="8" t="str">
        <f>IF(W214 &lt;= X213, "Low",IF(W214 &lt;= Y214, "Medium", "High"))</f>
        <v>High</v>
      </c>
      <c r="AA215">
        <v>0.157</v>
      </c>
      <c r="AB215">
        <f>IF(Table1[[#This Row],[DiscountPct]]&gt;0.2,1,0)</f>
        <v>0</v>
      </c>
      <c r="AC215" s="6">
        <v>12</v>
      </c>
      <c r="AD215" s="8">
        <f>Table1[[#This Row],[UnitPrice]]*Table1[[#This Row],[Quantity]]</f>
        <v>9317.52</v>
      </c>
      <c r="AE215" s="8">
        <f>Table1[[#This Row],[UnitCost]]*Table1[[#This Row],[Quantity]]</f>
        <v>4662.12</v>
      </c>
      <c r="AF215" s="8">
        <f>Table1[[#This Row],[GrossRevenue]]-Table1[[#This Row],[CostOfGoods]]</f>
        <v>4655.4000000000005</v>
      </c>
      <c r="AG215" s="9">
        <f>IF(Table1[[#This Row],[GrossRevenue]]=0,0,Table1[[#This Row],[GrossProfit]]/Table1[[#This Row],[GrossRevenue]])</f>
        <v>0.49963938902197153</v>
      </c>
    </row>
    <row r="216" spans="1:33" hidden="1" x14ac:dyDescent="0.45">
      <c r="A216" t="s">
        <v>229</v>
      </c>
      <c r="C216" s="3">
        <v>45351</v>
      </c>
      <c r="D216" s="3">
        <f>YEAR(Table1[[#This Row],[OrderDate]]) * 100 + MONTH(Table1[[#This Row],[OrderDate]])</f>
        <v>202402</v>
      </c>
      <c r="E216" s="3">
        <f>_xlfn.MINIFS(Table1[OrderMonthKey],Table1[Country],Table1[[#This Row],[Country]])</f>
        <v>202303</v>
      </c>
      <c r="F216" s="3">
        <f>Table1[[#This Row],[CountryFirstMonthKey]]</f>
        <v>202303</v>
      </c>
      <c r="G216" s="3">
        <f>12*(INT(Table1[[#This Row],[OrderMonthKey]]/100)-INT(Table1[[#This Row],[CohortMonthKey]]/100)) + (MOD(Table1[[#This Row],[OrderMonthKey]],100)-MOD(Table1[[#This Row],[CohortMonthKey]],100))</f>
        <v>11</v>
      </c>
      <c r="H216" s="3" t="str">
        <f>TEXT(Table1[[#This Row],[OrderDate]],"MMM-YYYY")</f>
        <v>Feb-2024</v>
      </c>
      <c r="I216" s="3" t="str">
        <f t="shared" si="9"/>
        <v>Q4-2023</v>
      </c>
      <c r="J216" s="3" t="str">
        <f>IF(Table1[[#This Row],[LeadTimeDays]]&lt;=7,"Yes","No")</f>
        <v>No</v>
      </c>
      <c r="K216" s="3">
        <f>_xlfn.DAYS(Table1[[#This Row],[CorrectedRequiredDate]],Table1[[#This Row],[OrderDate]])</f>
        <v>30</v>
      </c>
      <c r="L216" s="3">
        <f>IF(Table1[[#This Row],[RequiredDate]]&lt;Table1[[#This Row],[OrderDate]],Table1[[#This Row],[OrderDate]],Table1[[#This Row],[RequiredDate]])</f>
        <v>45381</v>
      </c>
      <c r="M216" s="3">
        <v>45381</v>
      </c>
      <c r="N216" t="s">
        <v>647</v>
      </c>
      <c r="O216" t="s">
        <v>652</v>
      </c>
      <c r="P216" t="s">
        <v>694</v>
      </c>
      <c r="Q216" t="s">
        <v>705</v>
      </c>
      <c r="R216" t="s">
        <v>711</v>
      </c>
      <c r="S216" t="s">
        <v>714</v>
      </c>
      <c r="T216" t="s">
        <v>729</v>
      </c>
      <c r="U216" t="s">
        <v>948</v>
      </c>
      <c r="V216" s="8">
        <v>231.11</v>
      </c>
      <c r="W216" s="8">
        <v>318.17</v>
      </c>
      <c r="X216" s="8">
        <f t="shared" si="10"/>
        <v>815.10700000000008</v>
      </c>
      <c r="Y216" s="8">
        <f t="shared" si="11"/>
        <v>1620.05</v>
      </c>
      <c r="AA216">
        <v>0.20100000000000001</v>
      </c>
      <c r="AB216">
        <f>IF(Table1[[#This Row],[DiscountPct]]&gt;0.2,1,0)</f>
        <v>1</v>
      </c>
      <c r="AC216" s="6">
        <v>60</v>
      </c>
      <c r="AD216" s="8">
        <f>Table1[[#This Row],[UnitPrice]]*Table1[[#This Row],[Quantity]]</f>
        <v>19090.2</v>
      </c>
      <c r="AE216" s="8">
        <f>Table1[[#This Row],[UnitCost]]*Table1[[#This Row],[Quantity]]</f>
        <v>13866.6</v>
      </c>
      <c r="AF216" s="8">
        <f>Table1[[#This Row],[GrossRevenue]]-Table1[[#This Row],[CostOfGoods]]</f>
        <v>5223.6000000000004</v>
      </c>
      <c r="AG216" s="8">
        <f>IF(Table1[[#This Row],[GrossRevenue]]=0,0,Table1[[#This Row],[GrossProfit]]/Table1[[#This Row],[GrossRevenue]])</f>
        <v>0.27362730615708586</v>
      </c>
    </row>
    <row r="217" spans="1:33" x14ac:dyDescent="0.45">
      <c r="A217" t="s">
        <v>230</v>
      </c>
      <c r="B217">
        <v>1</v>
      </c>
      <c r="C217" s="3">
        <v>45280</v>
      </c>
      <c r="D217" s="6">
        <f>YEAR(Table1[[#This Row],[OrderDate]]) * 100 + MONTH(Table1[[#This Row],[OrderDate]])</f>
        <v>202312</v>
      </c>
      <c r="E217" s="6">
        <f>_xlfn.MINIFS(Table1[OrderMonthKey],Table1[Country],Table1[[#This Row],[Country]])</f>
        <v>202302</v>
      </c>
      <c r="F217" s="6">
        <f>Table1[[#This Row],[CountryFirstMonthKey]]</f>
        <v>202302</v>
      </c>
      <c r="G217" s="6">
        <f>12*(INT(Table1[[#This Row],[OrderMonthKey]]/100)-INT(Table1[[#This Row],[CohortMonthKey]]/100)) + (MOD(Table1[[#This Row],[OrderMonthKey]],100)-MOD(Table1[[#This Row],[CohortMonthKey]],100))</f>
        <v>10</v>
      </c>
      <c r="H217" s="3" t="str">
        <f>TEXT(Table1[[#This Row],[OrderDate]],"MMM-YYYY")</f>
        <v>Dec-2023</v>
      </c>
      <c r="I217" s="3" t="str">
        <f t="shared" si="9"/>
        <v>Q1-2024</v>
      </c>
      <c r="J217" s="26" t="str">
        <f>IF(Table1[[#This Row],[LeadTimeDays]]&lt;=7,"Yes","No")</f>
        <v>No</v>
      </c>
      <c r="K217" s="6">
        <f>_xlfn.DAYS(Table1[[#This Row],[CorrectedRequiredDate]],Table1[[#This Row],[OrderDate]])</f>
        <v>25</v>
      </c>
      <c r="L217" s="3">
        <f>IF(Table1[[#This Row],[RequiredDate]]&lt;Table1[[#This Row],[OrderDate]],Table1[[#This Row],[OrderDate]],Table1[[#This Row],[RequiredDate]])</f>
        <v>45305</v>
      </c>
      <c r="M217" s="3">
        <v>45305</v>
      </c>
      <c r="N217" t="s">
        <v>647</v>
      </c>
      <c r="O217" t="s">
        <v>654</v>
      </c>
      <c r="P217" t="s">
        <v>691</v>
      </c>
      <c r="Q217" t="s">
        <v>703</v>
      </c>
      <c r="R217" t="s">
        <v>709</v>
      </c>
      <c r="S217" t="s">
        <v>716</v>
      </c>
      <c r="T217" t="s">
        <v>732</v>
      </c>
      <c r="U217" t="s">
        <v>949</v>
      </c>
      <c r="V217" s="8">
        <v>1085.6099999999999</v>
      </c>
      <c r="W217" s="8">
        <v>1246.4100000000001</v>
      </c>
      <c r="X217" s="8">
        <f t="shared" si="10"/>
        <v>815.10700000000008</v>
      </c>
      <c r="Y217" s="8">
        <f t="shared" si="11"/>
        <v>1620.05</v>
      </c>
      <c r="Z217" s="8" t="str">
        <f>IF(W216 &lt;= X215, "Low",IF(W216 &lt;= Y216, "Medium", "High"))</f>
        <v>Low</v>
      </c>
      <c r="AA217">
        <v>0.113</v>
      </c>
      <c r="AB217">
        <f>IF(Table1[[#This Row],[DiscountPct]]&gt;0.2,1,0)</f>
        <v>0</v>
      </c>
      <c r="AC217" s="6">
        <v>7</v>
      </c>
      <c r="AD217" s="8">
        <f>Table1[[#This Row],[UnitPrice]]*Table1[[#This Row],[Quantity]]</f>
        <v>8724.8700000000008</v>
      </c>
      <c r="AE217" s="8">
        <f>Table1[[#This Row],[UnitCost]]*Table1[[#This Row],[Quantity]]</f>
        <v>7599.2699999999995</v>
      </c>
      <c r="AF217" s="8">
        <f>Table1[[#This Row],[GrossRevenue]]-Table1[[#This Row],[CostOfGoods]]</f>
        <v>1125.6000000000013</v>
      </c>
      <c r="AG217" s="9">
        <f>IF(Table1[[#This Row],[GrossRevenue]]=0,0,Table1[[#This Row],[GrossProfit]]/Table1[[#This Row],[GrossRevenue]])</f>
        <v>0.12901051820829434</v>
      </c>
    </row>
    <row r="218" spans="1:33" hidden="1" x14ac:dyDescent="0.45">
      <c r="A218" t="s">
        <v>231</v>
      </c>
      <c r="C218" s="3">
        <v>44948</v>
      </c>
      <c r="D218" s="3">
        <f>YEAR(Table1[[#This Row],[OrderDate]]) * 100 + MONTH(Table1[[#This Row],[OrderDate]])</f>
        <v>202301</v>
      </c>
      <c r="E218" s="3">
        <f>_xlfn.MINIFS(Table1[OrderMonthKey],Table1[Country],Table1[[#This Row],[Country]])</f>
        <v>202301</v>
      </c>
      <c r="F218" s="3">
        <f>Table1[[#This Row],[CountryFirstMonthKey]]</f>
        <v>202301</v>
      </c>
      <c r="G218" s="3">
        <f>12*(INT(Table1[[#This Row],[OrderMonthKey]]/100)-INT(Table1[[#This Row],[CohortMonthKey]]/100)) + (MOD(Table1[[#This Row],[OrderMonthKey]],100)-MOD(Table1[[#This Row],[CohortMonthKey]],100))</f>
        <v>0</v>
      </c>
      <c r="H218" s="3" t="str">
        <f>TEXT(Table1[[#This Row],[OrderDate]],"MMM-YYYY")</f>
        <v>Jan-2023</v>
      </c>
      <c r="I218" s="3" t="str">
        <f t="shared" si="9"/>
        <v>Q4-2023</v>
      </c>
      <c r="J218" s="3" t="str">
        <f>IF(Table1[[#This Row],[LeadTimeDays]]&lt;=7,"Yes","No")</f>
        <v>Yes</v>
      </c>
      <c r="K218" s="3">
        <f>_xlfn.DAYS(Table1[[#This Row],[CorrectedRequiredDate]],Table1[[#This Row],[OrderDate]])</f>
        <v>0</v>
      </c>
      <c r="L218" s="3">
        <f>IF(Table1[[#This Row],[RequiredDate]]&lt;Table1[[#This Row],[OrderDate]],Table1[[#This Row],[OrderDate]],Table1[[#This Row],[RequiredDate]])</f>
        <v>44948</v>
      </c>
      <c r="M218" s="3">
        <v>44947</v>
      </c>
      <c r="N218" t="s">
        <v>649</v>
      </c>
      <c r="O218" t="s">
        <v>656</v>
      </c>
      <c r="P218" t="s">
        <v>684</v>
      </c>
      <c r="Q218" t="s">
        <v>701</v>
      </c>
      <c r="R218" t="s">
        <v>711</v>
      </c>
      <c r="S218" t="s">
        <v>721</v>
      </c>
      <c r="T218" t="s">
        <v>732</v>
      </c>
      <c r="U218" t="s">
        <v>950</v>
      </c>
      <c r="V218" s="8">
        <v>150.86000000000001</v>
      </c>
      <c r="W218" s="8">
        <v>346.96</v>
      </c>
      <c r="X218" s="8">
        <f t="shared" si="10"/>
        <v>815.10700000000008</v>
      </c>
      <c r="Y218" s="8">
        <f t="shared" si="11"/>
        <v>1620.05</v>
      </c>
      <c r="AA218">
        <v>0.19600000000000001</v>
      </c>
      <c r="AB218">
        <f>IF(Table1[[#This Row],[DiscountPct]]&gt;0.2,1,0)</f>
        <v>0</v>
      </c>
      <c r="AC218" s="6">
        <v>8</v>
      </c>
      <c r="AD218" s="8">
        <f>Table1[[#This Row],[UnitPrice]]*Table1[[#This Row],[Quantity]]</f>
        <v>2775.68</v>
      </c>
      <c r="AE218" s="8">
        <f>Table1[[#This Row],[UnitCost]]*Table1[[#This Row],[Quantity]]</f>
        <v>1206.8800000000001</v>
      </c>
      <c r="AF218" s="8">
        <f>Table1[[#This Row],[GrossRevenue]]-Table1[[#This Row],[CostOfGoods]]</f>
        <v>1568.7999999999997</v>
      </c>
      <c r="AG218" s="8">
        <f>IF(Table1[[#This Row],[GrossRevenue]]=0,0,Table1[[#This Row],[GrossProfit]]/Table1[[#This Row],[GrossRevenue]])</f>
        <v>0.56519483513949731</v>
      </c>
    </row>
    <row r="219" spans="1:33" x14ac:dyDescent="0.45">
      <c r="A219" t="s">
        <v>232</v>
      </c>
      <c r="B219">
        <v>1</v>
      </c>
      <c r="C219" s="3">
        <v>45576</v>
      </c>
      <c r="D219" s="6">
        <f>YEAR(Table1[[#This Row],[OrderDate]]) * 100 + MONTH(Table1[[#This Row],[OrderDate]])</f>
        <v>202410</v>
      </c>
      <c r="E219" s="6">
        <f>_xlfn.MINIFS(Table1[OrderMonthKey],Table1[Country],Table1[[#This Row],[Country]])</f>
        <v>202301</v>
      </c>
      <c r="F219" s="6">
        <f>Table1[[#This Row],[CountryFirstMonthKey]]</f>
        <v>202301</v>
      </c>
      <c r="G219" s="6">
        <f>12*(INT(Table1[[#This Row],[OrderMonthKey]]/100)-INT(Table1[[#This Row],[CohortMonthKey]]/100)) + (MOD(Table1[[#This Row],[OrderMonthKey]],100)-MOD(Table1[[#This Row],[CohortMonthKey]],100))</f>
        <v>21</v>
      </c>
      <c r="H219" s="3" t="str">
        <f>TEXT(Table1[[#This Row],[OrderDate]],"MMM-YYYY")</f>
        <v>Oct-2024</v>
      </c>
      <c r="I219" s="3" t="str">
        <f t="shared" si="9"/>
        <v>Q1-2023</v>
      </c>
      <c r="J219" s="26" t="str">
        <f>IF(Table1[[#This Row],[LeadTimeDays]]&lt;=7,"Yes","No")</f>
        <v>No</v>
      </c>
      <c r="K219" s="6">
        <f>_xlfn.DAYS(Table1[[#This Row],[CorrectedRequiredDate]],Table1[[#This Row],[OrderDate]])</f>
        <v>29</v>
      </c>
      <c r="L219" s="3">
        <f>IF(Table1[[#This Row],[RequiredDate]]&lt;Table1[[#This Row],[OrderDate]],Table1[[#This Row],[OrderDate]],Table1[[#This Row],[RequiredDate]])</f>
        <v>45605</v>
      </c>
      <c r="M219" s="3">
        <v>45605</v>
      </c>
      <c r="N219" t="s">
        <v>647</v>
      </c>
      <c r="O219" t="s">
        <v>659</v>
      </c>
      <c r="P219" t="s">
        <v>685</v>
      </c>
      <c r="Q219" t="s">
        <v>703</v>
      </c>
      <c r="R219" t="s">
        <v>708</v>
      </c>
      <c r="S219" t="s">
        <v>721</v>
      </c>
      <c r="T219" t="s">
        <v>728</v>
      </c>
      <c r="U219" t="s">
        <v>951</v>
      </c>
      <c r="V219" s="8">
        <v>391.64</v>
      </c>
      <c r="W219" s="8">
        <v>504.76</v>
      </c>
      <c r="X219" s="8">
        <f t="shared" si="10"/>
        <v>815.10700000000008</v>
      </c>
      <c r="Y219" s="8">
        <f t="shared" si="11"/>
        <v>1620.05</v>
      </c>
      <c r="Z219" s="8" t="str">
        <f>IF(W218 &lt;= X217, "Low",IF(W218 &lt;= Y218, "Medium", "High"))</f>
        <v>Low</v>
      </c>
      <c r="AA219">
        <v>4.0000000000000001E-3</v>
      </c>
      <c r="AB219">
        <f>IF(Table1[[#This Row],[DiscountPct]]&gt;0.2,1,0)</f>
        <v>0</v>
      </c>
      <c r="AC219" s="6">
        <v>13</v>
      </c>
      <c r="AD219" s="8">
        <f>Table1[[#This Row],[UnitPrice]]*Table1[[#This Row],[Quantity]]</f>
        <v>6561.88</v>
      </c>
      <c r="AE219" s="8">
        <f>Table1[[#This Row],[UnitCost]]*Table1[[#This Row],[Quantity]]</f>
        <v>5091.32</v>
      </c>
      <c r="AF219" s="8">
        <f>Table1[[#This Row],[GrossRevenue]]-Table1[[#This Row],[CostOfGoods]]</f>
        <v>1470.5600000000004</v>
      </c>
      <c r="AG219" s="9">
        <f>IF(Table1[[#This Row],[GrossRevenue]]=0,0,Table1[[#This Row],[GrossProfit]]/Table1[[#This Row],[GrossRevenue]])</f>
        <v>0.22410650606228708</v>
      </c>
    </row>
    <row r="220" spans="1:33" x14ac:dyDescent="0.45">
      <c r="A220" t="s">
        <v>233</v>
      </c>
      <c r="B220">
        <v>1</v>
      </c>
      <c r="C220" s="3">
        <v>45554</v>
      </c>
      <c r="D220" s="6">
        <f>YEAR(Table1[[#This Row],[OrderDate]]) * 100 + MONTH(Table1[[#This Row],[OrderDate]])</f>
        <v>202409</v>
      </c>
      <c r="E220" s="6">
        <f>_xlfn.MINIFS(Table1[OrderMonthKey],Table1[Country],Table1[[#This Row],[Country]])</f>
        <v>202301</v>
      </c>
      <c r="F220" s="6">
        <f>Table1[[#This Row],[CountryFirstMonthKey]]</f>
        <v>202301</v>
      </c>
      <c r="G220" s="6">
        <f>12*(INT(Table1[[#This Row],[OrderMonthKey]]/100)-INT(Table1[[#This Row],[CohortMonthKey]]/100)) + (MOD(Table1[[#This Row],[OrderMonthKey]],100)-MOD(Table1[[#This Row],[CohortMonthKey]],100))</f>
        <v>20</v>
      </c>
      <c r="H220" s="3" t="str">
        <f>TEXT(Table1[[#This Row],[OrderDate]],"MMM-YYYY")</f>
        <v>Sep-2024</v>
      </c>
      <c r="I220" s="3" t="str">
        <f t="shared" si="9"/>
        <v>Q4-2024</v>
      </c>
      <c r="J220" s="26" t="str">
        <f>IF(Table1[[#This Row],[LeadTimeDays]]&lt;=7,"Yes","No")</f>
        <v>No</v>
      </c>
      <c r="K220" s="6">
        <f>_xlfn.DAYS(Table1[[#This Row],[CorrectedRequiredDate]],Table1[[#This Row],[OrderDate]])</f>
        <v>25</v>
      </c>
      <c r="L220" s="3">
        <f>IF(Table1[[#This Row],[RequiredDate]]&lt;Table1[[#This Row],[OrderDate]],Table1[[#This Row],[OrderDate]],Table1[[#This Row],[RequiredDate]])</f>
        <v>45579</v>
      </c>
      <c r="M220" s="3">
        <v>45579</v>
      </c>
      <c r="N220" t="s">
        <v>648</v>
      </c>
      <c r="O220" t="s">
        <v>655</v>
      </c>
      <c r="P220" t="s">
        <v>692</v>
      </c>
      <c r="Q220" t="s">
        <v>705</v>
      </c>
      <c r="R220" t="s">
        <v>707</v>
      </c>
      <c r="S220" t="s">
        <v>723</v>
      </c>
      <c r="T220" t="s">
        <v>728</v>
      </c>
      <c r="U220" t="s">
        <v>952</v>
      </c>
      <c r="V220" s="8">
        <v>386.96</v>
      </c>
      <c r="W220" s="8">
        <v>937.46</v>
      </c>
      <c r="X220" s="8">
        <f t="shared" si="10"/>
        <v>815.10700000000008</v>
      </c>
      <c r="Y220" s="8">
        <f t="shared" si="11"/>
        <v>1620.05</v>
      </c>
      <c r="Z220" s="8" t="str">
        <f>IF(W219 &lt;= X218, "Low",IF(W219 &lt;= Y219, "Medium", "High"))</f>
        <v>Low</v>
      </c>
      <c r="AA220">
        <v>0.26600000000000001</v>
      </c>
      <c r="AB220">
        <f>IF(Table1[[#This Row],[DiscountPct]]&gt;0.2,1,0)</f>
        <v>1</v>
      </c>
      <c r="AC220" s="6">
        <v>41</v>
      </c>
      <c r="AD220" s="8">
        <f>Table1[[#This Row],[UnitPrice]]*Table1[[#This Row],[Quantity]]</f>
        <v>38435.86</v>
      </c>
      <c r="AE220" s="8">
        <f>Table1[[#This Row],[UnitCost]]*Table1[[#This Row],[Quantity]]</f>
        <v>15865.359999999999</v>
      </c>
      <c r="AF220" s="8">
        <f>Table1[[#This Row],[GrossRevenue]]-Table1[[#This Row],[CostOfGoods]]</f>
        <v>22570.5</v>
      </c>
      <c r="AG220" s="9">
        <f>IF(Table1[[#This Row],[GrossRevenue]]=0,0,Table1[[#This Row],[GrossProfit]]/Table1[[#This Row],[GrossRevenue]])</f>
        <v>0.58722505493567723</v>
      </c>
    </row>
    <row r="221" spans="1:33" hidden="1" x14ac:dyDescent="0.45">
      <c r="A221" t="s">
        <v>234</v>
      </c>
      <c r="C221" s="3">
        <v>45894</v>
      </c>
      <c r="D221" s="3">
        <f>YEAR(Table1[[#This Row],[OrderDate]]) * 100 + MONTH(Table1[[#This Row],[OrderDate]])</f>
        <v>202508</v>
      </c>
      <c r="E221" s="3">
        <f>_xlfn.MINIFS(Table1[OrderMonthKey],Table1[Country],Table1[[#This Row],[Country]])</f>
        <v>202301</v>
      </c>
      <c r="F221" s="3">
        <f>Table1[[#This Row],[CountryFirstMonthKey]]</f>
        <v>202301</v>
      </c>
      <c r="G221" s="3">
        <f>12*(INT(Table1[[#This Row],[OrderMonthKey]]/100)-INT(Table1[[#This Row],[CohortMonthKey]]/100)) + (MOD(Table1[[#This Row],[OrderMonthKey]],100)-MOD(Table1[[#This Row],[CohortMonthKey]],100))</f>
        <v>31</v>
      </c>
      <c r="H221" s="3" t="str">
        <f>TEXT(Table1[[#This Row],[OrderDate]],"MMM-YYYY")</f>
        <v>Aug-2025</v>
      </c>
      <c r="I221" s="3" t="str">
        <f t="shared" si="9"/>
        <v>Q3-2024</v>
      </c>
      <c r="J221" s="3" t="str">
        <f>IF(Table1[[#This Row],[LeadTimeDays]]&lt;=7,"Yes","No")</f>
        <v>No</v>
      </c>
      <c r="K221" s="3">
        <f>_xlfn.DAYS(Table1[[#This Row],[CorrectedRequiredDate]],Table1[[#This Row],[OrderDate]])</f>
        <v>30</v>
      </c>
      <c r="L221" s="3">
        <f>IF(Table1[[#This Row],[RequiredDate]]&lt;Table1[[#This Row],[OrderDate]],Table1[[#This Row],[OrderDate]],Table1[[#This Row],[RequiredDate]])</f>
        <v>45924</v>
      </c>
      <c r="M221" s="3">
        <v>45924</v>
      </c>
      <c r="N221" t="s">
        <v>646</v>
      </c>
      <c r="O221" t="s">
        <v>650</v>
      </c>
      <c r="P221" t="s">
        <v>664</v>
      </c>
      <c r="Q221" t="s">
        <v>704</v>
      </c>
      <c r="R221" t="s">
        <v>711</v>
      </c>
      <c r="S221" t="s">
        <v>717</v>
      </c>
      <c r="T221" t="s">
        <v>727</v>
      </c>
      <c r="U221" t="s">
        <v>953</v>
      </c>
      <c r="V221" s="8">
        <v>589.14</v>
      </c>
      <c r="W221" s="8">
        <v>1300.58</v>
      </c>
      <c r="X221" s="8">
        <f t="shared" si="10"/>
        <v>815.10700000000008</v>
      </c>
      <c r="Y221" s="8">
        <f t="shared" si="11"/>
        <v>1620.05</v>
      </c>
      <c r="AA221">
        <v>5.5E-2</v>
      </c>
      <c r="AB221">
        <f>IF(Table1[[#This Row],[DiscountPct]]&gt;0.2,1,0)</f>
        <v>0</v>
      </c>
      <c r="AC221" s="6">
        <v>11</v>
      </c>
      <c r="AD221" s="8">
        <f>Table1[[#This Row],[UnitPrice]]*Table1[[#This Row],[Quantity]]</f>
        <v>14306.38</v>
      </c>
      <c r="AE221" s="8">
        <f>Table1[[#This Row],[UnitCost]]*Table1[[#This Row],[Quantity]]</f>
        <v>6480.54</v>
      </c>
      <c r="AF221" s="8">
        <f>Table1[[#This Row],[GrossRevenue]]-Table1[[#This Row],[CostOfGoods]]</f>
        <v>7825.8399999999992</v>
      </c>
      <c r="AG221" s="8">
        <f>IF(Table1[[#This Row],[GrossRevenue]]=0,0,Table1[[#This Row],[GrossProfit]]/Table1[[#This Row],[GrossRevenue]])</f>
        <v>0.54701748450691223</v>
      </c>
    </row>
    <row r="222" spans="1:33" hidden="1" x14ac:dyDescent="0.45">
      <c r="A222" t="s">
        <v>235</v>
      </c>
      <c r="C222" s="3">
        <v>45194</v>
      </c>
      <c r="D222" s="3">
        <f>YEAR(Table1[[#This Row],[OrderDate]]) * 100 + MONTH(Table1[[#This Row],[OrderDate]])</f>
        <v>202309</v>
      </c>
      <c r="E222" s="3">
        <f>_xlfn.MINIFS(Table1[OrderMonthKey],Table1[Country],Table1[[#This Row],[Country]])</f>
        <v>202301</v>
      </c>
      <c r="F222" s="3">
        <f>Table1[[#This Row],[CountryFirstMonthKey]]</f>
        <v>202301</v>
      </c>
      <c r="G222" s="3">
        <f>12*(INT(Table1[[#This Row],[OrderMonthKey]]/100)-INT(Table1[[#This Row],[CohortMonthKey]]/100)) + (MOD(Table1[[#This Row],[OrderMonthKey]],100)-MOD(Table1[[#This Row],[CohortMonthKey]],100))</f>
        <v>8</v>
      </c>
      <c r="H222" s="3" t="str">
        <f>TEXT(Table1[[#This Row],[OrderDate]],"MMM-YYYY")</f>
        <v>Sep-2023</v>
      </c>
      <c r="I222" s="3" t="str">
        <f t="shared" si="9"/>
        <v>Q3-2025</v>
      </c>
      <c r="J222" s="3" t="str">
        <f>IF(Table1[[#This Row],[LeadTimeDays]]&lt;=7,"Yes","No")</f>
        <v>Yes</v>
      </c>
      <c r="K222" s="3">
        <f>_xlfn.DAYS(Table1[[#This Row],[CorrectedRequiredDate]],Table1[[#This Row],[OrderDate]])</f>
        <v>7</v>
      </c>
      <c r="L222" s="3">
        <f>IF(Table1[[#This Row],[RequiredDate]]&lt;Table1[[#This Row],[OrderDate]],Table1[[#This Row],[OrderDate]],Table1[[#This Row],[RequiredDate]])</f>
        <v>45201</v>
      </c>
      <c r="M222" s="3">
        <v>45201</v>
      </c>
      <c r="N222" t="s">
        <v>648</v>
      </c>
      <c r="O222" t="s">
        <v>660</v>
      </c>
      <c r="P222" t="s">
        <v>700</v>
      </c>
      <c r="Q222" t="s">
        <v>702</v>
      </c>
      <c r="R222" t="s">
        <v>709</v>
      </c>
      <c r="S222" t="s">
        <v>714</v>
      </c>
      <c r="T222" t="s">
        <v>733</v>
      </c>
      <c r="U222" t="s">
        <v>954</v>
      </c>
      <c r="V222" s="8">
        <v>145.58000000000001</v>
      </c>
      <c r="W222" s="8">
        <v>228.15</v>
      </c>
      <c r="X222" s="8">
        <f t="shared" si="10"/>
        <v>815.10700000000008</v>
      </c>
      <c r="Y222" s="8">
        <f t="shared" si="11"/>
        <v>1620.05</v>
      </c>
      <c r="AA222">
        <v>0.20399999999999999</v>
      </c>
      <c r="AB222">
        <f>IF(Table1[[#This Row],[DiscountPct]]&gt;0.2,1,0)</f>
        <v>1</v>
      </c>
      <c r="AC222" s="6">
        <v>5</v>
      </c>
      <c r="AD222" s="8">
        <f>Table1[[#This Row],[UnitPrice]]*Table1[[#This Row],[Quantity]]</f>
        <v>1140.75</v>
      </c>
      <c r="AE222" s="8">
        <f>Table1[[#This Row],[UnitCost]]*Table1[[#This Row],[Quantity]]</f>
        <v>727.90000000000009</v>
      </c>
      <c r="AF222" s="8">
        <f>Table1[[#This Row],[GrossRevenue]]-Table1[[#This Row],[CostOfGoods]]</f>
        <v>412.84999999999991</v>
      </c>
      <c r="AG222" s="8">
        <f>IF(Table1[[#This Row],[GrossRevenue]]=0,0,Table1[[#This Row],[GrossProfit]]/Table1[[#This Row],[GrossRevenue]])</f>
        <v>0.36191102344948489</v>
      </c>
    </row>
    <row r="223" spans="1:33" hidden="1" x14ac:dyDescent="0.45">
      <c r="A223" t="s">
        <v>236</v>
      </c>
      <c r="C223" s="3">
        <v>45164</v>
      </c>
      <c r="D223" s="3">
        <f>YEAR(Table1[[#This Row],[OrderDate]]) * 100 + MONTH(Table1[[#This Row],[OrderDate]])</f>
        <v>202308</v>
      </c>
      <c r="E223" s="3">
        <f>_xlfn.MINIFS(Table1[OrderMonthKey],Table1[Country],Table1[[#This Row],[Country]])</f>
        <v>202301</v>
      </c>
      <c r="F223" s="3">
        <f>Table1[[#This Row],[CountryFirstMonthKey]]</f>
        <v>202301</v>
      </c>
      <c r="G223" s="3">
        <f>12*(INT(Table1[[#This Row],[OrderMonthKey]]/100)-INT(Table1[[#This Row],[CohortMonthKey]]/100)) + (MOD(Table1[[#This Row],[OrderMonthKey]],100)-MOD(Table1[[#This Row],[CohortMonthKey]],100))</f>
        <v>7</v>
      </c>
      <c r="H223" s="3" t="str">
        <f>TEXT(Table1[[#This Row],[OrderDate]],"MMM-YYYY")</f>
        <v>Aug-2023</v>
      </c>
      <c r="I223" s="3" t="str">
        <f t="shared" si="9"/>
        <v>Q3-2023</v>
      </c>
      <c r="J223" s="3" t="str">
        <f>IF(Table1[[#This Row],[LeadTimeDays]]&lt;=7,"Yes","No")</f>
        <v>No</v>
      </c>
      <c r="K223" s="3">
        <f>_xlfn.DAYS(Table1[[#This Row],[CorrectedRequiredDate]],Table1[[#This Row],[OrderDate]])</f>
        <v>15</v>
      </c>
      <c r="L223" s="3">
        <f>IF(Table1[[#This Row],[RequiredDate]]&lt;Table1[[#This Row],[OrderDate]],Table1[[#This Row],[OrderDate]],Table1[[#This Row],[RequiredDate]])</f>
        <v>45179</v>
      </c>
      <c r="M223" s="3">
        <v>45179</v>
      </c>
      <c r="N223" t="s">
        <v>646</v>
      </c>
      <c r="O223" t="s">
        <v>661</v>
      </c>
      <c r="P223" t="s">
        <v>695</v>
      </c>
      <c r="Q223" t="s">
        <v>703</v>
      </c>
      <c r="R223" t="s">
        <v>711</v>
      </c>
      <c r="S223" t="s">
        <v>725</v>
      </c>
      <c r="T223" t="s">
        <v>727</v>
      </c>
      <c r="U223" t="s">
        <v>955</v>
      </c>
      <c r="V223" s="8">
        <v>241.14</v>
      </c>
      <c r="W223" s="8">
        <v>496.52</v>
      </c>
      <c r="X223" s="8">
        <f t="shared" si="10"/>
        <v>815.10700000000008</v>
      </c>
      <c r="Y223" s="8">
        <f t="shared" si="11"/>
        <v>1620.05</v>
      </c>
      <c r="AA223">
        <v>9.2999999999999999E-2</v>
      </c>
      <c r="AB223">
        <f>IF(Table1[[#This Row],[DiscountPct]]&gt;0.2,1,0)</f>
        <v>0</v>
      </c>
      <c r="AC223" s="6">
        <v>10</v>
      </c>
      <c r="AD223" s="8">
        <f>Table1[[#This Row],[UnitPrice]]*Table1[[#This Row],[Quantity]]</f>
        <v>4965.2</v>
      </c>
      <c r="AE223" s="8">
        <f>Table1[[#This Row],[UnitCost]]*Table1[[#This Row],[Quantity]]</f>
        <v>2411.3999999999996</v>
      </c>
      <c r="AF223" s="8">
        <f>Table1[[#This Row],[GrossRevenue]]-Table1[[#This Row],[CostOfGoods]]</f>
        <v>2553.8000000000002</v>
      </c>
      <c r="AG223" s="8">
        <f>IF(Table1[[#This Row],[GrossRevenue]]=0,0,Table1[[#This Row],[GrossProfit]]/Table1[[#This Row],[GrossRevenue]])</f>
        <v>0.51433980504310006</v>
      </c>
    </row>
    <row r="224" spans="1:33" hidden="1" x14ac:dyDescent="0.45">
      <c r="A224" t="s">
        <v>237</v>
      </c>
      <c r="C224" s="3">
        <v>45854</v>
      </c>
      <c r="D224" s="3">
        <f>YEAR(Table1[[#This Row],[OrderDate]]) * 100 + MONTH(Table1[[#This Row],[OrderDate]])</f>
        <v>202507</v>
      </c>
      <c r="E224" s="3">
        <f>_xlfn.MINIFS(Table1[OrderMonthKey],Table1[Country],Table1[[#This Row],[Country]])</f>
        <v>202301</v>
      </c>
      <c r="F224" s="3">
        <f>Table1[[#This Row],[CountryFirstMonthKey]]</f>
        <v>202301</v>
      </c>
      <c r="G224" s="3">
        <f>12*(INT(Table1[[#This Row],[OrderMonthKey]]/100)-INT(Table1[[#This Row],[CohortMonthKey]]/100)) + (MOD(Table1[[#This Row],[OrderMonthKey]],100)-MOD(Table1[[#This Row],[CohortMonthKey]],100))</f>
        <v>30</v>
      </c>
      <c r="H224" s="3" t="str">
        <f>TEXT(Table1[[#This Row],[OrderDate]],"MMM-YYYY")</f>
        <v>Jul-2025</v>
      </c>
      <c r="I224" s="3" t="str">
        <f t="shared" si="9"/>
        <v>Q3-2023</v>
      </c>
      <c r="J224" s="3" t="str">
        <f>IF(Table1[[#This Row],[LeadTimeDays]]&lt;=7,"Yes","No")</f>
        <v>Yes</v>
      </c>
      <c r="K224" s="3">
        <f>_xlfn.DAYS(Table1[[#This Row],[CorrectedRequiredDate]],Table1[[#This Row],[OrderDate]])</f>
        <v>1</v>
      </c>
      <c r="L224" s="3">
        <f>IF(Table1[[#This Row],[RequiredDate]]&lt;Table1[[#This Row],[OrderDate]],Table1[[#This Row],[OrderDate]],Table1[[#This Row],[RequiredDate]])</f>
        <v>45855</v>
      </c>
      <c r="M224" s="3">
        <v>45855</v>
      </c>
      <c r="N224" t="s">
        <v>646</v>
      </c>
      <c r="O224" t="s">
        <v>661</v>
      </c>
      <c r="P224" t="s">
        <v>687</v>
      </c>
      <c r="Q224" t="s">
        <v>705</v>
      </c>
      <c r="R224" t="s">
        <v>710</v>
      </c>
      <c r="S224" t="s">
        <v>717</v>
      </c>
      <c r="T224" t="s">
        <v>729</v>
      </c>
      <c r="U224" t="s">
        <v>956</v>
      </c>
      <c r="V224" s="8">
        <v>1198.9000000000001</v>
      </c>
      <c r="W224" s="8">
        <v>2941.2</v>
      </c>
      <c r="X224" s="8">
        <f t="shared" si="10"/>
        <v>815.10700000000008</v>
      </c>
      <c r="Y224" s="8">
        <f t="shared" si="11"/>
        <v>1620.05</v>
      </c>
      <c r="AA224">
        <v>5.0999999999999997E-2</v>
      </c>
      <c r="AB224">
        <f>IF(Table1[[#This Row],[DiscountPct]]&gt;0.2,1,0)</f>
        <v>0</v>
      </c>
      <c r="AC224" s="6">
        <v>24</v>
      </c>
      <c r="AD224" s="8">
        <f>Table1[[#This Row],[UnitPrice]]*Table1[[#This Row],[Quantity]]</f>
        <v>70588.799999999988</v>
      </c>
      <c r="AE224" s="8">
        <f>Table1[[#This Row],[UnitCost]]*Table1[[#This Row],[Quantity]]</f>
        <v>28773.600000000002</v>
      </c>
      <c r="AF224" s="8">
        <f>Table1[[#This Row],[GrossRevenue]]-Table1[[#This Row],[CostOfGoods]]</f>
        <v>41815.199999999983</v>
      </c>
      <c r="AG224" s="8">
        <f>IF(Table1[[#This Row],[GrossRevenue]]=0,0,Table1[[#This Row],[GrossProfit]]/Table1[[#This Row],[GrossRevenue]])</f>
        <v>0.59237726098191201</v>
      </c>
    </row>
    <row r="225" spans="1:33" x14ac:dyDescent="0.45">
      <c r="A225" t="s">
        <v>238</v>
      </c>
      <c r="B225">
        <v>1</v>
      </c>
      <c r="C225" s="3">
        <v>45035</v>
      </c>
      <c r="D225" s="6">
        <f>YEAR(Table1[[#This Row],[OrderDate]]) * 100 + MONTH(Table1[[#This Row],[OrderDate]])</f>
        <v>202304</v>
      </c>
      <c r="E225" s="6">
        <f>_xlfn.MINIFS(Table1[OrderMonthKey],Table1[Country],Table1[[#This Row],[Country]])</f>
        <v>202301</v>
      </c>
      <c r="F225" s="6">
        <f>Table1[[#This Row],[CountryFirstMonthKey]]</f>
        <v>202301</v>
      </c>
      <c r="G225" s="6">
        <f>12*(INT(Table1[[#This Row],[OrderMonthKey]]/100)-INT(Table1[[#This Row],[CohortMonthKey]]/100)) + (MOD(Table1[[#This Row],[OrderMonthKey]],100)-MOD(Table1[[#This Row],[CohortMonthKey]],100))</f>
        <v>3</v>
      </c>
      <c r="H225" s="3" t="str">
        <f>TEXT(Table1[[#This Row],[OrderDate]],"MMM-YYYY")</f>
        <v>Apr-2023</v>
      </c>
      <c r="I225" s="3" t="str">
        <f t="shared" si="9"/>
        <v>Q3-2025</v>
      </c>
      <c r="J225" s="26" t="str">
        <f>IF(Table1[[#This Row],[LeadTimeDays]]&lt;=7,"Yes","No")</f>
        <v>No</v>
      </c>
      <c r="K225" s="6">
        <f>_xlfn.DAYS(Table1[[#This Row],[CorrectedRequiredDate]],Table1[[#This Row],[OrderDate]])</f>
        <v>18</v>
      </c>
      <c r="L225" s="3">
        <f>IF(Table1[[#This Row],[RequiredDate]]&lt;Table1[[#This Row],[OrderDate]],Table1[[#This Row],[OrderDate]],Table1[[#This Row],[RequiredDate]])</f>
        <v>45053</v>
      </c>
      <c r="M225" s="3">
        <v>45053</v>
      </c>
      <c r="N225" t="s">
        <v>649</v>
      </c>
      <c r="O225" t="s">
        <v>658</v>
      </c>
      <c r="P225" t="s">
        <v>674</v>
      </c>
      <c r="Q225" t="s">
        <v>706</v>
      </c>
      <c r="R225" t="s">
        <v>707</v>
      </c>
      <c r="S225" t="s">
        <v>725</v>
      </c>
      <c r="T225" t="s">
        <v>731</v>
      </c>
      <c r="U225" t="s">
        <v>957</v>
      </c>
      <c r="V225" s="8">
        <v>1089.1500000000001</v>
      </c>
      <c r="W225" s="8">
        <v>1088.2</v>
      </c>
      <c r="X225" s="8">
        <f t="shared" si="10"/>
        <v>815.10700000000008</v>
      </c>
      <c r="Y225" s="8">
        <f t="shared" si="11"/>
        <v>1620.05</v>
      </c>
      <c r="Z225" s="8" t="str">
        <f>IF(W224 &lt;= X223, "Low",IF(W224 &lt;= Y224, "Medium", "High"))</f>
        <v>High</v>
      </c>
      <c r="AA225">
        <v>5.0999999999999997E-2</v>
      </c>
      <c r="AB225">
        <f>IF(Table1[[#This Row],[DiscountPct]]&gt;0.2,1,0)</f>
        <v>0</v>
      </c>
      <c r="AC225" s="6">
        <v>15</v>
      </c>
      <c r="AD225" s="8">
        <f>Table1[[#This Row],[UnitPrice]]*Table1[[#This Row],[Quantity]]</f>
        <v>16323</v>
      </c>
      <c r="AE225" s="8">
        <f>Table1[[#This Row],[UnitCost]]*Table1[[#This Row],[Quantity]]</f>
        <v>16337.250000000002</v>
      </c>
      <c r="AF225" s="8">
        <f>Table1[[#This Row],[GrossRevenue]]-Table1[[#This Row],[CostOfGoods]]</f>
        <v>-14.250000000001819</v>
      </c>
      <c r="AG225" s="9">
        <f>IF(Table1[[#This Row],[GrossRevenue]]=0,0,Table1[[#This Row],[GrossProfit]]/Table1[[#This Row],[GrossRevenue]])</f>
        <v>-8.7300128652832319E-4</v>
      </c>
    </row>
    <row r="226" spans="1:33" x14ac:dyDescent="0.45">
      <c r="A226" t="s">
        <v>239</v>
      </c>
      <c r="B226">
        <v>1</v>
      </c>
      <c r="C226" s="3">
        <v>45279</v>
      </c>
      <c r="D226" s="6">
        <f>YEAR(Table1[[#This Row],[OrderDate]]) * 100 + MONTH(Table1[[#This Row],[OrderDate]])</f>
        <v>202312</v>
      </c>
      <c r="E226" s="6">
        <f>_xlfn.MINIFS(Table1[OrderMonthKey],Table1[Country],Table1[[#This Row],[Country]])</f>
        <v>202301</v>
      </c>
      <c r="F226" s="6">
        <f>Table1[[#This Row],[CountryFirstMonthKey]]</f>
        <v>202301</v>
      </c>
      <c r="G226" s="6">
        <f>12*(INT(Table1[[#This Row],[OrderMonthKey]]/100)-INT(Table1[[#This Row],[CohortMonthKey]]/100)) + (MOD(Table1[[#This Row],[OrderMonthKey]],100)-MOD(Table1[[#This Row],[CohortMonthKey]],100))</f>
        <v>11</v>
      </c>
      <c r="H226" s="3" t="str">
        <f>TEXT(Table1[[#This Row],[OrderDate]],"MMM-YYYY")</f>
        <v>Dec-2023</v>
      </c>
      <c r="I226" s="3" t="str">
        <f t="shared" si="9"/>
        <v>Q2-2023</v>
      </c>
      <c r="J226" s="26" t="str">
        <f>IF(Table1[[#This Row],[LeadTimeDays]]&lt;=7,"Yes","No")</f>
        <v>Yes</v>
      </c>
      <c r="K226" s="6">
        <f>_xlfn.DAYS(Table1[[#This Row],[CorrectedRequiredDate]],Table1[[#This Row],[OrderDate]])</f>
        <v>1</v>
      </c>
      <c r="L226" s="3">
        <f>IF(Table1[[#This Row],[RequiredDate]]&lt;Table1[[#This Row],[OrderDate]],Table1[[#This Row],[OrderDate]],Table1[[#This Row],[RequiredDate]])</f>
        <v>45280</v>
      </c>
      <c r="M226" s="3">
        <v>45280</v>
      </c>
      <c r="N226" t="s">
        <v>648</v>
      </c>
      <c r="O226" t="s">
        <v>655</v>
      </c>
      <c r="P226" t="s">
        <v>692</v>
      </c>
      <c r="Q226" t="s">
        <v>704</v>
      </c>
      <c r="R226" t="s">
        <v>710</v>
      </c>
      <c r="S226" t="s">
        <v>713</v>
      </c>
      <c r="T226" t="s">
        <v>730</v>
      </c>
      <c r="U226" t="s">
        <v>958</v>
      </c>
      <c r="V226" s="8">
        <v>1080.43</v>
      </c>
      <c r="W226" s="8">
        <v>2529.15</v>
      </c>
      <c r="X226" s="8">
        <f t="shared" si="10"/>
        <v>815.10700000000008</v>
      </c>
      <c r="Y226" s="8">
        <f t="shared" si="11"/>
        <v>1620.05</v>
      </c>
      <c r="Z226" s="8" t="str">
        <f>IF(W225 &lt;= X224, "Low",IF(W225 &lt;= Y225, "Medium", "High"))</f>
        <v>Medium</v>
      </c>
      <c r="AA226">
        <v>0.14699999999999999</v>
      </c>
      <c r="AB226">
        <f>IF(Table1[[#This Row],[DiscountPct]]&gt;0.2,1,0)</f>
        <v>0</v>
      </c>
      <c r="AC226" s="6">
        <v>10</v>
      </c>
      <c r="AD226" s="8">
        <f>Table1[[#This Row],[UnitPrice]]*Table1[[#This Row],[Quantity]]</f>
        <v>25291.5</v>
      </c>
      <c r="AE226" s="8">
        <f>Table1[[#This Row],[UnitCost]]*Table1[[#This Row],[Quantity]]</f>
        <v>10804.300000000001</v>
      </c>
      <c r="AF226" s="8">
        <f>Table1[[#This Row],[GrossRevenue]]-Table1[[#This Row],[CostOfGoods]]</f>
        <v>14487.199999999999</v>
      </c>
      <c r="AG226" s="9">
        <f>IF(Table1[[#This Row],[GrossRevenue]]=0,0,Table1[[#This Row],[GrossProfit]]/Table1[[#This Row],[GrossRevenue]])</f>
        <v>0.57280904651760467</v>
      </c>
    </row>
    <row r="227" spans="1:33" hidden="1" x14ac:dyDescent="0.45">
      <c r="A227" t="s">
        <v>240</v>
      </c>
      <c r="C227" s="3">
        <v>45137</v>
      </c>
      <c r="D227" s="3">
        <f>YEAR(Table1[[#This Row],[OrderDate]]) * 100 + MONTH(Table1[[#This Row],[OrderDate]])</f>
        <v>202307</v>
      </c>
      <c r="E227" s="3">
        <f>_xlfn.MINIFS(Table1[OrderMonthKey],Table1[Country],Table1[[#This Row],[Country]])</f>
        <v>202303</v>
      </c>
      <c r="F227" s="3">
        <f>Table1[[#This Row],[CountryFirstMonthKey]]</f>
        <v>202303</v>
      </c>
      <c r="G227" s="3">
        <f>12*(INT(Table1[[#This Row],[OrderMonthKey]]/100)-INT(Table1[[#This Row],[CohortMonthKey]]/100)) + (MOD(Table1[[#This Row],[OrderMonthKey]],100)-MOD(Table1[[#This Row],[CohortMonthKey]],100))</f>
        <v>4</v>
      </c>
      <c r="H227" s="3" t="str">
        <f>TEXT(Table1[[#This Row],[OrderDate]],"MMM-YYYY")</f>
        <v>Jul-2023</v>
      </c>
      <c r="I227" s="3" t="str">
        <f t="shared" si="9"/>
        <v>Q4-2023</v>
      </c>
      <c r="J227" s="3" t="str">
        <f>IF(Table1[[#This Row],[LeadTimeDays]]&lt;=7,"Yes","No")</f>
        <v>No</v>
      </c>
      <c r="K227" s="3">
        <f>_xlfn.DAYS(Table1[[#This Row],[CorrectedRequiredDate]],Table1[[#This Row],[OrderDate]])</f>
        <v>8</v>
      </c>
      <c r="L227" s="3">
        <f>IF(Table1[[#This Row],[RequiredDate]]&lt;Table1[[#This Row],[OrderDate]],Table1[[#This Row],[OrderDate]],Table1[[#This Row],[RequiredDate]])</f>
        <v>45145</v>
      </c>
      <c r="M227" s="3">
        <v>45145</v>
      </c>
      <c r="N227" t="s">
        <v>647</v>
      </c>
      <c r="O227" t="s">
        <v>652</v>
      </c>
      <c r="P227" t="s">
        <v>694</v>
      </c>
      <c r="Q227" t="s">
        <v>702</v>
      </c>
      <c r="R227" t="s">
        <v>709</v>
      </c>
      <c r="S227" t="s">
        <v>720</v>
      </c>
      <c r="T227" t="s">
        <v>729</v>
      </c>
      <c r="U227" t="s">
        <v>959</v>
      </c>
      <c r="V227" s="8">
        <v>1352.44</v>
      </c>
      <c r="W227" s="8">
        <v>2698.01</v>
      </c>
      <c r="X227" s="8">
        <f t="shared" si="10"/>
        <v>815.10700000000008</v>
      </c>
      <c r="Y227" s="8">
        <f t="shared" si="11"/>
        <v>1620.05</v>
      </c>
      <c r="AA227">
        <v>0.13100000000000001</v>
      </c>
      <c r="AB227">
        <f>IF(Table1[[#This Row],[DiscountPct]]&gt;0.2,1,0)</f>
        <v>0</v>
      </c>
      <c r="AC227" s="6">
        <v>13</v>
      </c>
      <c r="AD227" s="8">
        <f>Table1[[#This Row],[UnitPrice]]*Table1[[#This Row],[Quantity]]</f>
        <v>35074.130000000005</v>
      </c>
      <c r="AE227" s="8">
        <f>Table1[[#This Row],[UnitCost]]*Table1[[#This Row],[Quantity]]</f>
        <v>17581.72</v>
      </c>
      <c r="AF227" s="8">
        <f>Table1[[#This Row],[GrossRevenue]]-Table1[[#This Row],[CostOfGoods]]</f>
        <v>17492.410000000003</v>
      </c>
      <c r="AG227" s="8">
        <f>IF(Table1[[#This Row],[GrossRevenue]]=0,0,Table1[[#This Row],[GrossProfit]]/Table1[[#This Row],[GrossRevenue]])</f>
        <v>0.49872683941126983</v>
      </c>
    </row>
    <row r="228" spans="1:33" hidden="1" x14ac:dyDescent="0.45">
      <c r="A228" t="s">
        <v>241</v>
      </c>
      <c r="C228" s="3">
        <v>45203</v>
      </c>
      <c r="D228" s="3">
        <f>YEAR(Table1[[#This Row],[OrderDate]]) * 100 + MONTH(Table1[[#This Row],[OrderDate]])</f>
        <v>202310</v>
      </c>
      <c r="E228" s="3">
        <f>_xlfn.MINIFS(Table1[OrderMonthKey],Table1[Country],Table1[[#This Row],[Country]])</f>
        <v>202301</v>
      </c>
      <c r="F228" s="3">
        <f>Table1[[#This Row],[CountryFirstMonthKey]]</f>
        <v>202301</v>
      </c>
      <c r="G228" s="3">
        <f>12*(INT(Table1[[#This Row],[OrderMonthKey]]/100)-INT(Table1[[#This Row],[CohortMonthKey]]/100)) + (MOD(Table1[[#This Row],[OrderMonthKey]],100)-MOD(Table1[[#This Row],[CohortMonthKey]],100))</f>
        <v>9</v>
      </c>
      <c r="H228" s="3" t="str">
        <f>TEXT(Table1[[#This Row],[OrderDate]],"MMM-YYYY")</f>
        <v>Oct-2023</v>
      </c>
      <c r="I228" s="3" t="str">
        <f t="shared" si="9"/>
        <v>Q3-2023</v>
      </c>
      <c r="J228" s="3" t="str">
        <f>IF(Table1[[#This Row],[LeadTimeDays]]&lt;=7,"Yes","No")</f>
        <v>No</v>
      </c>
      <c r="K228" s="3">
        <f>_xlfn.DAYS(Table1[[#This Row],[CorrectedRequiredDate]],Table1[[#This Row],[OrderDate]])</f>
        <v>25</v>
      </c>
      <c r="L228" s="3">
        <f>IF(Table1[[#This Row],[RequiredDate]]&lt;Table1[[#This Row],[OrderDate]],Table1[[#This Row],[OrderDate]],Table1[[#This Row],[RequiredDate]])</f>
        <v>45228</v>
      </c>
      <c r="M228" s="3">
        <v>45228</v>
      </c>
      <c r="N228" t="s">
        <v>648</v>
      </c>
      <c r="O228" t="s">
        <v>660</v>
      </c>
      <c r="P228" t="s">
        <v>686</v>
      </c>
      <c r="Q228" t="s">
        <v>705</v>
      </c>
      <c r="R228" t="s">
        <v>710</v>
      </c>
      <c r="S228" t="s">
        <v>719</v>
      </c>
      <c r="T228" t="s">
        <v>733</v>
      </c>
      <c r="U228" t="s">
        <v>960</v>
      </c>
      <c r="V228" s="8">
        <v>1239.8399999999999</v>
      </c>
      <c r="W228" s="8">
        <v>1482.75</v>
      </c>
      <c r="X228" s="8">
        <f t="shared" si="10"/>
        <v>815.10700000000008</v>
      </c>
      <c r="Y228" s="8">
        <f t="shared" si="11"/>
        <v>1620.05</v>
      </c>
      <c r="AA228">
        <v>6.7000000000000004E-2</v>
      </c>
      <c r="AB228">
        <f>IF(Table1[[#This Row],[DiscountPct]]&gt;0.2,1,0)</f>
        <v>0</v>
      </c>
      <c r="AC228" s="6">
        <v>4</v>
      </c>
      <c r="AD228" s="8">
        <f>Table1[[#This Row],[UnitPrice]]*Table1[[#This Row],[Quantity]]</f>
        <v>5931</v>
      </c>
      <c r="AE228" s="8">
        <f>Table1[[#This Row],[UnitCost]]*Table1[[#This Row],[Quantity]]</f>
        <v>4959.3599999999997</v>
      </c>
      <c r="AF228" s="8">
        <f>Table1[[#This Row],[GrossRevenue]]-Table1[[#This Row],[CostOfGoods]]</f>
        <v>971.64000000000033</v>
      </c>
      <c r="AG228" s="8">
        <f>IF(Table1[[#This Row],[GrossRevenue]]=0,0,Table1[[#This Row],[GrossProfit]]/Table1[[#This Row],[GrossRevenue]])</f>
        <v>0.16382397572078913</v>
      </c>
    </row>
    <row r="229" spans="1:33" hidden="1" x14ac:dyDescent="0.45">
      <c r="A229" t="s">
        <v>242</v>
      </c>
      <c r="C229" s="3">
        <v>45879</v>
      </c>
      <c r="D229" s="3">
        <f>YEAR(Table1[[#This Row],[OrderDate]]) * 100 + MONTH(Table1[[#This Row],[OrderDate]])</f>
        <v>202508</v>
      </c>
      <c r="E229" s="3">
        <f>_xlfn.MINIFS(Table1[OrderMonthKey],Table1[Country],Table1[[#This Row],[Country]])</f>
        <v>202301</v>
      </c>
      <c r="F229" s="3">
        <f>Table1[[#This Row],[CountryFirstMonthKey]]</f>
        <v>202301</v>
      </c>
      <c r="G229" s="3">
        <f>12*(INT(Table1[[#This Row],[OrderMonthKey]]/100)-INT(Table1[[#This Row],[CohortMonthKey]]/100)) + (MOD(Table1[[#This Row],[OrderMonthKey]],100)-MOD(Table1[[#This Row],[CohortMonthKey]],100))</f>
        <v>31</v>
      </c>
      <c r="H229" s="3" t="str">
        <f>TEXT(Table1[[#This Row],[OrderDate]],"MMM-YYYY")</f>
        <v>Aug-2025</v>
      </c>
      <c r="I229" s="3" t="str">
        <f t="shared" si="9"/>
        <v>Q4-2023</v>
      </c>
      <c r="J229" s="3" t="str">
        <f>IF(Table1[[#This Row],[LeadTimeDays]]&lt;=7,"Yes","No")</f>
        <v>No</v>
      </c>
      <c r="K229" s="3">
        <f>_xlfn.DAYS(Table1[[#This Row],[CorrectedRequiredDate]],Table1[[#This Row],[OrderDate]])</f>
        <v>20</v>
      </c>
      <c r="L229" s="3">
        <f>IF(Table1[[#This Row],[RequiredDate]]&lt;Table1[[#This Row],[OrderDate]],Table1[[#This Row],[OrderDate]],Table1[[#This Row],[RequiredDate]])</f>
        <v>45899</v>
      </c>
      <c r="M229" s="3">
        <v>45899</v>
      </c>
      <c r="N229" t="s">
        <v>648</v>
      </c>
      <c r="O229" t="s">
        <v>660</v>
      </c>
      <c r="P229" t="s">
        <v>686</v>
      </c>
      <c r="Q229" t="s">
        <v>701</v>
      </c>
      <c r="R229" t="s">
        <v>709</v>
      </c>
      <c r="S229" t="s">
        <v>723</v>
      </c>
      <c r="T229" t="s">
        <v>728</v>
      </c>
      <c r="U229" t="s">
        <v>961</v>
      </c>
      <c r="V229" s="8">
        <v>933.29</v>
      </c>
      <c r="W229" s="8">
        <v>1456.81</v>
      </c>
      <c r="X229" s="8">
        <f t="shared" si="10"/>
        <v>815.10700000000008</v>
      </c>
      <c r="Y229" s="8">
        <f t="shared" si="11"/>
        <v>1620.05</v>
      </c>
      <c r="AA229">
        <v>0.123</v>
      </c>
      <c r="AB229">
        <f>IF(Table1[[#This Row],[DiscountPct]]&gt;0.2,1,0)</f>
        <v>0</v>
      </c>
      <c r="AC229" s="6">
        <v>13</v>
      </c>
      <c r="AD229" s="8">
        <f>Table1[[#This Row],[UnitPrice]]*Table1[[#This Row],[Quantity]]</f>
        <v>18938.53</v>
      </c>
      <c r="AE229" s="8">
        <f>Table1[[#This Row],[UnitCost]]*Table1[[#This Row],[Quantity]]</f>
        <v>12132.77</v>
      </c>
      <c r="AF229" s="8">
        <f>Table1[[#This Row],[GrossRevenue]]-Table1[[#This Row],[CostOfGoods]]</f>
        <v>6805.7599999999984</v>
      </c>
      <c r="AG229" s="8">
        <f>IF(Table1[[#This Row],[GrossRevenue]]=0,0,Table1[[#This Row],[GrossProfit]]/Table1[[#This Row],[GrossRevenue]])</f>
        <v>0.35936052058950713</v>
      </c>
    </row>
    <row r="230" spans="1:33" hidden="1" x14ac:dyDescent="0.45">
      <c r="A230" t="s">
        <v>243</v>
      </c>
      <c r="C230" s="3">
        <v>44992</v>
      </c>
      <c r="D230" s="3">
        <f>YEAR(Table1[[#This Row],[OrderDate]]) * 100 + MONTH(Table1[[#This Row],[OrderDate]])</f>
        <v>202303</v>
      </c>
      <c r="E230" s="3">
        <f>_xlfn.MINIFS(Table1[OrderMonthKey],Table1[Country],Table1[[#This Row],[Country]])</f>
        <v>202301</v>
      </c>
      <c r="F230" s="3">
        <f>Table1[[#This Row],[CountryFirstMonthKey]]</f>
        <v>202301</v>
      </c>
      <c r="G230" s="3">
        <f>12*(INT(Table1[[#This Row],[OrderMonthKey]]/100)-INT(Table1[[#This Row],[CohortMonthKey]]/100)) + (MOD(Table1[[#This Row],[OrderMonthKey]],100)-MOD(Table1[[#This Row],[CohortMonthKey]],100))</f>
        <v>2</v>
      </c>
      <c r="H230" s="3" t="str">
        <f>TEXT(Table1[[#This Row],[OrderDate]],"MMM-YYYY")</f>
        <v>Mar-2023</v>
      </c>
      <c r="I230" s="3" t="str">
        <f t="shared" si="9"/>
        <v>Q3-2025</v>
      </c>
      <c r="J230" s="3" t="str">
        <f>IF(Table1[[#This Row],[LeadTimeDays]]&lt;=7,"Yes","No")</f>
        <v>No</v>
      </c>
      <c r="K230" s="3">
        <f>_xlfn.DAYS(Table1[[#This Row],[CorrectedRequiredDate]],Table1[[#This Row],[OrderDate]])</f>
        <v>25</v>
      </c>
      <c r="L230" s="3">
        <f>IF(Table1[[#This Row],[RequiredDate]]&lt;Table1[[#This Row],[OrderDate]],Table1[[#This Row],[OrderDate]],Table1[[#This Row],[RequiredDate]])</f>
        <v>45017</v>
      </c>
      <c r="M230" s="3">
        <v>45017</v>
      </c>
      <c r="N230" t="s">
        <v>646</v>
      </c>
      <c r="O230" t="s">
        <v>650</v>
      </c>
      <c r="P230" t="s">
        <v>664</v>
      </c>
      <c r="Q230" t="s">
        <v>704</v>
      </c>
      <c r="R230" t="s">
        <v>709</v>
      </c>
      <c r="S230" t="s">
        <v>726</v>
      </c>
      <c r="T230" t="s">
        <v>728</v>
      </c>
      <c r="U230" t="s">
        <v>962</v>
      </c>
      <c r="V230" s="8">
        <v>1024.0999999999999</v>
      </c>
      <c r="W230" s="8">
        <v>918.19</v>
      </c>
      <c r="X230" s="8">
        <f t="shared" si="10"/>
        <v>815.10700000000008</v>
      </c>
      <c r="Y230" s="8">
        <f t="shared" si="11"/>
        <v>1620.05</v>
      </c>
      <c r="AA230">
        <v>0.189</v>
      </c>
      <c r="AB230">
        <f>IF(Table1[[#This Row],[DiscountPct]]&gt;0.2,1,0)</f>
        <v>0</v>
      </c>
      <c r="AC230" s="6">
        <v>10</v>
      </c>
      <c r="AD230" s="8">
        <f>Table1[[#This Row],[UnitPrice]]*Table1[[#This Row],[Quantity]]</f>
        <v>9181.9000000000015</v>
      </c>
      <c r="AE230" s="8">
        <f>Table1[[#This Row],[UnitCost]]*Table1[[#This Row],[Quantity]]</f>
        <v>10241</v>
      </c>
      <c r="AF230" s="8">
        <f>Table1[[#This Row],[GrossRevenue]]-Table1[[#This Row],[CostOfGoods]]</f>
        <v>-1059.0999999999985</v>
      </c>
      <c r="AG230" s="8">
        <f>IF(Table1[[#This Row],[GrossRevenue]]=0,0,Table1[[#This Row],[GrossProfit]]/Table1[[#This Row],[GrossRevenue]])</f>
        <v>-0.11534649691240358</v>
      </c>
    </row>
    <row r="231" spans="1:33" x14ac:dyDescent="0.45">
      <c r="A231" t="s">
        <v>244</v>
      </c>
      <c r="B231">
        <v>1</v>
      </c>
      <c r="C231" s="3">
        <v>45069</v>
      </c>
      <c r="D231" s="6">
        <f>YEAR(Table1[[#This Row],[OrderDate]]) * 100 + MONTH(Table1[[#This Row],[OrderDate]])</f>
        <v>202305</v>
      </c>
      <c r="E231" s="6">
        <f>_xlfn.MINIFS(Table1[OrderMonthKey],Table1[Country],Table1[[#This Row],[Country]])</f>
        <v>202301</v>
      </c>
      <c r="F231" s="6">
        <f>Table1[[#This Row],[CountryFirstMonthKey]]</f>
        <v>202301</v>
      </c>
      <c r="G231" s="6">
        <f>12*(INT(Table1[[#This Row],[OrderMonthKey]]/100)-INT(Table1[[#This Row],[CohortMonthKey]]/100)) + (MOD(Table1[[#This Row],[OrderMonthKey]],100)-MOD(Table1[[#This Row],[CohortMonthKey]],100))</f>
        <v>4</v>
      </c>
      <c r="H231" s="3" t="str">
        <f>TEXT(Table1[[#This Row],[OrderDate]],"MMM-YYYY")</f>
        <v>May-2023</v>
      </c>
      <c r="I231" s="3" t="str">
        <f t="shared" si="9"/>
        <v>Q1-2023</v>
      </c>
      <c r="J231" s="26" t="str">
        <f>IF(Table1[[#This Row],[LeadTimeDays]]&lt;=7,"Yes","No")</f>
        <v>No</v>
      </c>
      <c r="K231" s="6">
        <f>_xlfn.DAYS(Table1[[#This Row],[CorrectedRequiredDate]],Table1[[#This Row],[OrderDate]])</f>
        <v>18</v>
      </c>
      <c r="L231" s="3">
        <f>IF(Table1[[#This Row],[RequiredDate]]&lt;Table1[[#This Row],[OrderDate]],Table1[[#This Row],[OrderDate]],Table1[[#This Row],[RequiredDate]])</f>
        <v>45087</v>
      </c>
      <c r="M231" s="3">
        <v>45087</v>
      </c>
      <c r="N231" t="s">
        <v>647</v>
      </c>
      <c r="O231" t="s">
        <v>659</v>
      </c>
      <c r="P231" t="s">
        <v>685</v>
      </c>
      <c r="Q231" t="s">
        <v>701</v>
      </c>
      <c r="R231" t="s">
        <v>710</v>
      </c>
      <c r="S231" t="s">
        <v>718</v>
      </c>
      <c r="T231" t="s">
        <v>727</v>
      </c>
      <c r="U231" t="s">
        <v>963</v>
      </c>
      <c r="V231" s="8">
        <v>54.62</v>
      </c>
      <c r="W231" s="8">
        <v>48.94</v>
      </c>
      <c r="X231" s="8">
        <f t="shared" si="10"/>
        <v>815.10700000000008</v>
      </c>
      <c r="Y231" s="8">
        <f t="shared" si="11"/>
        <v>1620.05</v>
      </c>
      <c r="Z231" s="8" t="str">
        <f>IF(W230 &lt;= X229, "Low",IF(W230 &lt;= Y230, "Medium", "High"))</f>
        <v>Medium</v>
      </c>
      <c r="AA231">
        <v>0.14799999999999999</v>
      </c>
      <c r="AB231">
        <f>IF(Table1[[#This Row],[DiscountPct]]&gt;0.2,1,0)</f>
        <v>0</v>
      </c>
      <c r="AC231" s="6">
        <v>16</v>
      </c>
      <c r="AD231" s="8">
        <f>Table1[[#This Row],[UnitPrice]]*Table1[[#This Row],[Quantity]]</f>
        <v>783.04</v>
      </c>
      <c r="AE231" s="8">
        <f>Table1[[#This Row],[UnitCost]]*Table1[[#This Row],[Quantity]]</f>
        <v>873.92</v>
      </c>
      <c r="AF231" s="8">
        <f>Table1[[#This Row],[GrossRevenue]]-Table1[[#This Row],[CostOfGoods]]</f>
        <v>-90.88</v>
      </c>
      <c r="AG231" s="9">
        <f>IF(Table1[[#This Row],[GrossRevenue]]=0,0,Table1[[#This Row],[GrossProfit]]/Table1[[#This Row],[GrossRevenue]])</f>
        <v>-0.11606048222313037</v>
      </c>
    </row>
    <row r="232" spans="1:33" x14ac:dyDescent="0.45">
      <c r="A232" t="s">
        <v>245</v>
      </c>
      <c r="B232">
        <v>1</v>
      </c>
      <c r="C232" s="3">
        <v>45771</v>
      </c>
      <c r="D232" s="6">
        <f>YEAR(Table1[[#This Row],[OrderDate]]) * 100 + MONTH(Table1[[#This Row],[OrderDate]])</f>
        <v>202504</v>
      </c>
      <c r="E232" s="6">
        <f>_xlfn.MINIFS(Table1[OrderMonthKey],Table1[Country],Table1[[#This Row],[Country]])</f>
        <v>202301</v>
      </c>
      <c r="F232" s="6">
        <f>Table1[[#This Row],[CountryFirstMonthKey]]</f>
        <v>202301</v>
      </c>
      <c r="G232" s="6">
        <f>12*(INT(Table1[[#This Row],[OrderMonthKey]]/100)-INT(Table1[[#This Row],[CohortMonthKey]]/100)) + (MOD(Table1[[#This Row],[OrderMonthKey]],100)-MOD(Table1[[#This Row],[CohortMonthKey]],100))</f>
        <v>27</v>
      </c>
      <c r="H232" s="3" t="str">
        <f>TEXT(Table1[[#This Row],[OrderDate]],"MMM-YYYY")</f>
        <v>Apr-2025</v>
      </c>
      <c r="I232" s="3" t="str">
        <f t="shared" si="9"/>
        <v>Q2-2023</v>
      </c>
      <c r="J232" s="26" t="str">
        <f>IF(Table1[[#This Row],[LeadTimeDays]]&lt;=7,"Yes","No")</f>
        <v>No</v>
      </c>
      <c r="K232" s="6">
        <f>_xlfn.DAYS(Table1[[#This Row],[CorrectedRequiredDate]],Table1[[#This Row],[OrderDate]])</f>
        <v>12</v>
      </c>
      <c r="L232" s="3">
        <f>IF(Table1[[#This Row],[RequiredDate]]&lt;Table1[[#This Row],[OrderDate]],Table1[[#This Row],[OrderDate]],Table1[[#This Row],[RequiredDate]])</f>
        <v>45783</v>
      </c>
      <c r="M232" s="3">
        <v>45783</v>
      </c>
      <c r="N232" t="s">
        <v>648</v>
      </c>
      <c r="O232" t="s">
        <v>655</v>
      </c>
      <c r="P232" t="s">
        <v>672</v>
      </c>
      <c r="Q232" t="s">
        <v>704</v>
      </c>
      <c r="R232" t="s">
        <v>708</v>
      </c>
      <c r="S232" t="s">
        <v>712</v>
      </c>
      <c r="T232" t="s">
        <v>730</v>
      </c>
      <c r="U232" t="s">
        <v>964</v>
      </c>
      <c r="V232" s="8">
        <v>394.13</v>
      </c>
      <c r="W232" s="8">
        <v>932.29</v>
      </c>
      <c r="X232" s="8">
        <f t="shared" si="10"/>
        <v>815.10700000000008</v>
      </c>
      <c r="Y232" s="8">
        <f t="shared" si="11"/>
        <v>1620.05</v>
      </c>
      <c r="Z232" s="8" t="str">
        <f>IF(W231 &lt;= X230, "Low",IF(W231 &lt;= Y231, "Medium", "High"))</f>
        <v>Low</v>
      </c>
      <c r="AA232">
        <v>0.109</v>
      </c>
      <c r="AB232">
        <f>IF(Table1[[#This Row],[DiscountPct]]&gt;0.2,1,0)</f>
        <v>0</v>
      </c>
      <c r="AC232" s="6">
        <v>7</v>
      </c>
      <c r="AD232" s="8">
        <f>Table1[[#This Row],[UnitPrice]]*Table1[[#This Row],[Quantity]]</f>
        <v>6526.03</v>
      </c>
      <c r="AE232" s="8">
        <f>Table1[[#This Row],[UnitCost]]*Table1[[#This Row],[Quantity]]</f>
        <v>2758.91</v>
      </c>
      <c r="AF232" s="8">
        <f>Table1[[#This Row],[GrossRevenue]]-Table1[[#This Row],[CostOfGoods]]</f>
        <v>3767.12</v>
      </c>
      <c r="AG232" s="9">
        <f>IF(Table1[[#This Row],[GrossRevenue]]=0,0,Table1[[#This Row],[GrossProfit]]/Table1[[#This Row],[GrossRevenue]])</f>
        <v>0.57724527775692114</v>
      </c>
    </row>
    <row r="233" spans="1:33" x14ac:dyDescent="0.45">
      <c r="A233" t="s">
        <v>246</v>
      </c>
      <c r="B233">
        <v>1</v>
      </c>
      <c r="C233" s="3">
        <v>45538</v>
      </c>
      <c r="D233" s="6">
        <f>YEAR(Table1[[#This Row],[OrderDate]]) * 100 + MONTH(Table1[[#This Row],[OrderDate]])</f>
        <v>202409</v>
      </c>
      <c r="E233" s="6">
        <f>_xlfn.MINIFS(Table1[OrderMonthKey],Table1[Country],Table1[[#This Row],[Country]])</f>
        <v>202301</v>
      </c>
      <c r="F233" s="6">
        <f>Table1[[#This Row],[CountryFirstMonthKey]]</f>
        <v>202301</v>
      </c>
      <c r="G233" s="6">
        <f>12*(INT(Table1[[#This Row],[OrderMonthKey]]/100)-INT(Table1[[#This Row],[CohortMonthKey]]/100)) + (MOD(Table1[[#This Row],[OrderMonthKey]],100)-MOD(Table1[[#This Row],[CohortMonthKey]],100))</f>
        <v>20</v>
      </c>
      <c r="H233" s="3" t="str">
        <f>TEXT(Table1[[#This Row],[OrderDate]],"MMM-YYYY")</f>
        <v>Sep-2024</v>
      </c>
      <c r="I233" s="3" t="str">
        <f t="shared" si="9"/>
        <v>Q2-2025</v>
      </c>
      <c r="J233" s="26" t="str">
        <f>IF(Table1[[#This Row],[LeadTimeDays]]&lt;=7,"Yes","No")</f>
        <v>Yes</v>
      </c>
      <c r="K233" s="6">
        <f>_xlfn.DAYS(Table1[[#This Row],[CorrectedRequiredDate]],Table1[[#This Row],[OrderDate]])</f>
        <v>5</v>
      </c>
      <c r="L233" s="3">
        <f>IF(Table1[[#This Row],[RequiredDate]]&lt;Table1[[#This Row],[OrderDate]],Table1[[#This Row],[OrderDate]],Table1[[#This Row],[RequiredDate]])</f>
        <v>45543</v>
      </c>
      <c r="M233" s="3">
        <v>45543</v>
      </c>
      <c r="N233" t="s">
        <v>646</v>
      </c>
      <c r="O233" t="s">
        <v>651</v>
      </c>
      <c r="P233" t="s">
        <v>665</v>
      </c>
      <c r="Q233" t="s">
        <v>705</v>
      </c>
      <c r="R233" t="s">
        <v>711</v>
      </c>
      <c r="S233" t="s">
        <v>723</v>
      </c>
      <c r="T233" t="s">
        <v>728</v>
      </c>
      <c r="U233" t="s">
        <v>965</v>
      </c>
      <c r="V233" s="8">
        <v>197.63</v>
      </c>
      <c r="W233" s="8">
        <v>325.79000000000002</v>
      </c>
      <c r="X233" s="8">
        <f t="shared" si="10"/>
        <v>815.10700000000008</v>
      </c>
      <c r="Y233" s="8">
        <f t="shared" si="11"/>
        <v>1620.05</v>
      </c>
      <c r="Z233" s="8" t="str">
        <f>IF(W232 &lt;= X231, "Low",IF(W232 &lt;= Y232, "Medium", "High"))</f>
        <v>Medium</v>
      </c>
      <c r="AA233">
        <v>0.11600000000000001</v>
      </c>
      <c r="AB233">
        <f>IF(Table1[[#This Row],[DiscountPct]]&gt;0.2,1,0)</f>
        <v>0</v>
      </c>
      <c r="AC233" s="6">
        <v>10</v>
      </c>
      <c r="AD233" s="8">
        <f>Table1[[#This Row],[UnitPrice]]*Table1[[#This Row],[Quantity]]</f>
        <v>3257.9</v>
      </c>
      <c r="AE233" s="8">
        <f>Table1[[#This Row],[UnitCost]]*Table1[[#This Row],[Quantity]]</f>
        <v>1976.3</v>
      </c>
      <c r="AF233" s="8">
        <f>Table1[[#This Row],[GrossRevenue]]-Table1[[#This Row],[CostOfGoods]]</f>
        <v>1281.6000000000001</v>
      </c>
      <c r="AG233" s="9">
        <f>IF(Table1[[#This Row],[GrossRevenue]]=0,0,Table1[[#This Row],[GrossProfit]]/Table1[[#This Row],[GrossRevenue]])</f>
        <v>0.39338224009331169</v>
      </c>
    </row>
    <row r="234" spans="1:33" hidden="1" x14ac:dyDescent="0.45">
      <c r="A234" t="s">
        <v>247</v>
      </c>
      <c r="C234" s="3">
        <v>45540</v>
      </c>
      <c r="D234" s="3">
        <f>YEAR(Table1[[#This Row],[OrderDate]]) * 100 + MONTH(Table1[[#This Row],[OrderDate]])</f>
        <v>202409</v>
      </c>
      <c r="E234" s="3">
        <f>_xlfn.MINIFS(Table1[OrderMonthKey],Table1[Country],Table1[[#This Row],[Country]])</f>
        <v>202303</v>
      </c>
      <c r="F234" s="3">
        <f>Table1[[#This Row],[CountryFirstMonthKey]]</f>
        <v>202303</v>
      </c>
      <c r="G234" s="3">
        <f>12*(INT(Table1[[#This Row],[OrderMonthKey]]/100)-INT(Table1[[#This Row],[CohortMonthKey]]/100)) + (MOD(Table1[[#This Row],[OrderMonthKey]],100)-MOD(Table1[[#This Row],[CohortMonthKey]],100))</f>
        <v>18</v>
      </c>
      <c r="H234" s="3" t="str">
        <f>TEXT(Table1[[#This Row],[OrderDate]],"MMM-YYYY")</f>
        <v>Sep-2024</v>
      </c>
      <c r="I234" s="3" t="str">
        <f t="shared" si="9"/>
        <v>Q3-2024</v>
      </c>
      <c r="J234" s="3" t="str">
        <f>IF(Table1[[#This Row],[LeadTimeDays]]&lt;=7,"Yes","No")</f>
        <v>No</v>
      </c>
      <c r="K234" s="3">
        <f>_xlfn.DAYS(Table1[[#This Row],[CorrectedRequiredDate]],Table1[[#This Row],[OrderDate]])</f>
        <v>20</v>
      </c>
      <c r="L234" s="3">
        <f>IF(Table1[[#This Row],[RequiredDate]]&lt;Table1[[#This Row],[OrderDate]],Table1[[#This Row],[OrderDate]],Table1[[#This Row],[RequiredDate]])</f>
        <v>45560</v>
      </c>
      <c r="M234" s="3">
        <v>45560</v>
      </c>
      <c r="N234" t="s">
        <v>647</v>
      </c>
      <c r="O234" t="s">
        <v>652</v>
      </c>
      <c r="P234" t="s">
        <v>666</v>
      </c>
      <c r="Q234" t="s">
        <v>706</v>
      </c>
      <c r="R234" t="s">
        <v>710</v>
      </c>
      <c r="S234" t="s">
        <v>726</v>
      </c>
      <c r="T234" t="s">
        <v>732</v>
      </c>
      <c r="U234" t="s">
        <v>966</v>
      </c>
      <c r="V234" s="8">
        <v>195.54</v>
      </c>
      <c r="W234" s="8">
        <v>405.97</v>
      </c>
      <c r="X234" s="8">
        <f t="shared" si="10"/>
        <v>815.10700000000008</v>
      </c>
      <c r="Y234" s="8">
        <f t="shared" si="11"/>
        <v>1620.05</v>
      </c>
      <c r="AA234">
        <v>0.187</v>
      </c>
      <c r="AB234">
        <f>IF(Table1[[#This Row],[DiscountPct]]&gt;0.2,1,0)</f>
        <v>0</v>
      </c>
      <c r="AC234" s="6">
        <v>16</v>
      </c>
      <c r="AD234" s="8">
        <f>Table1[[#This Row],[UnitPrice]]*Table1[[#This Row],[Quantity]]</f>
        <v>6495.52</v>
      </c>
      <c r="AE234" s="8">
        <f>Table1[[#This Row],[UnitCost]]*Table1[[#This Row],[Quantity]]</f>
        <v>3128.64</v>
      </c>
      <c r="AF234" s="8">
        <f>Table1[[#This Row],[GrossRevenue]]-Table1[[#This Row],[CostOfGoods]]</f>
        <v>3366.8800000000006</v>
      </c>
      <c r="AG234" s="8">
        <f>IF(Table1[[#This Row],[GrossRevenue]]=0,0,Table1[[#This Row],[GrossProfit]]/Table1[[#This Row],[GrossRevenue]])</f>
        <v>0.51833879350690948</v>
      </c>
    </row>
    <row r="235" spans="1:33" hidden="1" x14ac:dyDescent="0.45">
      <c r="A235" t="s">
        <v>248</v>
      </c>
      <c r="C235" s="3">
        <v>44999</v>
      </c>
      <c r="D235" s="3">
        <f>YEAR(Table1[[#This Row],[OrderDate]]) * 100 + MONTH(Table1[[#This Row],[OrderDate]])</f>
        <v>202303</v>
      </c>
      <c r="E235" s="3">
        <f>_xlfn.MINIFS(Table1[OrderMonthKey],Table1[Country],Table1[[#This Row],[Country]])</f>
        <v>202301</v>
      </c>
      <c r="F235" s="3">
        <f>Table1[[#This Row],[CountryFirstMonthKey]]</f>
        <v>202301</v>
      </c>
      <c r="G235" s="3">
        <f>12*(INT(Table1[[#This Row],[OrderMonthKey]]/100)-INT(Table1[[#This Row],[CohortMonthKey]]/100)) + (MOD(Table1[[#This Row],[OrderMonthKey]],100)-MOD(Table1[[#This Row],[CohortMonthKey]],100))</f>
        <v>2</v>
      </c>
      <c r="H235" s="3" t="str">
        <f>TEXT(Table1[[#This Row],[OrderDate]],"MMM-YYYY")</f>
        <v>Mar-2023</v>
      </c>
      <c r="I235" s="3" t="str">
        <f t="shared" si="9"/>
        <v>Q3-2024</v>
      </c>
      <c r="J235" s="3" t="str">
        <f>IF(Table1[[#This Row],[LeadTimeDays]]&lt;=7,"Yes","No")</f>
        <v>No</v>
      </c>
      <c r="K235" s="3">
        <f>_xlfn.DAYS(Table1[[#This Row],[CorrectedRequiredDate]],Table1[[#This Row],[OrderDate]])</f>
        <v>16</v>
      </c>
      <c r="L235" s="3">
        <f>IF(Table1[[#This Row],[RequiredDate]]&lt;Table1[[#This Row],[OrderDate]],Table1[[#This Row],[OrderDate]],Table1[[#This Row],[RequiredDate]])</f>
        <v>45015</v>
      </c>
      <c r="M235" s="3">
        <v>45015</v>
      </c>
      <c r="N235" t="s">
        <v>646</v>
      </c>
      <c r="O235" t="s">
        <v>661</v>
      </c>
      <c r="P235" t="s">
        <v>695</v>
      </c>
      <c r="Q235" t="s">
        <v>704</v>
      </c>
      <c r="R235" t="s">
        <v>710</v>
      </c>
      <c r="S235" t="s">
        <v>723</v>
      </c>
      <c r="T235" t="s">
        <v>727</v>
      </c>
      <c r="U235" t="s">
        <v>967</v>
      </c>
      <c r="V235" s="8">
        <v>1309.77</v>
      </c>
      <c r="W235" s="8">
        <v>1589.07</v>
      </c>
      <c r="X235" s="8">
        <f t="shared" si="10"/>
        <v>815.10700000000008</v>
      </c>
      <c r="Y235" s="8">
        <f t="shared" si="11"/>
        <v>1620.05</v>
      </c>
      <c r="AA235">
        <v>0.10199999999999999</v>
      </c>
      <c r="AB235">
        <f>IF(Table1[[#This Row],[DiscountPct]]&gt;0.2,1,0)</f>
        <v>0</v>
      </c>
      <c r="AC235" s="6">
        <v>10</v>
      </c>
      <c r="AD235" s="8">
        <f>Table1[[#This Row],[UnitPrice]]*Table1[[#This Row],[Quantity]]</f>
        <v>15890.699999999999</v>
      </c>
      <c r="AE235" s="8">
        <f>Table1[[#This Row],[UnitCost]]*Table1[[#This Row],[Quantity]]</f>
        <v>13097.7</v>
      </c>
      <c r="AF235" s="8">
        <f>Table1[[#This Row],[GrossRevenue]]-Table1[[#This Row],[CostOfGoods]]</f>
        <v>2792.9999999999982</v>
      </c>
      <c r="AG235" s="8">
        <f>IF(Table1[[#This Row],[GrossRevenue]]=0,0,Table1[[#This Row],[GrossProfit]]/Table1[[#This Row],[GrossRevenue]])</f>
        <v>0.1757631822386678</v>
      </c>
    </row>
    <row r="236" spans="1:33" hidden="1" x14ac:dyDescent="0.45">
      <c r="A236" t="s">
        <v>249</v>
      </c>
      <c r="C236" s="3">
        <v>45302</v>
      </c>
      <c r="D236" s="3">
        <f>YEAR(Table1[[#This Row],[OrderDate]]) * 100 + MONTH(Table1[[#This Row],[OrderDate]])</f>
        <v>202401</v>
      </c>
      <c r="E236" s="3">
        <f>_xlfn.MINIFS(Table1[OrderMonthKey],Table1[Country],Table1[[#This Row],[Country]])</f>
        <v>202303</v>
      </c>
      <c r="F236" s="3">
        <f>Table1[[#This Row],[CountryFirstMonthKey]]</f>
        <v>202303</v>
      </c>
      <c r="G236" s="3">
        <f>12*(INT(Table1[[#This Row],[OrderMonthKey]]/100)-INT(Table1[[#This Row],[CohortMonthKey]]/100)) + (MOD(Table1[[#This Row],[OrderMonthKey]],100)-MOD(Table1[[#This Row],[CohortMonthKey]],100))</f>
        <v>10</v>
      </c>
      <c r="H236" s="3" t="str">
        <f>TEXT(Table1[[#This Row],[OrderDate]],"MMM-YYYY")</f>
        <v>Jan-2024</v>
      </c>
      <c r="I236" s="3" t="str">
        <f t="shared" si="9"/>
        <v>Q1-2023</v>
      </c>
      <c r="J236" s="3" t="str">
        <f>IF(Table1[[#This Row],[LeadTimeDays]]&lt;=7,"Yes","No")</f>
        <v>No</v>
      </c>
      <c r="K236" s="3">
        <f>_xlfn.DAYS(Table1[[#This Row],[CorrectedRequiredDate]],Table1[[#This Row],[OrderDate]])</f>
        <v>22</v>
      </c>
      <c r="L236" s="3">
        <f>IF(Table1[[#This Row],[RequiredDate]]&lt;Table1[[#This Row],[OrderDate]],Table1[[#This Row],[OrderDate]],Table1[[#This Row],[RequiredDate]])</f>
        <v>45324</v>
      </c>
      <c r="M236" s="3">
        <v>45324</v>
      </c>
      <c r="N236" t="s">
        <v>647</v>
      </c>
      <c r="O236" t="s">
        <v>652</v>
      </c>
      <c r="P236" t="s">
        <v>694</v>
      </c>
      <c r="Q236" t="s">
        <v>705</v>
      </c>
      <c r="R236" t="s">
        <v>708</v>
      </c>
      <c r="T236" t="s">
        <v>728</v>
      </c>
      <c r="U236" t="s">
        <v>968</v>
      </c>
      <c r="V236" s="8">
        <v>1237.68</v>
      </c>
      <c r="W236" s="8">
        <v>1432.8</v>
      </c>
      <c r="X236" s="8">
        <f t="shared" si="10"/>
        <v>815.10700000000008</v>
      </c>
      <c r="Y236" s="8">
        <f t="shared" si="11"/>
        <v>1620.05</v>
      </c>
      <c r="AA236">
        <v>6.8000000000000005E-2</v>
      </c>
      <c r="AB236">
        <f>IF(Table1[[#This Row],[DiscountPct]]&gt;0.2,1,0)</f>
        <v>0</v>
      </c>
      <c r="AC236" s="6">
        <v>13</v>
      </c>
      <c r="AD236" s="8">
        <f>Table1[[#This Row],[UnitPrice]]*Table1[[#This Row],[Quantity]]</f>
        <v>18626.399999999998</v>
      </c>
      <c r="AE236" s="8">
        <f>Table1[[#This Row],[UnitCost]]*Table1[[#This Row],[Quantity]]</f>
        <v>16089.84</v>
      </c>
      <c r="AF236" s="8">
        <f>Table1[[#This Row],[GrossRevenue]]-Table1[[#This Row],[CostOfGoods]]</f>
        <v>2536.5599999999977</v>
      </c>
      <c r="AG236" s="8">
        <f>IF(Table1[[#This Row],[GrossRevenue]]=0,0,Table1[[#This Row],[GrossProfit]]/Table1[[#This Row],[GrossRevenue]])</f>
        <v>0.13618090452261294</v>
      </c>
    </row>
    <row r="237" spans="1:33" hidden="1" x14ac:dyDescent="0.45">
      <c r="A237" t="s">
        <v>250</v>
      </c>
      <c r="C237" s="3">
        <v>45548</v>
      </c>
      <c r="D237" s="3">
        <f>YEAR(Table1[[#This Row],[OrderDate]]) * 100 + MONTH(Table1[[#This Row],[OrderDate]])</f>
        <v>202409</v>
      </c>
      <c r="E237" s="3">
        <f>_xlfn.MINIFS(Table1[OrderMonthKey],Table1[Country],Table1[[#This Row],[Country]])</f>
        <v>202301</v>
      </c>
      <c r="F237" s="3">
        <f>Table1[[#This Row],[CountryFirstMonthKey]]</f>
        <v>202301</v>
      </c>
      <c r="G237" s="3">
        <f>12*(INT(Table1[[#This Row],[OrderMonthKey]]/100)-INT(Table1[[#This Row],[CohortMonthKey]]/100)) + (MOD(Table1[[#This Row],[OrderMonthKey]],100)-MOD(Table1[[#This Row],[CohortMonthKey]],100))</f>
        <v>20</v>
      </c>
      <c r="H237" s="3" t="str">
        <f>TEXT(Table1[[#This Row],[OrderDate]],"MMM-YYYY")</f>
        <v>Sep-2024</v>
      </c>
      <c r="I237" s="3" t="str">
        <f t="shared" si="9"/>
        <v>Q1-2024</v>
      </c>
      <c r="J237" s="3" t="str">
        <f>IF(Table1[[#This Row],[LeadTimeDays]]&lt;=7,"Yes","No")</f>
        <v>No</v>
      </c>
      <c r="K237" s="3">
        <f>_xlfn.DAYS(Table1[[#This Row],[CorrectedRequiredDate]],Table1[[#This Row],[OrderDate]])</f>
        <v>19</v>
      </c>
      <c r="L237" s="3">
        <f>IF(Table1[[#This Row],[RequiredDate]]&lt;Table1[[#This Row],[OrderDate]],Table1[[#This Row],[OrderDate]],Table1[[#This Row],[RequiredDate]])</f>
        <v>45567</v>
      </c>
      <c r="M237" s="3">
        <v>45567</v>
      </c>
      <c r="N237" t="s">
        <v>646</v>
      </c>
      <c r="O237" t="s">
        <v>650</v>
      </c>
      <c r="P237" t="s">
        <v>675</v>
      </c>
      <c r="Q237" t="s">
        <v>705</v>
      </c>
      <c r="R237" t="s">
        <v>707</v>
      </c>
      <c r="S237" t="s">
        <v>724</v>
      </c>
      <c r="T237" t="s">
        <v>730</v>
      </c>
      <c r="U237" t="s">
        <v>969</v>
      </c>
      <c r="V237" s="8">
        <v>1338.99</v>
      </c>
      <c r="W237" s="8">
        <v>1765.76</v>
      </c>
      <c r="X237" s="8">
        <f t="shared" si="10"/>
        <v>815.10700000000008</v>
      </c>
      <c r="Y237" s="8">
        <f t="shared" si="11"/>
        <v>1620.05</v>
      </c>
      <c r="AA237">
        <v>0.126</v>
      </c>
      <c r="AB237">
        <f>IF(Table1[[#This Row],[DiscountPct]]&gt;0.2,1,0)</f>
        <v>0</v>
      </c>
      <c r="AC237" s="6">
        <v>24</v>
      </c>
      <c r="AD237" s="8">
        <f>Table1[[#This Row],[UnitPrice]]*Table1[[#This Row],[Quantity]]</f>
        <v>42378.239999999998</v>
      </c>
      <c r="AE237" s="8">
        <f>Table1[[#This Row],[UnitCost]]*Table1[[#This Row],[Quantity]]</f>
        <v>32135.760000000002</v>
      </c>
      <c r="AF237" s="8">
        <f>Table1[[#This Row],[GrossRevenue]]-Table1[[#This Row],[CostOfGoods]]</f>
        <v>10242.479999999996</v>
      </c>
      <c r="AG237" s="8">
        <f>IF(Table1[[#This Row],[GrossRevenue]]=0,0,Table1[[#This Row],[GrossProfit]]/Table1[[#This Row],[GrossRevenue]])</f>
        <v>0.24169196266763313</v>
      </c>
    </row>
    <row r="238" spans="1:33" x14ac:dyDescent="0.45">
      <c r="A238" t="s">
        <v>251</v>
      </c>
      <c r="B238">
        <v>1</v>
      </c>
      <c r="C238" s="3">
        <v>45855</v>
      </c>
      <c r="D238" s="6">
        <f>YEAR(Table1[[#This Row],[OrderDate]]) * 100 + MONTH(Table1[[#This Row],[OrderDate]])</f>
        <v>202507</v>
      </c>
      <c r="E238" s="6">
        <f>_xlfn.MINIFS(Table1[OrderMonthKey],Table1[Country],Table1[[#This Row],[Country]])</f>
        <v>202301</v>
      </c>
      <c r="F238" s="6">
        <f>Table1[[#This Row],[CountryFirstMonthKey]]</f>
        <v>202301</v>
      </c>
      <c r="G238" s="6">
        <f>12*(INT(Table1[[#This Row],[OrderMonthKey]]/100)-INT(Table1[[#This Row],[CohortMonthKey]]/100)) + (MOD(Table1[[#This Row],[OrderMonthKey]],100)-MOD(Table1[[#This Row],[CohortMonthKey]],100))</f>
        <v>30</v>
      </c>
      <c r="H238" s="3" t="str">
        <f>TEXT(Table1[[#This Row],[OrderDate]],"MMM-YYYY")</f>
        <v>Jul-2025</v>
      </c>
      <c r="I238" s="3" t="str">
        <f t="shared" si="9"/>
        <v>Q3-2024</v>
      </c>
      <c r="J238" s="26" t="str">
        <f>IF(Table1[[#This Row],[LeadTimeDays]]&lt;=7,"Yes","No")</f>
        <v>Yes</v>
      </c>
      <c r="K238" s="6">
        <f>_xlfn.DAYS(Table1[[#This Row],[CorrectedRequiredDate]],Table1[[#This Row],[OrderDate]])</f>
        <v>6</v>
      </c>
      <c r="L238" s="3">
        <f>IF(Table1[[#This Row],[RequiredDate]]&lt;Table1[[#This Row],[OrderDate]],Table1[[#This Row],[OrderDate]],Table1[[#This Row],[RequiredDate]])</f>
        <v>45861</v>
      </c>
      <c r="M238" s="3">
        <v>45861</v>
      </c>
      <c r="N238" t="s">
        <v>648</v>
      </c>
      <c r="O238" t="s">
        <v>653</v>
      </c>
      <c r="P238" t="s">
        <v>688</v>
      </c>
      <c r="Q238" t="s">
        <v>704</v>
      </c>
      <c r="R238" t="s">
        <v>708</v>
      </c>
      <c r="S238" t="s">
        <v>722</v>
      </c>
      <c r="T238" t="s">
        <v>727</v>
      </c>
      <c r="U238" t="s">
        <v>970</v>
      </c>
      <c r="V238" s="8">
        <v>1364.89</v>
      </c>
      <c r="W238" s="8">
        <v>2757.54</v>
      </c>
      <c r="X238" s="8">
        <f t="shared" si="10"/>
        <v>815.10700000000008</v>
      </c>
      <c r="Y238" s="8">
        <f t="shared" si="11"/>
        <v>1620.05</v>
      </c>
      <c r="Z238" s="8" t="str">
        <f>IF(W237 &lt;= X236, "Low",IF(W237 &lt;= Y237, "Medium", "High"))</f>
        <v>High</v>
      </c>
      <c r="AA238">
        <v>0.17199999999999999</v>
      </c>
      <c r="AB238">
        <f>IF(Table1[[#This Row],[DiscountPct]]&gt;0.2,1,0)</f>
        <v>0</v>
      </c>
      <c r="AC238" s="6">
        <v>61</v>
      </c>
      <c r="AD238" s="8">
        <f>Table1[[#This Row],[UnitPrice]]*Table1[[#This Row],[Quantity]]</f>
        <v>168209.94</v>
      </c>
      <c r="AE238" s="8">
        <f>Table1[[#This Row],[UnitCost]]*Table1[[#This Row],[Quantity]]</f>
        <v>83258.290000000008</v>
      </c>
      <c r="AF238" s="8">
        <f>Table1[[#This Row],[GrossRevenue]]-Table1[[#This Row],[CostOfGoods]]</f>
        <v>84951.65</v>
      </c>
      <c r="AG238" s="9">
        <f>IF(Table1[[#This Row],[GrossRevenue]]=0,0,Table1[[#This Row],[GrossProfit]]/Table1[[#This Row],[GrossRevenue]])</f>
        <v>0.50503347186260217</v>
      </c>
    </row>
    <row r="239" spans="1:33" x14ac:dyDescent="0.45">
      <c r="A239" t="s">
        <v>252</v>
      </c>
      <c r="B239">
        <v>1</v>
      </c>
      <c r="C239" s="3">
        <v>45258</v>
      </c>
      <c r="D239" s="6">
        <f>YEAR(Table1[[#This Row],[OrderDate]]) * 100 + MONTH(Table1[[#This Row],[OrderDate]])</f>
        <v>202311</v>
      </c>
      <c r="E239" s="6">
        <f>_xlfn.MINIFS(Table1[OrderMonthKey],Table1[Country],Table1[[#This Row],[Country]])</f>
        <v>202302</v>
      </c>
      <c r="F239" s="6">
        <f>Table1[[#This Row],[CountryFirstMonthKey]]</f>
        <v>202302</v>
      </c>
      <c r="G239" s="6">
        <f>12*(INT(Table1[[#This Row],[OrderMonthKey]]/100)-INT(Table1[[#This Row],[CohortMonthKey]]/100)) + (MOD(Table1[[#This Row],[OrderMonthKey]],100)-MOD(Table1[[#This Row],[CohortMonthKey]],100))</f>
        <v>9</v>
      </c>
      <c r="H239" s="3" t="str">
        <f>TEXT(Table1[[#This Row],[OrderDate]],"MMM-YYYY")</f>
        <v>Nov-2023</v>
      </c>
      <c r="I239" s="3" t="str">
        <f t="shared" si="9"/>
        <v>Q3-2025</v>
      </c>
      <c r="J239" s="26" t="str">
        <f>IF(Table1[[#This Row],[LeadTimeDays]]&lt;=7,"Yes","No")</f>
        <v>No</v>
      </c>
      <c r="K239" s="6">
        <f>_xlfn.DAYS(Table1[[#This Row],[CorrectedRequiredDate]],Table1[[#This Row],[OrderDate]])</f>
        <v>9</v>
      </c>
      <c r="L239" s="3">
        <f>IF(Table1[[#This Row],[RequiredDate]]&lt;Table1[[#This Row],[OrderDate]],Table1[[#This Row],[OrderDate]],Table1[[#This Row],[RequiredDate]])</f>
        <v>45267</v>
      </c>
      <c r="M239" s="3">
        <v>45267</v>
      </c>
      <c r="N239" t="s">
        <v>647</v>
      </c>
      <c r="O239" t="s">
        <v>654</v>
      </c>
      <c r="P239" t="s">
        <v>680</v>
      </c>
      <c r="Q239" t="s">
        <v>706</v>
      </c>
      <c r="R239" t="s">
        <v>709</v>
      </c>
      <c r="S239" t="s">
        <v>716</v>
      </c>
      <c r="T239" t="s">
        <v>730</v>
      </c>
      <c r="U239" t="s">
        <v>971</v>
      </c>
      <c r="V239" s="8">
        <v>699.33</v>
      </c>
      <c r="W239" s="8">
        <v>873.75</v>
      </c>
      <c r="X239" s="8">
        <f t="shared" si="10"/>
        <v>815.10700000000008</v>
      </c>
      <c r="Y239" s="8">
        <f t="shared" si="11"/>
        <v>1620.05</v>
      </c>
      <c r="Z239" s="8" t="str">
        <f>IF(W238 &lt;= X237, "Low",IF(W238 &lt;= Y238, "Medium", "High"))</f>
        <v>High</v>
      </c>
      <c r="AA239">
        <v>0.23499999999999999</v>
      </c>
      <c r="AB239">
        <f>IF(Table1[[#This Row],[DiscountPct]]&gt;0.2,1,0)</f>
        <v>1</v>
      </c>
      <c r="AC239" s="6">
        <v>10</v>
      </c>
      <c r="AD239" s="8">
        <f>Table1[[#This Row],[UnitPrice]]*Table1[[#This Row],[Quantity]]</f>
        <v>8737.5</v>
      </c>
      <c r="AE239" s="8">
        <f>Table1[[#This Row],[UnitCost]]*Table1[[#This Row],[Quantity]]</f>
        <v>6993.3</v>
      </c>
      <c r="AF239" s="8">
        <f>Table1[[#This Row],[GrossRevenue]]-Table1[[#This Row],[CostOfGoods]]</f>
        <v>1744.1999999999998</v>
      </c>
      <c r="AG239" s="9">
        <f>IF(Table1[[#This Row],[GrossRevenue]]=0,0,Table1[[#This Row],[GrossProfit]]/Table1[[#This Row],[GrossRevenue]])</f>
        <v>0.19962231759656651</v>
      </c>
    </row>
    <row r="240" spans="1:33" hidden="1" x14ac:dyDescent="0.45">
      <c r="A240" t="s">
        <v>253</v>
      </c>
      <c r="C240" s="3">
        <v>45381</v>
      </c>
      <c r="D240" s="3">
        <f>YEAR(Table1[[#This Row],[OrderDate]]) * 100 + MONTH(Table1[[#This Row],[OrderDate]])</f>
        <v>202403</v>
      </c>
      <c r="E240" s="3">
        <f>_xlfn.MINIFS(Table1[OrderMonthKey],Table1[Country],Table1[[#This Row],[Country]])</f>
        <v>202301</v>
      </c>
      <c r="F240" s="3">
        <f>Table1[[#This Row],[CountryFirstMonthKey]]</f>
        <v>202301</v>
      </c>
      <c r="G240" s="3">
        <f>12*(INT(Table1[[#This Row],[OrderMonthKey]]/100)-INT(Table1[[#This Row],[CohortMonthKey]]/100)) + (MOD(Table1[[#This Row],[OrderMonthKey]],100)-MOD(Table1[[#This Row],[CohortMonthKey]],100))</f>
        <v>14</v>
      </c>
      <c r="H240" s="3" t="str">
        <f>TEXT(Table1[[#This Row],[OrderDate]],"MMM-YYYY")</f>
        <v>Mar-2024</v>
      </c>
      <c r="I240" s="3" t="str">
        <f t="shared" si="9"/>
        <v>Q4-2023</v>
      </c>
      <c r="J240" s="3" t="str">
        <f>IF(Table1[[#This Row],[LeadTimeDays]]&lt;=7,"Yes","No")</f>
        <v>No</v>
      </c>
      <c r="K240" s="3">
        <f>_xlfn.DAYS(Table1[[#This Row],[CorrectedRequiredDate]],Table1[[#This Row],[OrderDate]])</f>
        <v>25</v>
      </c>
      <c r="L240" s="3">
        <f>IF(Table1[[#This Row],[RequiredDate]]&lt;Table1[[#This Row],[OrderDate]],Table1[[#This Row],[OrderDate]],Table1[[#This Row],[RequiredDate]])</f>
        <v>45406</v>
      </c>
      <c r="M240" s="3">
        <v>45406</v>
      </c>
      <c r="N240" t="s">
        <v>648</v>
      </c>
      <c r="O240" t="s">
        <v>660</v>
      </c>
      <c r="P240" t="s">
        <v>697</v>
      </c>
      <c r="Q240" t="s">
        <v>703</v>
      </c>
      <c r="R240" t="s">
        <v>708</v>
      </c>
      <c r="S240" t="s">
        <v>715</v>
      </c>
      <c r="T240" t="s">
        <v>731</v>
      </c>
      <c r="U240" t="s">
        <v>972</v>
      </c>
      <c r="V240" s="8">
        <v>160.82</v>
      </c>
      <c r="W240" s="8">
        <v>258.52</v>
      </c>
      <c r="X240" s="8">
        <f t="shared" si="10"/>
        <v>815.10700000000008</v>
      </c>
      <c r="Y240" s="8">
        <f t="shared" si="11"/>
        <v>1620.05</v>
      </c>
      <c r="AA240">
        <v>0.13</v>
      </c>
      <c r="AB240">
        <f>IF(Table1[[#This Row],[DiscountPct]]&gt;0.2,1,0)</f>
        <v>0</v>
      </c>
      <c r="AC240" s="6">
        <v>17</v>
      </c>
      <c r="AD240" s="8">
        <f>Table1[[#This Row],[UnitPrice]]*Table1[[#This Row],[Quantity]]</f>
        <v>4394.84</v>
      </c>
      <c r="AE240" s="8">
        <f>Table1[[#This Row],[UnitCost]]*Table1[[#This Row],[Quantity]]</f>
        <v>2733.94</v>
      </c>
      <c r="AF240" s="8">
        <f>Table1[[#This Row],[GrossRevenue]]-Table1[[#This Row],[CostOfGoods]]</f>
        <v>1660.9</v>
      </c>
      <c r="AG240" s="8">
        <f>IF(Table1[[#This Row],[GrossRevenue]]=0,0,Table1[[#This Row],[GrossProfit]]/Table1[[#This Row],[GrossRevenue]])</f>
        <v>0.37792047036979731</v>
      </c>
    </row>
    <row r="241" spans="1:33" x14ac:dyDescent="0.45">
      <c r="A241" t="s">
        <v>254</v>
      </c>
      <c r="B241">
        <v>1</v>
      </c>
      <c r="C241" s="3">
        <v>45188</v>
      </c>
      <c r="D241" s="6">
        <f>YEAR(Table1[[#This Row],[OrderDate]]) * 100 + MONTH(Table1[[#This Row],[OrderDate]])</f>
        <v>202309</v>
      </c>
      <c r="E241" s="6">
        <f>_xlfn.MINIFS(Table1[OrderMonthKey],Table1[Country],Table1[[#This Row],[Country]])</f>
        <v>202302</v>
      </c>
      <c r="F241" s="6">
        <f>Table1[[#This Row],[CountryFirstMonthKey]]</f>
        <v>202302</v>
      </c>
      <c r="G241" s="6">
        <f>12*(INT(Table1[[#This Row],[OrderMonthKey]]/100)-INT(Table1[[#This Row],[CohortMonthKey]]/100)) + (MOD(Table1[[#This Row],[OrderMonthKey]],100)-MOD(Table1[[#This Row],[CohortMonthKey]],100))</f>
        <v>7</v>
      </c>
      <c r="H241" s="3" t="str">
        <f>TEXT(Table1[[#This Row],[OrderDate]],"MMM-YYYY")</f>
        <v>Sep-2023</v>
      </c>
      <c r="I241" s="3" t="str">
        <f t="shared" si="9"/>
        <v>Q1-2024</v>
      </c>
      <c r="J241" s="26" t="str">
        <f>IF(Table1[[#This Row],[LeadTimeDays]]&lt;=7,"Yes","No")</f>
        <v>No</v>
      </c>
      <c r="K241" s="6">
        <f>_xlfn.DAYS(Table1[[#This Row],[CorrectedRequiredDate]],Table1[[#This Row],[OrderDate]])</f>
        <v>19</v>
      </c>
      <c r="L241" s="3">
        <f>IF(Table1[[#This Row],[RequiredDate]]&lt;Table1[[#This Row],[OrderDate]],Table1[[#This Row],[OrderDate]],Table1[[#This Row],[RequiredDate]])</f>
        <v>45207</v>
      </c>
      <c r="M241" s="3">
        <v>45207</v>
      </c>
      <c r="N241" t="s">
        <v>647</v>
      </c>
      <c r="O241" t="s">
        <v>654</v>
      </c>
      <c r="P241" t="s">
        <v>668</v>
      </c>
      <c r="Q241" t="s">
        <v>702</v>
      </c>
      <c r="R241" t="s">
        <v>711</v>
      </c>
      <c r="S241" t="s">
        <v>713</v>
      </c>
      <c r="T241" t="s">
        <v>728</v>
      </c>
      <c r="U241" t="s">
        <v>973</v>
      </c>
      <c r="V241" s="8">
        <v>385.32</v>
      </c>
      <c r="W241" s="8">
        <v>606.76</v>
      </c>
      <c r="X241" s="8">
        <f t="shared" si="10"/>
        <v>815.10700000000008</v>
      </c>
      <c r="Y241" s="8">
        <f t="shared" si="11"/>
        <v>1620.05</v>
      </c>
      <c r="Z241" s="8" t="str">
        <f>IF(W240 &lt;= X239, "Low",IF(W240 &lt;= Y240, "Medium", "High"))</f>
        <v>Low</v>
      </c>
      <c r="AA241">
        <v>8.5999999999999993E-2</v>
      </c>
      <c r="AB241">
        <f>IF(Table1[[#This Row],[DiscountPct]]&gt;0.2,1,0)</f>
        <v>0</v>
      </c>
      <c r="AC241" s="6">
        <v>8</v>
      </c>
      <c r="AD241" s="8">
        <f>Table1[[#This Row],[UnitPrice]]*Table1[[#This Row],[Quantity]]</f>
        <v>4854.08</v>
      </c>
      <c r="AE241" s="8">
        <f>Table1[[#This Row],[UnitCost]]*Table1[[#This Row],[Quantity]]</f>
        <v>3082.56</v>
      </c>
      <c r="AF241" s="8">
        <f>Table1[[#This Row],[GrossRevenue]]-Table1[[#This Row],[CostOfGoods]]</f>
        <v>1771.52</v>
      </c>
      <c r="AG241" s="9">
        <f>IF(Table1[[#This Row],[GrossRevenue]]=0,0,Table1[[#This Row],[GrossProfit]]/Table1[[#This Row],[GrossRevenue]])</f>
        <v>0.36495484211220253</v>
      </c>
    </row>
    <row r="242" spans="1:33" x14ac:dyDescent="0.45">
      <c r="A242" t="s">
        <v>255</v>
      </c>
      <c r="B242">
        <v>1</v>
      </c>
      <c r="C242" s="3">
        <v>45793</v>
      </c>
      <c r="D242" s="6">
        <f>YEAR(Table1[[#This Row],[OrderDate]]) * 100 + MONTH(Table1[[#This Row],[OrderDate]])</f>
        <v>202505</v>
      </c>
      <c r="E242" s="6">
        <f>_xlfn.MINIFS(Table1[OrderMonthKey],Table1[Country],Table1[[#This Row],[Country]])</f>
        <v>202301</v>
      </c>
      <c r="F242" s="6">
        <f>Table1[[#This Row],[CountryFirstMonthKey]]</f>
        <v>202301</v>
      </c>
      <c r="G242" s="6">
        <f>12*(INT(Table1[[#This Row],[OrderMonthKey]]/100)-INT(Table1[[#This Row],[CohortMonthKey]]/100)) + (MOD(Table1[[#This Row],[OrderMonthKey]],100)-MOD(Table1[[#This Row],[CohortMonthKey]],100))</f>
        <v>28</v>
      </c>
      <c r="H242" s="3" t="str">
        <f>TEXT(Table1[[#This Row],[OrderDate]],"MMM-YYYY")</f>
        <v>May-2025</v>
      </c>
      <c r="I242" s="3" t="str">
        <f t="shared" si="9"/>
        <v>Q3-2023</v>
      </c>
      <c r="J242" s="26" t="str">
        <f>IF(Table1[[#This Row],[LeadTimeDays]]&lt;=7,"Yes","No")</f>
        <v>No</v>
      </c>
      <c r="K242" s="6">
        <f>_xlfn.DAYS(Table1[[#This Row],[CorrectedRequiredDate]],Table1[[#This Row],[OrderDate]])</f>
        <v>11</v>
      </c>
      <c r="L242" s="3">
        <f>IF(Table1[[#This Row],[RequiredDate]]&lt;Table1[[#This Row],[OrderDate]],Table1[[#This Row],[OrderDate]],Table1[[#This Row],[RequiredDate]])</f>
        <v>45804</v>
      </c>
      <c r="M242" s="3">
        <v>45804</v>
      </c>
      <c r="N242" t="s">
        <v>647</v>
      </c>
      <c r="O242" t="s">
        <v>659</v>
      </c>
      <c r="P242" t="s">
        <v>699</v>
      </c>
      <c r="Q242" t="s">
        <v>706</v>
      </c>
      <c r="R242" t="s">
        <v>708</v>
      </c>
      <c r="S242" t="s">
        <v>721</v>
      </c>
      <c r="T242" t="s">
        <v>730</v>
      </c>
      <c r="U242" t="s">
        <v>974</v>
      </c>
      <c r="V242" s="8">
        <v>918.12</v>
      </c>
      <c r="W242" s="8">
        <v>1337.69</v>
      </c>
      <c r="X242" s="8">
        <f t="shared" si="10"/>
        <v>815.10700000000008</v>
      </c>
      <c r="Y242" s="8">
        <f t="shared" si="11"/>
        <v>1620.05</v>
      </c>
      <c r="Z242" s="8" t="str">
        <f>IF(W241 &lt;= X240, "Low",IF(W241 &lt;= Y241, "Medium", "High"))</f>
        <v>Low</v>
      </c>
      <c r="AA242">
        <v>9.5000000000000001E-2</v>
      </c>
      <c r="AB242">
        <f>IF(Table1[[#This Row],[DiscountPct]]&gt;0.2,1,0)</f>
        <v>0</v>
      </c>
      <c r="AC242" s="6">
        <v>8</v>
      </c>
      <c r="AD242" s="8">
        <f>Table1[[#This Row],[UnitPrice]]*Table1[[#This Row],[Quantity]]</f>
        <v>10701.52</v>
      </c>
      <c r="AE242" s="8">
        <f>Table1[[#This Row],[UnitCost]]*Table1[[#This Row],[Quantity]]</f>
        <v>7344.96</v>
      </c>
      <c r="AF242" s="8">
        <f>Table1[[#This Row],[GrossRevenue]]-Table1[[#This Row],[CostOfGoods]]</f>
        <v>3356.5600000000004</v>
      </c>
      <c r="AG242" s="9">
        <f>IF(Table1[[#This Row],[GrossRevenue]]=0,0,Table1[[#This Row],[GrossProfit]]/Table1[[#This Row],[GrossRevenue]])</f>
        <v>0.31365263999880394</v>
      </c>
    </row>
    <row r="243" spans="1:33" hidden="1" x14ac:dyDescent="0.45">
      <c r="A243" t="s">
        <v>256</v>
      </c>
      <c r="C243" s="3">
        <v>45871</v>
      </c>
      <c r="D243" s="3">
        <f>YEAR(Table1[[#This Row],[OrderDate]]) * 100 + MONTH(Table1[[#This Row],[OrderDate]])</f>
        <v>202508</v>
      </c>
      <c r="E243" s="3">
        <f>_xlfn.MINIFS(Table1[OrderMonthKey],Table1[Country],Table1[[#This Row],[Country]])</f>
        <v>202303</v>
      </c>
      <c r="F243" s="3">
        <f>Table1[[#This Row],[CountryFirstMonthKey]]</f>
        <v>202303</v>
      </c>
      <c r="G243" s="3">
        <f>12*(INT(Table1[[#This Row],[OrderMonthKey]]/100)-INT(Table1[[#This Row],[CohortMonthKey]]/100)) + (MOD(Table1[[#This Row],[OrderMonthKey]],100)-MOD(Table1[[#This Row],[CohortMonthKey]],100))</f>
        <v>29</v>
      </c>
      <c r="H243" s="3" t="str">
        <f>TEXT(Table1[[#This Row],[OrderDate]],"MMM-YYYY")</f>
        <v>Aug-2025</v>
      </c>
      <c r="I243" s="3" t="str">
        <f t="shared" si="9"/>
        <v>Q2-2025</v>
      </c>
      <c r="J243" s="3" t="str">
        <f>IF(Table1[[#This Row],[LeadTimeDays]]&lt;=7,"Yes","No")</f>
        <v>Yes</v>
      </c>
      <c r="K243" s="3">
        <f>_xlfn.DAYS(Table1[[#This Row],[CorrectedRequiredDate]],Table1[[#This Row],[OrderDate]])</f>
        <v>6</v>
      </c>
      <c r="L243" s="3">
        <f>IF(Table1[[#This Row],[RequiredDate]]&lt;Table1[[#This Row],[OrderDate]],Table1[[#This Row],[OrderDate]],Table1[[#This Row],[RequiredDate]])</f>
        <v>45877</v>
      </c>
      <c r="M243" s="3">
        <v>45877</v>
      </c>
      <c r="N243" t="s">
        <v>647</v>
      </c>
      <c r="O243" t="s">
        <v>652</v>
      </c>
      <c r="P243" t="s">
        <v>666</v>
      </c>
      <c r="Q243" t="s">
        <v>704</v>
      </c>
      <c r="R243" t="s">
        <v>711</v>
      </c>
      <c r="S243" t="s">
        <v>725</v>
      </c>
      <c r="T243" t="s">
        <v>731</v>
      </c>
      <c r="U243" t="s">
        <v>975</v>
      </c>
      <c r="V243" s="8">
        <v>1225.94</v>
      </c>
      <c r="W243" s="8">
        <v>1793.08</v>
      </c>
      <c r="X243" s="8">
        <f t="shared" si="10"/>
        <v>815.10700000000008</v>
      </c>
      <c r="Y243" s="8">
        <f t="shared" si="11"/>
        <v>1620.05</v>
      </c>
      <c r="AA243">
        <v>0.13600000000000001</v>
      </c>
      <c r="AB243">
        <f>IF(Table1[[#This Row],[DiscountPct]]&gt;0.2,1,0)</f>
        <v>0</v>
      </c>
      <c r="AC243" s="6">
        <v>22</v>
      </c>
      <c r="AD243" s="8">
        <f>Table1[[#This Row],[UnitPrice]]*Table1[[#This Row],[Quantity]]</f>
        <v>39447.759999999995</v>
      </c>
      <c r="AE243" s="8">
        <f>Table1[[#This Row],[UnitCost]]*Table1[[#This Row],[Quantity]]</f>
        <v>26970.68</v>
      </c>
      <c r="AF243" s="8">
        <f>Table1[[#This Row],[GrossRevenue]]-Table1[[#This Row],[CostOfGoods]]</f>
        <v>12477.079999999994</v>
      </c>
      <c r="AG243" s="8">
        <f>IF(Table1[[#This Row],[GrossRevenue]]=0,0,Table1[[#This Row],[GrossProfit]]/Table1[[#This Row],[GrossRevenue]])</f>
        <v>0.31629375153367378</v>
      </c>
    </row>
    <row r="244" spans="1:33" hidden="1" x14ac:dyDescent="0.45">
      <c r="A244" t="s">
        <v>257</v>
      </c>
      <c r="C244" s="3">
        <v>45630</v>
      </c>
      <c r="D244" s="3">
        <f>YEAR(Table1[[#This Row],[OrderDate]]) * 100 + MONTH(Table1[[#This Row],[OrderDate]])</f>
        <v>202412</v>
      </c>
      <c r="E244" s="3">
        <f>_xlfn.MINIFS(Table1[OrderMonthKey],Table1[Country],Table1[[#This Row],[Country]])</f>
        <v>202301</v>
      </c>
      <c r="F244" s="3">
        <f>Table1[[#This Row],[CountryFirstMonthKey]]</f>
        <v>202301</v>
      </c>
      <c r="G244" s="3">
        <f>12*(INT(Table1[[#This Row],[OrderMonthKey]]/100)-INT(Table1[[#This Row],[CohortMonthKey]]/100)) + (MOD(Table1[[#This Row],[OrderMonthKey]],100)-MOD(Table1[[#This Row],[CohortMonthKey]],100))</f>
        <v>23</v>
      </c>
      <c r="H244" s="3" t="str">
        <f>TEXT(Table1[[#This Row],[OrderDate]],"MMM-YYYY")</f>
        <v>Dec-2024</v>
      </c>
      <c r="I244" s="3" t="str">
        <f t="shared" si="9"/>
        <v>Q3-2025</v>
      </c>
      <c r="J244" s="3" t="str">
        <f>IF(Table1[[#This Row],[LeadTimeDays]]&lt;=7,"Yes","No")</f>
        <v>No</v>
      </c>
      <c r="K244" s="3">
        <f>_xlfn.DAYS(Table1[[#This Row],[CorrectedRequiredDate]],Table1[[#This Row],[OrderDate]])</f>
        <v>8</v>
      </c>
      <c r="L244" s="3">
        <f>IF(Table1[[#This Row],[RequiredDate]]&lt;Table1[[#This Row],[OrderDate]],Table1[[#This Row],[OrderDate]],Table1[[#This Row],[RequiredDate]])</f>
        <v>45638</v>
      </c>
      <c r="M244" s="3">
        <v>45638</v>
      </c>
      <c r="N244" t="s">
        <v>649</v>
      </c>
      <c r="O244" t="s">
        <v>656</v>
      </c>
      <c r="P244" t="s">
        <v>698</v>
      </c>
      <c r="Q244" t="s">
        <v>706</v>
      </c>
      <c r="R244" t="s">
        <v>709</v>
      </c>
      <c r="S244" t="s">
        <v>717</v>
      </c>
      <c r="T244" t="s">
        <v>728</v>
      </c>
      <c r="U244" t="s">
        <v>976</v>
      </c>
      <c r="V244" s="8">
        <v>72.06</v>
      </c>
      <c r="W244" s="8">
        <v>122.74</v>
      </c>
      <c r="X244" s="8">
        <f t="shared" si="10"/>
        <v>815.10700000000008</v>
      </c>
      <c r="Y244" s="8">
        <f t="shared" si="11"/>
        <v>1620.05</v>
      </c>
      <c r="AA244">
        <v>0.23799999999999999</v>
      </c>
      <c r="AB244">
        <f>IF(Table1[[#This Row],[DiscountPct]]&gt;0.2,1,0)</f>
        <v>1</v>
      </c>
      <c r="AC244" s="6">
        <v>8</v>
      </c>
      <c r="AD244" s="8">
        <f>Table1[[#This Row],[UnitPrice]]*Table1[[#This Row],[Quantity]]</f>
        <v>981.92</v>
      </c>
      <c r="AE244" s="8">
        <f>Table1[[#This Row],[UnitCost]]*Table1[[#This Row],[Quantity]]</f>
        <v>576.48</v>
      </c>
      <c r="AF244" s="8">
        <f>Table1[[#This Row],[GrossRevenue]]-Table1[[#This Row],[CostOfGoods]]</f>
        <v>405.43999999999994</v>
      </c>
      <c r="AG244" s="8">
        <f>IF(Table1[[#This Row],[GrossRevenue]]=0,0,Table1[[#This Row],[GrossProfit]]/Table1[[#This Row],[GrossRevenue]])</f>
        <v>0.41290532833632065</v>
      </c>
    </row>
    <row r="245" spans="1:33" x14ac:dyDescent="0.45">
      <c r="A245" t="s">
        <v>258</v>
      </c>
      <c r="B245">
        <v>1</v>
      </c>
      <c r="C245" s="3">
        <v>45035</v>
      </c>
      <c r="D245" s="6">
        <f>YEAR(Table1[[#This Row],[OrderDate]]) * 100 + MONTH(Table1[[#This Row],[OrderDate]])</f>
        <v>202304</v>
      </c>
      <c r="E245" s="6">
        <f>_xlfn.MINIFS(Table1[OrderMonthKey],Table1[Country],Table1[[#This Row],[Country]])</f>
        <v>202301</v>
      </c>
      <c r="F245" s="6">
        <f>Table1[[#This Row],[CountryFirstMonthKey]]</f>
        <v>202301</v>
      </c>
      <c r="G245" s="6">
        <f>12*(INT(Table1[[#This Row],[OrderMonthKey]]/100)-INT(Table1[[#This Row],[CohortMonthKey]]/100)) + (MOD(Table1[[#This Row],[OrderMonthKey]],100)-MOD(Table1[[#This Row],[CohortMonthKey]],100))</f>
        <v>3</v>
      </c>
      <c r="H245" s="3" t="str">
        <f>TEXT(Table1[[#This Row],[OrderDate]],"MMM-YYYY")</f>
        <v>Apr-2023</v>
      </c>
      <c r="I245" s="3" t="str">
        <f t="shared" si="9"/>
        <v>Q4-2024</v>
      </c>
      <c r="J245" s="26" t="str">
        <f>IF(Table1[[#This Row],[LeadTimeDays]]&lt;=7,"Yes","No")</f>
        <v>No</v>
      </c>
      <c r="K245" s="6">
        <f>_xlfn.DAYS(Table1[[#This Row],[CorrectedRequiredDate]],Table1[[#This Row],[OrderDate]])</f>
        <v>9</v>
      </c>
      <c r="L245" s="3">
        <f>IF(Table1[[#This Row],[RequiredDate]]&lt;Table1[[#This Row],[OrderDate]],Table1[[#This Row],[OrderDate]],Table1[[#This Row],[RequiredDate]])</f>
        <v>45044</v>
      </c>
      <c r="M245" s="3">
        <v>45044</v>
      </c>
      <c r="N245" t="s">
        <v>648</v>
      </c>
      <c r="O245" t="s">
        <v>655</v>
      </c>
      <c r="P245" t="s">
        <v>692</v>
      </c>
      <c r="Q245" t="s">
        <v>701</v>
      </c>
      <c r="R245" t="s">
        <v>710</v>
      </c>
      <c r="S245" t="s">
        <v>724</v>
      </c>
      <c r="T245" t="s">
        <v>730</v>
      </c>
      <c r="U245" t="s">
        <v>977</v>
      </c>
      <c r="V245" s="8">
        <v>1013.54</v>
      </c>
      <c r="W245" s="8">
        <v>927.93</v>
      </c>
      <c r="X245" s="8">
        <f t="shared" si="10"/>
        <v>815.10700000000008</v>
      </c>
      <c r="Y245" s="8">
        <f t="shared" si="11"/>
        <v>1620.05</v>
      </c>
      <c r="Z245" s="8" t="str">
        <f>IF(W244 &lt;= X243, "Low",IF(W244 &lt;= Y244, "Medium", "High"))</f>
        <v>Low</v>
      </c>
      <c r="AA245">
        <v>0.17499999999999999</v>
      </c>
      <c r="AB245">
        <f>IF(Table1[[#This Row],[DiscountPct]]&gt;0.2,1,0)</f>
        <v>0</v>
      </c>
      <c r="AC245" s="6">
        <v>16</v>
      </c>
      <c r="AD245" s="8">
        <f>Table1[[#This Row],[UnitPrice]]*Table1[[#This Row],[Quantity]]</f>
        <v>14846.88</v>
      </c>
      <c r="AE245" s="8">
        <f>Table1[[#This Row],[UnitCost]]*Table1[[#This Row],[Quantity]]</f>
        <v>16216.64</v>
      </c>
      <c r="AF245" s="8">
        <f>Table1[[#This Row],[GrossRevenue]]-Table1[[#This Row],[CostOfGoods]]</f>
        <v>-1369.7600000000002</v>
      </c>
      <c r="AG245" s="9">
        <f>IF(Table1[[#This Row],[GrossRevenue]]=0,0,Table1[[#This Row],[GrossProfit]]/Table1[[#This Row],[GrossRevenue]])</f>
        <v>-9.225911437285142E-2</v>
      </c>
    </row>
    <row r="246" spans="1:33" x14ac:dyDescent="0.45">
      <c r="A246" t="s">
        <v>259</v>
      </c>
      <c r="B246">
        <v>1</v>
      </c>
      <c r="C246" s="3">
        <v>45357</v>
      </c>
      <c r="D246" s="6">
        <f>YEAR(Table1[[#This Row],[OrderDate]]) * 100 + MONTH(Table1[[#This Row],[OrderDate]])</f>
        <v>202403</v>
      </c>
      <c r="E246" s="6">
        <f>_xlfn.MINIFS(Table1[OrderMonthKey],Table1[Country],Table1[[#This Row],[Country]])</f>
        <v>202301</v>
      </c>
      <c r="F246" s="6">
        <f>Table1[[#This Row],[CountryFirstMonthKey]]</f>
        <v>202301</v>
      </c>
      <c r="G246" s="6">
        <f>12*(INT(Table1[[#This Row],[OrderMonthKey]]/100)-INT(Table1[[#This Row],[CohortMonthKey]]/100)) + (MOD(Table1[[#This Row],[OrderMonthKey]],100)-MOD(Table1[[#This Row],[CohortMonthKey]],100))</f>
        <v>14</v>
      </c>
      <c r="H246" s="3" t="str">
        <f>TEXT(Table1[[#This Row],[OrderDate]],"MMM-YYYY")</f>
        <v>Mar-2024</v>
      </c>
      <c r="I246" s="3" t="str">
        <f t="shared" si="9"/>
        <v>Q2-2023</v>
      </c>
      <c r="J246" s="26" t="str">
        <f>IF(Table1[[#This Row],[LeadTimeDays]]&lt;=7,"Yes","No")</f>
        <v>No</v>
      </c>
      <c r="K246" s="6">
        <f>_xlfn.DAYS(Table1[[#This Row],[CorrectedRequiredDate]],Table1[[#This Row],[OrderDate]])</f>
        <v>20</v>
      </c>
      <c r="L246" s="3">
        <f>IF(Table1[[#This Row],[RequiredDate]]&lt;Table1[[#This Row],[OrderDate]],Table1[[#This Row],[OrderDate]],Table1[[#This Row],[RequiredDate]])</f>
        <v>45377</v>
      </c>
      <c r="M246" s="3">
        <v>45377</v>
      </c>
      <c r="N246" t="s">
        <v>646</v>
      </c>
      <c r="O246" t="s">
        <v>651</v>
      </c>
      <c r="P246" t="s">
        <v>663</v>
      </c>
      <c r="Q246" t="s">
        <v>704</v>
      </c>
      <c r="R246" t="s">
        <v>709</v>
      </c>
      <c r="S246" t="s">
        <v>714</v>
      </c>
      <c r="T246" t="s">
        <v>730</v>
      </c>
      <c r="U246" t="s">
        <v>978</v>
      </c>
      <c r="V246" s="8">
        <v>65.64</v>
      </c>
      <c r="W246" s="8">
        <v>151.88</v>
      </c>
      <c r="X246" s="8">
        <f t="shared" si="10"/>
        <v>815.10700000000008</v>
      </c>
      <c r="Y246" s="8">
        <f t="shared" si="11"/>
        <v>1620.05</v>
      </c>
      <c r="Z246" s="8" t="str">
        <f>IF(W245 &lt;= X244, "Low",IF(W245 &lt;= Y245, "Medium", "High"))</f>
        <v>Medium</v>
      </c>
      <c r="AA246">
        <v>0.16700000000000001</v>
      </c>
      <c r="AB246">
        <f>IF(Table1[[#This Row],[DiscountPct]]&gt;0.2,1,0)</f>
        <v>0</v>
      </c>
      <c r="AC246" s="6">
        <v>23</v>
      </c>
      <c r="AD246" s="8">
        <f>Table1[[#This Row],[UnitPrice]]*Table1[[#This Row],[Quantity]]</f>
        <v>3493.24</v>
      </c>
      <c r="AE246" s="8">
        <f>Table1[[#This Row],[UnitCost]]*Table1[[#This Row],[Quantity]]</f>
        <v>1509.72</v>
      </c>
      <c r="AF246" s="8">
        <f>Table1[[#This Row],[GrossRevenue]]-Table1[[#This Row],[CostOfGoods]]</f>
        <v>1983.5199999999998</v>
      </c>
      <c r="AG246" s="9">
        <f>IF(Table1[[#This Row],[GrossRevenue]]=0,0,Table1[[#This Row],[GrossProfit]]/Table1[[#This Row],[GrossRevenue]])</f>
        <v>0.56781669739267837</v>
      </c>
    </row>
    <row r="247" spans="1:33" x14ac:dyDescent="0.45">
      <c r="A247" t="s">
        <v>260</v>
      </c>
      <c r="B247">
        <v>1</v>
      </c>
      <c r="C247" s="3">
        <v>45338</v>
      </c>
      <c r="D247" s="6">
        <f>YEAR(Table1[[#This Row],[OrderDate]]) * 100 + MONTH(Table1[[#This Row],[OrderDate]])</f>
        <v>202402</v>
      </c>
      <c r="E247" s="6">
        <f>_xlfn.MINIFS(Table1[OrderMonthKey],Table1[Country],Table1[[#This Row],[Country]])</f>
        <v>202301</v>
      </c>
      <c r="F247" s="6">
        <f>Table1[[#This Row],[CountryFirstMonthKey]]</f>
        <v>202301</v>
      </c>
      <c r="G247" s="6">
        <f>12*(INT(Table1[[#This Row],[OrderMonthKey]]/100)-INT(Table1[[#This Row],[CohortMonthKey]]/100)) + (MOD(Table1[[#This Row],[OrderMonthKey]],100)-MOD(Table1[[#This Row],[CohortMonthKey]],100))</f>
        <v>13</v>
      </c>
      <c r="H247" s="3" t="str">
        <f>TEXT(Table1[[#This Row],[OrderDate]],"MMM-YYYY")</f>
        <v>Feb-2024</v>
      </c>
      <c r="I247" s="3" t="str">
        <f t="shared" si="9"/>
        <v>Q1-2024</v>
      </c>
      <c r="J247" s="26" t="str">
        <f>IF(Table1[[#This Row],[LeadTimeDays]]&lt;=7,"Yes","No")</f>
        <v>No</v>
      </c>
      <c r="K247" s="6">
        <f>_xlfn.DAYS(Table1[[#This Row],[CorrectedRequiredDate]],Table1[[#This Row],[OrderDate]])</f>
        <v>17</v>
      </c>
      <c r="L247" s="3">
        <f>IF(Table1[[#This Row],[RequiredDate]]&lt;Table1[[#This Row],[OrderDate]],Table1[[#This Row],[OrderDate]],Table1[[#This Row],[RequiredDate]])</f>
        <v>45355</v>
      </c>
      <c r="M247" s="3">
        <v>45355</v>
      </c>
      <c r="N247" t="s">
        <v>648</v>
      </c>
      <c r="O247" t="s">
        <v>653</v>
      </c>
      <c r="P247" t="s">
        <v>681</v>
      </c>
      <c r="Q247" t="s">
        <v>703</v>
      </c>
      <c r="R247" t="s">
        <v>707</v>
      </c>
      <c r="S247" t="s">
        <v>726</v>
      </c>
      <c r="T247" t="s">
        <v>731</v>
      </c>
      <c r="U247" t="s">
        <v>979</v>
      </c>
      <c r="V247" s="8">
        <v>1350.98</v>
      </c>
      <c r="W247" s="8">
        <v>2210.4</v>
      </c>
      <c r="X247" s="8">
        <f t="shared" si="10"/>
        <v>815.10700000000008</v>
      </c>
      <c r="Y247" s="8">
        <f t="shared" si="11"/>
        <v>1620.05</v>
      </c>
      <c r="Z247" s="8" t="str">
        <f>IF(W246 &lt;= X245, "Low",IF(W246 &lt;= Y246, "Medium", "High"))</f>
        <v>Low</v>
      </c>
      <c r="AA247">
        <v>0.26300000000000001</v>
      </c>
      <c r="AB247">
        <f>IF(Table1[[#This Row],[DiscountPct]]&gt;0.2,1,0)</f>
        <v>1</v>
      </c>
      <c r="AC247" s="6">
        <v>6</v>
      </c>
      <c r="AD247" s="8">
        <f>Table1[[#This Row],[UnitPrice]]*Table1[[#This Row],[Quantity]]</f>
        <v>13262.400000000001</v>
      </c>
      <c r="AE247" s="8">
        <f>Table1[[#This Row],[UnitCost]]*Table1[[#This Row],[Quantity]]</f>
        <v>8105.88</v>
      </c>
      <c r="AF247" s="8">
        <f>Table1[[#This Row],[GrossRevenue]]-Table1[[#This Row],[CostOfGoods]]</f>
        <v>5156.5200000000013</v>
      </c>
      <c r="AG247" s="9">
        <f>IF(Table1[[#This Row],[GrossRevenue]]=0,0,Table1[[#This Row],[GrossProfit]]/Table1[[#This Row],[GrossRevenue]])</f>
        <v>0.38880745566413327</v>
      </c>
    </row>
    <row r="248" spans="1:33" hidden="1" x14ac:dyDescent="0.45">
      <c r="A248" t="s">
        <v>261</v>
      </c>
      <c r="C248" s="3">
        <v>45769</v>
      </c>
      <c r="D248" s="3">
        <f>YEAR(Table1[[#This Row],[OrderDate]]) * 100 + MONTH(Table1[[#This Row],[OrderDate]])</f>
        <v>202504</v>
      </c>
      <c r="E248" s="3">
        <f>_xlfn.MINIFS(Table1[OrderMonthKey],Table1[Country],Table1[[#This Row],[Country]])</f>
        <v>202301</v>
      </c>
      <c r="F248" s="3">
        <f>Table1[[#This Row],[CountryFirstMonthKey]]</f>
        <v>202301</v>
      </c>
      <c r="G248" s="3">
        <f>12*(INT(Table1[[#This Row],[OrderMonthKey]]/100)-INT(Table1[[#This Row],[CohortMonthKey]]/100)) + (MOD(Table1[[#This Row],[OrderMonthKey]],100)-MOD(Table1[[#This Row],[CohortMonthKey]],100))</f>
        <v>27</v>
      </c>
      <c r="H248" s="3" t="str">
        <f>TEXT(Table1[[#This Row],[OrderDate]],"MMM-YYYY")</f>
        <v>Apr-2025</v>
      </c>
      <c r="I248" s="3" t="str">
        <f t="shared" si="9"/>
        <v>Q1-2024</v>
      </c>
      <c r="J248" s="3" t="str">
        <f>IF(Table1[[#This Row],[LeadTimeDays]]&lt;=7,"Yes","No")</f>
        <v>No</v>
      </c>
      <c r="K248" s="3">
        <f>_xlfn.DAYS(Table1[[#This Row],[CorrectedRequiredDate]],Table1[[#This Row],[OrderDate]])</f>
        <v>10</v>
      </c>
      <c r="L248" s="3">
        <f>IF(Table1[[#This Row],[RequiredDate]]&lt;Table1[[#This Row],[OrderDate]],Table1[[#This Row],[OrderDate]],Table1[[#This Row],[RequiredDate]])</f>
        <v>45779</v>
      </c>
      <c r="M248" s="3">
        <v>45779</v>
      </c>
      <c r="N248" t="s">
        <v>649</v>
      </c>
      <c r="O248" t="s">
        <v>656</v>
      </c>
      <c r="P248" t="s">
        <v>671</v>
      </c>
      <c r="Q248" t="s">
        <v>701</v>
      </c>
      <c r="R248" t="s">
        <v>709</v>
      </c>
      <c r="S248" t="s">
        <v>712</v>
      </c>
      <c r="T248" t="s">
        <v>732</v>
      </c>
      <c r="U248" t="s">
        <v>980</v>
      </c>
      <c r="V248" s="8">
        <v>20.149999999999999</v>
      </c>
      <c r="W248" s="8">
        <v>39.74</v>
      </c>
      <c r="X248" s="8">
        <f t="shared" si="10"/>
        <v>815.10700000000008</v>
      </c>
      <c r="Y248" s="8">
        <f t="shared" si="11"/>
        <v>1620.05</v>
      </c>
      <c r="AA248">
        <v>0.151</v>
      </c>
      <c r="AB248">
        <f>IF(Table1[[#This Row],[DiscountPct]]&gt;0.2,1,0)</f>
        <v>0</v>
      </c>
      <c r="AC248" s="6">
        <v>18</v>
      </c>
      <c r="AD248" s="8">
        <f>Table1[[#This Row],[UnitPrice]]*Table1[[#This Row],[Quantity]]</f>
        <v>715.32</v>
      </c>
      <c r="AE248" s="8">
        <f>Table1[[#This Row],[UnitCost]]*Table1[[#This Row],[Quantity]]</f>
        <v>362.7</v>
      </c>
      <c r="AF248" s="8">
        <f>Table1[[#This Row],[GrossRevenue]]-Table1[[#This Row],[CostOfGoods]]</f>
        <v>352.62000000000006</v>
      </c>
      <c r="AG248" s="8">
        <f>IF(Table1[[#This Row],[GrossRevenue]]=0,0,Table1[[#This Row],[GrossProfit]]/Table1[[#This Row],[GrossRevenue]])</f>
        <v>0.49295420231504788</v>
      </c>
    </row>
    <row r="249" spans="1:33" hidden="1" x14ac:dyDescent="0.45">
      <c r="A249" t="s">
        <v>262</v>
      </c>
      <c r="C249" s="3">
        <v>45604</v>
      </c>
      <c r="D249" s="3">
        <f>YEAR(Table1[[#This Row],[OrderDate]]) * 100 + MONTH(Table1[[#This Row],[OrderDate]])</f>
        <v>202411</v>
      </c>
      <c r="E249" s="3">
        <f>_xlfn.MINIFS(Table1[OrderMonthKey],Table1[Country],Table1[[#This Row],[Country]])</f>
        <v>202301</v>
      </c>
      <c r="F249" s="3">
        <f>Table1[[#This Row],[CountryFirstMonthKey]]</f>
        <v>202301</v>
      </c>
      <c r="G249" s="3">
        <f>12*(INT(Table1[[#This Row],[OrderMonthKey]]/100)-INT(Table1[[#This Row],[CohortMonthKey]]/100)) + (MOD(Table1[[#This Row],[OrderMonthKey]],100)-MOD(Table1[[#This Row],[CohortMonthKey]],100))</f>
        <v>22</v>
      </c>
      <c r="H249" s="3" t="str">
        <f>TEXT(Table1[[#This Row],[OrderDate]],"MMM-YYYY")</f>
        <v>Nov-2024</v>
      </c>
      <c r="I249" s="3" t="str">
        <f t="shared" si="9"/>
        <v>Q2-2025</v>
      </c>
      <c r="J249" s="3" t="str">
        <f>IF(Table1[[#This Row],[LeadTimeDays]]&lt;=7,"Yes","No")</f>
        <v>Yes</v>
      </c>
      <c r="K249" s="3">
        <f>_xlfn.DAYS(Table1[[#This Row],[CorrectedRequiredDate]],Table1[[#This Row],[OrderDate]])</f>
        <v>0</v>
      </c>
      <c r="L249" s="3">
        <f>IF(Table1[[#This Row],[RequiredDate]]&lt;Table1[[#This Row],[OrderDate]],Table1[[#This Row],[OrderDate]],Table1[[#This Row],[RequiredDate]])</f>
        <v>45604</v>
      </c>
      <c r="M249" s="3">
        <v>45604</v>
      </c>
      <c r="N249" t="s">
        <v>646</v>
      </c>
      <c r="O249" t="s">
        <v>650</v>
      </c>
      <c r="P249" t="s">
        <v>678</v>
      </c>
      <c r="Q249" t="s">
        <v>706</v>
      </c>
      <c r="R249" t="s">
        <v>709</v>
      </c>
      <c r="S249" t="s">
        <v>724</v>
      </c>
      <c r="T249" t="s">
        <v>729</v>
      </c>
      <c r="U249" t="s">
        <v>981</v>
      </c>
      <c r="V249" s="8">
        <v>803.28</v>
      </c>
      <c r="W249" s="8">
        <v>1009</v>
      </c>
      <c r="X249" s="8">
        <f t="shared" si="10"/>
        <v>815.10700000000008</v>
      </c>
      <c r="Y249" s="8">
        <f t="shared" si="11"/>
        <v>1620.05</v>
      </c>
      <c r="AA249">
        <v>0.11</v>
      </c>
      <c r="AB249">
        <f>IF(Table1[[#This Row],[DiscountPct]]&gt;0.2,1,0)</f>
        <v>0</v>
      </c>
      <c r="AC249" s="6">
        <v>4</v>
      </c>
      <c r="AD249" s="8">
        <f>Table1[[#This Row],[UnitPrice]]*Table1[[#This Row],[Quantity]]</f>
        <v>4036</v>
      </c>
      <c r="AE249" s="8">
        <f>Table1[[#This Row],[UnitCost]]*Table1[[#This Row],[Quantity]]</f>
        <v>3213.12</v>
      </c>
      <c r="AF249" s="8">
        <f>Table1[[#This Row],[GrossRevenue]]-Table1[[#This Row],[CostOfGoods]]</f>
        <v>822.88000000000011</v>
      </c>
      <c r="AG249" s="8">
        <f>IF(Table1[[#This Row],[GrossRevenue]]=0,0,Table1[[#This Row],[GrossProfit]]/Table1[[#This Row],[GrossRevenue]])</f>
        <v>0.20388503468780975</v>
      </c>
    </row>
    <row r="250" spans="1:33" hidden="1" x14ac:dyDescent="0.45">
      <c r="A250" t="s">
        <v>263</v>
      </c>
      <c r="C250" s="3">
        <v>45912</v>
      </c>
      <c r="D250" s="3">
        <f>YEAR(Table1[[#This Row],[OrderDate]]) * 100 + MONTH(Table1[[#This Row],[OrderDate]])</f>
        <v>202509</v>
      </c>
      <c r="E250" s="3">
        <f>_xlfn.MINIFS(Table1[OrderMonthKey],Table1[Country],Table1[[#This Row],[Country]])</f>
        <v>202303</v>
      </c>
      <c r="F250" s="3">
        <f>Table1[[#This Row],[CountryFirstMonthKey]]</f>
        <v>202303</v>
      </c>
      <c r="G250" s="3">
        <f>12*(INT(Table1[[#This Row],[OrderMonthKey]]/100)-INT(Table1[[#This Row],[CohortMonthKey]]/100)) + (MOD(Table1[[#This Row],[OrderMonthKey]],100)-MOD(Table1[[#This Row],[CohortMonthKey]],100))</f>
        <v>30</v>
      </c>
      <c r="H250" s="3" t="str">
        <f>TEXT(Table1[[#This Row],[OrderDate]],"MMM-YYYY")</f>
        <v>Sep-2025</v>
      </c>
      <c r="I250" s="3" t="str">
        <f t="shared" si="9"/>
        <v>Q4-2024</v>
      </c>
      <c r="J250" s="3" t="str">
        <f>IF(Table1[[#This Row],[LeadTimeDays]]&lt;=7,"Yes","No")</f>
        <v>No</v>
      </c>
      <c r="K250" s="3">
        <f>_xlfn.DAYS(Table1[[#This Row],[CorrectedRequiredDate]],Table1[[#This Row],[OrderDate]])</f>
        <v>18</v>
      </c>
      <c r="L250" s="3">
        <f>IF(Table1[[#This Row],[RequiredDate]]&lt;Table1[[#This Row],[OrderDate]],Table1[[#This Row],[OrderDate]],Table1[[#This Row],[RequiredDate]])</f>
        <v>45930</v>
      </c>
      <c r="M250" s="3">
        <v>45930</v>
      </c>
      <c r="N250" t="s">
        <v>647</v>
      </c>
      <c r="O250" t="s">
        <v>652</v>
      </c>
      <c r="P250" t="s">
        <v>694</v>
      </c>
      <c r="Q250" t="s">
        <v>703</v>
      </c>
      <c r="R250" t="s">
        <v>709</v>
      </c>
      <c r="S250" t="s">
        <v>721</v>
      </c>
      <c r="T250" t="s">
        <v>732</v>
      </c>
      <c r="U250" t="s">
        <v>982</v>
      </c>
      <c r="V250" s="8">
        <v>1212.99</v>
      </c>
      <c r="W250" s="8">
        <v>1653.64</v>
      </c>
      <c r="X250" s="8">
        <f t="shared" si="10"/>
        <v>815.10700000000008</v>
      </c>
      <c r="Y250" s="8">
        <f t="shared" si="11"/>
        <v>1620.05</v>
      </c>
      <c r="AA250">
        <v>0.107</v>
      </c>
      <c r="AB250">
        <f>IF(Table1[[#This Row],[DiscountPct]]&gt;0.2,1,0)</f>
        <v>0</v>
      </c>
      <c r="AC250" s="6">
        <v>8</v>
      </c>
      <c r="AD250" s="8">
        <f>Table1[[#This Row],[UnitPrice]]*Table1[[#This Row],[Quantity]]</f>
        <v>13229.12</v>
      </c>
      <c r="AE250" s="8">
        <f>Table1[[#This Row],[UnitCost]]*Table1[[#This Row],[Quantity]]</f>
        <v>9703.92</v>
      </c>
      <c r="AF250" s="8">
        <f>Table1[[#This Row],[GrossRevenue]]-Table1[[#This Row],[CostOfGoods]]</f>
        <v>3525.2000000000007</v>
      </c>
      <c r="AG250" s="8">
        <f>IF(Table1[[#This Row],[GrossRevenue]]=0,0,Table1[[#This Row],[GrossProfit]]/Table1[[#This Row],[GrossRevenue]])</f>
        <v>0.26647275102198792</v>
      </c>
    </row>
    <row r="251" spans="1:33" hidden="1" x14ac:dyDescent="0.45">
      <c r="A251" t="s">
        <v>264</v>
      </c>
      <c r="C251" s="3">
        <v>45537</v>
      </c>
      <c r="D251" s="3">
        <f>YEAR(Table1[[#This Row],[OrderDate]]) * 100 + MONTH(Table1[[#This Row],[OrderDate]])</f>
        <v>202409</v>
      </c>
      <c r="E251" s="3">
        <f>_xlfn.MINIFS(Table1[OrderMonthKey],Table1[Country],Table1[[#This Row],[Country]])</f>
        <v>202301</v>
      </c>
      <c r="F251" s="3">
        <f>Table1[[#This Row],[CountryFirstMonthKey]]</f>
        <v>202301</v>
      </c>
      <c r="G251" s="3">
        <f>12*(INT(Table1[[#This Row],[OrderMonthKey]]/100)-INT(Table1[[#This Row],[CohortMonthKey]]/100)) + (MOD(Table1[[#This Row],[OrderMonthKey]],100)-MOD(Table1[[#This Row],[CohortMonthKey]],100))</f>
        <v>20</v>
      </c>
      <c r="H251" s="3" t="str">
        <f>TEXT(Table1[[#This Row],[OrderDate]],"MMM-YYYY")</f>
        <v>Sep-2024</v>
      </c>
      <c r="I251" s="3" t="str">
        <f t="shared" si="9"/>
        <v>Q3-2025</v>
      </c>
      <c r="J251" s="3" t="str">
        <f>IF(Table1[[#This Row],[LeadTimeDays]]&lt;=7,"Yes","No")</f>
        <v>Yes</v>
      </c>
      <c r="K251" s="3">
        <f>_xlfn.DAYS(Table1[[#This Row],[CorrectedRequiredDate]],Table1[[#This Row],[OrderDate]])</f>
        <v>6</v>
      </c>
      <c r="L251" s="3">
        <f>IF(Table1[[#This Row],[RequiredDate]]&lt;Table1[[#This Row],[OrderDate]],Table1[[#This Row],[OrderDate]],Table1[[#This Row],[RequiredDate]])</f>
        <v>45543</v>
      </c>
      <c r="M251" s="3">
        <v>45543</v>
      </c>
      <c r="N251" t="s">
        <v>648</v>
      </c>
      <c r="O251" t="s">
        <v>660</v>
      </c>
      <c r="P251" t="s">
        <v>697</v>
      </c>
      <c r="Q251" t="s">
        <v>704</v>
      </c>
      <c r="R251" t="s">
        <v>711</v>
      </c>
      <c r="S251" t="s">
        <v>722</v>
      </c>
      <c r="T251" t="s">
        <v>727</v>
      </c>
      <c r="U251" t="s">
        <v>983</v>
      </c>
      <c r="V251" s="8">
        <v>462.94</v>
      </c>
      <c r="W251" s="8">
        <v>1015.7</v>
      </c>
      <c r="X251" s="8">
        <f t="shared" si="10"/>
        <v>815.10700000000008</v>
      </c>
      <c r="Y251" s="8">
        <f t="shared" si="11"/>
        <v>1620.05</v>
      </c>
      <c r="AA251">
        <v>0.14299999999999999</v>
      </c>
      <c r="AB251">
        <f>IF(Table1[[#This Row],[DiscountPct]]&gt;0.2,1,0)</f>
        <v>0</v>
      </c>
      <c r="AC251" s="6">
        <v>14</v>
      </c>
      <c r="AD251" s="8">
        <f>Table1[[#This Row],[UnitPrice]]*Table1[[#This Row],[Quantity]]</f>
        <v>14219.800000000001</v>
      </c>
      <c r="AE251" s="8">
        <f>Table1[[#This Row],[UnitCost]]*Table1[[#This Row],[Quantity]]</f>
        <v>6481.16</v>
      </c>
      <c r="AF251" s="8">
        <f>Table1[[#This Row],[GrossRevenue]]-Table1[[#This Row],[CostOfGoods]]</f>
        <v>7738.6400000000012</v>
      </c>
      <c r="AG251" s="8">
        <f>IF(Table1[[#This Row],[GrossRevenue]]=0,0,Table1[[#This Row],[GrossProfit]]/Table1[[#This Row],[GrossRevenue]])</f>
        <v>0.54421581175543965</v>
      </c>
    </row>
    <row r="252" spans="1:33" x14ac:dyDescent="0.45">
      <c r="A252" t="s">
        <v>265</v>
      </c>
      <c r="B252">
        <v>1</v>
      </c>
      <c r="C252" s="3">
        <v>44989</v>
      </c>
      <c r="D252" s="6">
        <f>YEAR(Table1[[#This Row],[OrderDate]]) * 100 + MONTH(Table1[[#This Row],[OrderDate]])</f>
        <v>202303</v>
      </c>
      <c r="E252" s="6">
        <f>_xlfn.MINIFS(Table1[OrderMonthKey],Table1[Country],Table1[[#This Row],[Country]])</f>
        <v>202301</v>
      </c>
      <c r="F252" s="6">
        <f>Table1[[#This Row],[CountryFirstMonthKey]]</f>
        <v>202301</v>
      </c>
      <c r="G252" s="6">
        <f>12*(INT(Table1[[#This Row],[OrderMonthKey]]/100)-INT(Table1[[#This Row],[CohortMonthKey]]/100)) + (MOD(Table1[[#This Row],[OrderMonthKey]],100)-MOD(Table1[[#This Row],[CohortMonthKey]],100))</f>
        <v>2</v>
      </c>
      <c r="H252" s="3" t="str">
        <f>TEXT(Table1[[#This Row],[OrderDate]],"MMM-YYYY")</f>
        <v>Mar-2023</v>
      </c>
      <c r="I252" s="3" t="str">
        <f t="shared" si="9"/>
        <v>Q3-2024</v>
      </c>
      <c r="J252" s="26" t="str">
        <f>IF(Table1[[#This Row],[LeadTimeDays]]&lt;=7,"Yes","No")</f>
        <v>No</v>
      </c>
      <c r="K252" s="6">
        <f>_xlfn.DAYS(Table1[[#This Row],[CorrectedRequiredDate]],Table1[[#This Row],[OrderDate]])</f>
        <v>20</v>
      </c>
      <c r="L252" s="3">
        <f>IF(Table1[[#This Row],[RequiredDate]]&lt;Table1[[#This Row],[OrderDate]],Table1[[#This Row],[OrderDate]],Table1[[#This Row],[RequiredDate]])</f>
        <v>45009</v>
      </c>
      <c r="M252" s="3">
        <v>45009</v>
      </c>
      <c r="N252" t="s">
        <v>648</v>
      </c>
      <c r="O252" t="s">
        <v>653</v>
      </c>
      <c r="P252" t="s">
        <v>681</v>
      </c>
      <c r="Q252" t="s">
        <v>704</v>
      </c>
      <c r="R252" t="s">
        <v>710</v>
      </c>
      <c r="S252" t="s">
        <v>714</v>
      </c>
      <c r="T252" t="s">
        <v>731</v>
      </c>
      <c r="U252" t="s">
        <v>984</v>
      </c>
      <c r="V252" s="8">
        <v>481.71</v>
      </c>
      <c r="W252" s="8">
        <v>912.45</v>
      </c>
      <c r="X252" s="8">
        <f t="shared" si="10"/>
        <v>815.10700000000008</v>
      </c>
      <c r="Y252" s="8">
        <f t="shared" si="11"/>
        <v>1620.05</v>
      </c>
      <c r="Z252" s="8" t="str">
        <f>IF(W251 &lt;= X250, "Low",IF(W251 &lt;= Y251, "Medium", "High"))</f>
        <v>Medium</v>
      </c>
      <c r="AA252">
        <v>0.20300000000000001</v>
      </c>
      <c r="AB252">
        <f>IF(Table1[[#This Row],[DiscountPct]]&gt;0.2,1,0)</f>
        <v>1</v>
      </c>
      <c r="AC252" s="6">
        <v>24</v>
      </c>
      <c r="AD252" s="8">
        <f>Table1[[#This Row],[UnitPrice]]*Table1[[#This Row],[Quantity]]</f>
        <v>21898.800000000003</v>
      </c>
      <c r="AE252" s="8">
        <f>Table1[[#This Row],[UnitCost]]*Table1[[#This Row],[Quantity]]</f>
        <v>11561.039999999999</v>
      </c>
      <c r="AF252" s="8">
        <f>Table1[[#This Row],[GrossRevenue]]-Table1[[#This Row],[CostOfGoods]]</f>
        <v>10337.760000000004</v>
      </c>
      <c r="AG252" s="9">
        <f>IF(Table1[[#This Row],[GrossRevenue]]=0,0,Table1[[#This Row],[GrossProfit]]/Table1[[#This Row],[GrossRevenue]])</f>
        <v>0.4720697024494494</v>
      </c>
    </row>
    <row r="253" spans="1:33" x14ac:dyDescent="0.45">
      <c r="A253" t="s">
        <v>266</v>
      </c>
      <c r="B253">
        <v>1</v>
      </c>
      <c r="C253" s="3">
        <v>45366</v>
      </c>
      <c r="D253" s="6">
        <f>YEAR(Table1[[#This Row],[OrderDate]]) * 100 + MONTH(Table1[[#This Row],[OrderDate]])</f>
        <v>202403</v>
      </c>
      <c r="E253" s="6">
        <f>_xlfn.MINIFS(Table1[OrderMonthKey],Table1[Country],Table1[[#This Row],[Country]])</f>
        <v>202301</v>
      </c>
      <c r="F253" s="6">
        <f>Table1[[#This Row],[CountryFirstMonthKey]]</f>
        <v>202301</v>
      </c>
      <c r="G253" s="6">
        <f>12*(INT(Table1[[#This Row],[OrderMonthKey]]/100)-INT(Table1[[#This Row],[CohortMonthKey]]/100)) + (MOD(Table1[[#This Row],[OrderMonthKey]],100)-MOD(Table1[[#This Row],[CohortMonthKey]],100))</f>
        <v>14</v>
      </c>
      <c r="H253" s="3" t="str">
        <f>TEXT(Table1[[#This Row],[OrderDate]],"MMM-YYYY")</f>
        <v>Mar-2024</v>
      </c>
      <c r="I253" s="3" t="str">
        <f t="shared" si="9"/>
        <v>Q1-2023</v>
      </c>
      <c r="J253" s="26" t="str">
        <f>IF(Table1[[#This Row],[LeadTimeDays]]&lt;=7,"Yes","No")</f>
        <v>No</v>
      </c>
      <c r="K253" s="6">
        <f>_xlfn.DAYS(Table1[[#This Row],[CorrectedRequiredDate]],Table1[[#This Row],[OrderDate]])</f>
        <v>25</v>
      </c>
      <c r="L253" s="3">
        <f>IF(Table1[[#This Row],[RequiredDate]]&lt;Table1[[#This Row],[OrderDate]],Table1[[#This Row],[OrderDate]],Table1[[#This Row],[RequiredDate]])</f>
        <v>45391</v>
      </c>
      <c r="M253" s="3">
        <v>45391</v>
      </c>
      <c r="N253" t="s">
        <v>648</v>
      </c>
      <c r="O253" t="s">
        <v>653</v>
      </c>
      <c r="P253" t="s">
        <v>688</v>
      </c>
      <c r="Q253" t="s">
        <v>704</v>
      </c>
      <c r="R253" t="s">
        <v>708</v>
      </c>
      <c r="S253" t="s">
        <v>721</v>
      </c>
      <c r="T253" t="s">
        <v>732</v>
      </c>
      <c r="U253" t="s">
        <v>985</v>
      </c>
      <c r="V253" s="8">
        <v>648.64</v>
      </c>
      <c r="W253" s="8">
        <v>815.19</v>
      </c>
      <c r="X253" s="8">
        <f t="shared" si="10"/>
        <v>815.10700000000008</v>
      </c>
      <c r="Y253" s="8">
        <f t="shared" si="11"/>
        <v>1620.05</v>
      </c>
      <c r="Z253" s="8" t="str">
        <f>IF(W252 &lt;= X251, "Low",IF(W252 &lt;= Y252, "Medium", "High"))</f>
        <v>Medium</v>
      </c>
      <c r="AA253">
        <v>0.22500000000000001</v>
      </c>
      <c r="AB253">
        <f>IF(Table1[[#This Row],[DiscountPct]]&gt;0.2,1,0)</f>
        <v>1</v>
      </c>
      <c r="AC253" s="6">
        <v>28</v>
      </c>
      <c r="AD253" s="8">
        <f>Table1[[#This Row],[UnitPrice]]*Table1[[#This Row],[Quantity]]</f>
        <v>22825.32</v>
      </c>
      <c r="AE253" s="8">
        <f>Table1[[#This Row],[UnitCost]]*Table1[[#This Row],[Quantity]]</f>
        <v>18161.919999999998</v>
      </c>
      <c r="AF253" s="8">
        <f>Table1[[#This Row],[GrossRevenue]]-Table1[[#This Row],[CostOfGoods]]</f>
        <v>4663.4000000000015</v>
      </c>
      <c r="AG253" s="9">
        <f>IF(Table1[[#This Row],[GrossRevenue]]=0,0,Table1[[#This Row],[GrossProfit]]/Table1[[#This Row],[GrossRevenue]])</f>
        <v>0.20430819808878919</v>
      </c>
    </row>
    <row r="254" spans="1:33" hidden="1" x14ac:dyDescent="0.45">
      <c r="A254" t="s">
        <v>267</v>
      </c>
      <c r="C254" s="3">
        <v>45502</v>
      </c>
      <c r="D254" s="3">
        <f>YEAR(Table1[[#This Row],[OrderDate]]) * 100 + MONTH(Table1[[#This Row],[OrderDate]])</f>
        <v>202407</v>
      </c>
      <c r="E254" s="3">
        <f>_xlfn.MINIFS(Table1[OrderMonthKey],Table1[Country],Table1[[#This Row],[Country]])</f>
        <v>202301</v>
      </c>
      <c r="F254" s="3">
        <f>Table1[[#This Row],[CountryFirstMonthKey]]</f>
        <v>202301</v>
      </c>
      <c r="G254" s="3">
        <f>12*(INT(Table1[[#This Row],[OrderMonthKey]]/100)-INT(Table1[[#This Row],[CohortMonthKey]]/100)) + (MOD(Table1[[#This Row],[OrderMonthKey]],100)-MOD(Table1[[#This Row],[CohortMonthKey]],100))</f>
        <v>18</v>
      </c>
      <c r="H254" s="3" t="str">
        <f>TEXT(Table1[[#This Row],[OrderDate]],"MMM-YYYY")</f>
        <v>Jul-2024</v>
      </c>
      <c r="I254" s="3" t="str">
        <f t="shared" si="9"/>
        <v>Q1-2024</v>
      </c>
      <c r="J254" s="3" t="str">
        <f>IF(Table1[[#This Row],[LeadTimeDays]]&lt;=7,"Yes","No")</f>
        <v>Yes</v>
      </c>
      <c r="K254" s="3">
        <f>_xlfn.DAYS(Table1[[#This Row],[CorrectedRequiredDate]],Table1[[#This Row],[OrderDate]])</f>
        <v>2</v>
      </c>
      <c r="L254" s="3">
        <f>IF(Table1[[#This Row],[RequiredDate]]&lt;Table1[[#This Row],[OrderDate]],Table1[[#This Row],[OrderDate]],Table1[[#This Row],[RequiredDate]])</f>
        <v>45504</v>
      </c>
      <c r="M254" s="3">
        <v>45504</v>
      </c>
      <c r="N254" t="s">
        <v>648</v>
      </c>
      <c r="O254" t="s">
        <v>660</v>
      </c>
      <c r="P254" t="s">
        <v>700</v>
      </c>
      <c r="Q254" t="s">
        <v>702</v>
      </c>
      <c r="R254" t="s">
        <v>709</v>
      </c>
      <c r="S254" t="s">
        <v>714</v>
      </c>
      <c r="T254" t="s">
        <v>728</v>
      </c>
      <c r="U254" t="s">
        <v>986</v>
      </c>
      <c r="V254" s="8">
        <v>798.97</v>
      </c>
      <c r="W254" s="8">
        <v>1814.06</v>
      </c>
      <c r="X254" s="8">
        <f t="shared" si="10"/>
        <v>815.10700000000008</v>
      </c>
      <c r="Y254" s="8">
        <f t="shared" si="11"/>
        <v>1620.05</v>
      </c>
      <c r="AA254">
        <v>0.122</v>
      </c>
      <c r="AB254">
        <f>IF(Table1[[#This Row],[DiscountPct]]&gt;0.2,1,0)</f>
        <v>0</v>
      </c>
      <c r="AC254" s="6">
        <v>16</v>
      </c>
      <c r="AD254" s="8">
        <f>Table1[[#This Row],[UnitPrice]]*Table1[[#This Row],[Quantity]]</f>
        <v>29024.959999999999</v>
      </c>
      <c r="AE254" s="8">
        <f>Table1[[#This Row],[UnitCost]]*Table1[[#This Row],[Quantity]]</f>
        <v>12783.52</v>
      </c>
      <c r="AF254" s="8">
        <f>Table1[[#This Row],[GrossRevenue]]-Table1[[#This Row],[CostOfGoods]]</f>
        <v>16241.439999999999</v>
      </c>
      <c r="AG254" s="8">
        <f>IF(Table1[[#This Row],[GrossRevenue]]=0,0,Table1[[#This Row],[GrossProfit]]/Table1[[#This Row],[GrossRevenue]])</f>
        <v>0.55956804074837652</v>
      </c>
    </row>
    <row r="255" spans="1:33" hidden="1" x14ac:dyDescent="0.45">
      <c r="A255" t="s">
        <v>268</v>
      </c>
      <c r="C255" s="3">
        <v>45592</v>
      </c>
      <c r="D255" s="3">
        <f>YEAR(Table1[[#This Row],[OrderDate]]) * 100 + MONTH(Table1[[#This Row],[OrderDate]])</f>
        <v>202410</v>
      </c>
      <c r="E255" s="3">
        <f>_xlfn.MINIFS(Table1[OrderMonthKey],Table1[Country],Table1[[#This Row],[Country]])</f>
        <v>202303</v>
      </c>
      <c r="F255" s="3">
        <f>Table1[[#This Row],[CountryFirstMonthKey]]</f>
        <v>202303</v>
      </c>
      <c r="G255" s="3">
        <f>12*(INT(Table1[[#This Row],[OrderMonthKey]]/100)-INT(Table1[[#This Row],[CohortMonthKey]]/100)) + (MOD(Table1[[#This Row],[OrderMonthKey]],100)-MOD(Table1[[#This Row],[CohortMonthKey]],100))</f>
        <v>19</v>
      </c>
      <c r="H255" s="3" t="str">
        <f>TEXT(Table1[[#This Row],[OrderDate]],"MMM-YYYY")</f>
        <v>Oct-2024</v>
      </c>
      <c r="I255" s="3" t="str">
        <f t="shared" si="9"/>
        <v>Q3-2024</v>
      </c>
      <c r="J255" s="3" t="str">
        <f>IF(Table1[[#This Row],[LeadTimeDays]]&lt;=7,"Yes","No")</f>
        <v>No</v>
      </c>
      <c r="K255" s="3">
        <f>_xlfn.DAYS(Table1[[#This Row],[CorrectedRequiredDate]],Table1[[#This Row],[OrderDate]])</f>
        <v>24</v>
      </c>
      <c r="L255" s="3">
        <f>IF(Table1[[#This Row],[RequiredDate]]&lt;Table1[[#This Row],[OrderDate]],Table1[[#This Row],[OrderDate]],Table1[[#This Row],[RequiredDate]])</f>
        <v>45616</v>
      </c>
      <c r="M255" s="3">
        <v>45616</v>
      </c>
      <c r="N255" t="s">
        <v>647</v>
      </c>
      <c r="O255" t="s">
        <v>652</v>
      </c>
      <c r="P255" t="s">
        <v>694</v>
      </c>
      <c r="Q255" t="s">
        <v>703</v>
      </c>
      <c r="R255" t="s">
        <v>708</v>
      </c>
      <c r="S255" t="s">
        <v>722</v>
      </c>
      <c r="T255" t="s">
        <v>732</v>
      </c>
      <c r="U255" t="s">
        <v>987</v>
      </c>
      <c r="V255" s="8">
        <v>317.25</v>
      </c>
      <c r="W255" s="8">
        <v>758.92</v>
      </c>
      <c r="X255" s="8">
        <f t="shared" si="10"/>
        <v>815.10700000000008</v>
      </c>
      <c r="Y255" s="8">
        <f t="shared" si="11"/>
        <v>1620.05</v>
      </c>
      <c r="AA255">
        <v>5.2999999999999999E-2</v>
      </c>
      <c r="AB255">
        <f>IF(Table1[[#This Row],[DiscountPct]]&gt;0.2,1,0)</f>
        <v>0</v>
      </c>
      <c r="AC255" s="6">
        <v>9</v>
      </c>
      <c r="AD255" s="8">
        <f>Table1[[#This Row],[UnitPrice]]*Table1[[#This Row],[Quantity]]</f>
        <v>6830.28</v>
      </c>
      <c r="AE255" s="8">
        <f>Table1[[#This Row],[UnitCost]]*Table1[[#This Row],[Quantity]]</f>
        <v>2855.25</v>
      </c>
      <c r="AF255" s="8">
        <f>Table1[[#This Row],[GrossRevenue]]-Table1[[#This Row],[CostOfGoods]]</f>
        <v>3975.0299999999997</v>
      </c>
      <c r="AG255" s="8">
        <f>IF(Table1[[#This Row],[GrossRevenue]]=0,0,Table1[[#This Row],[GrossProfit]]/Table1[[#This Row],[GrossRevenue]])</f>
        <v>0.58197174932799245</v>
      </c>
    </row>
    <row r="256" spans="1:33" hidden="1" x14ac:dyDescent="0.45">
      <c r="A256" t="s">
        <v>269</v>
      </c>
      <c r="C256" s="3">
        <v>45411</v>
      </c>
      <c r="D256" s="3">
        <f>YEAR(Table1[[#This Row],[OrderDate]]) * 100 + MONTH(Table1[[#This Row],[OrderDate]])</f>
        <v>202404</v>
      </c>
      <c r="E256" s="3">
        <f>_xlfn.MINIFS(Table1[OrderMonthKey],Table1[Country],Table1[[#This Row],[Country]])</f>
        <v>202301</v>
      </c>
      <c r="F256" s="3">
        <f>Table1[[#This Row],[CountryFirstMonthKey]]</f>
        <v>202301</v>
      </c>
      <c r="G256" s="3">
        <f>12*(INT(Table1[[#This Row],[OrderMonthKey]]/100)-INT(Table1[[#This Row],[CohortMonthKey]]/100)) + (MOD(Table1[[#This Row],[OrderMonthKey]],100)-MOD(Table1[[#This Row],[CohortMonthKey]],100))</f>
        <v>15</v>
      </c>
      <c r="H256" s="3" t="str">
        <f>TEXT(Table1[[#This Row],[OrderDate]],"MMM-YYYY")</f>
        <v>Apr-2024</v>
      </c>
      <c r="I256" s="3" t="str">
        <f t="shared" si="9"/>
        <v>Q4-2024</v>
      </c>
      <c r="J256" s="3" t="str">
        <f>IF(Table1[[#This Row],[LeadTimeDays]]&lt;=7,"Yes","No")</f>
        <v>No</v>
      </c>
      <c r="K256" s="3">
        <f>_xlfn.DAYS(Table1[[#This Row],[CorrectedRequiredDate]],Table1[[#This Row],[OrderDate]])</f>
        <v>20</v>
      </c>
      <c r="L256" s="3">
        <f>IF(Table1[[#This Row],[RequiredDate]]&lt;Table1[[#This Row],[OrderDate]],Table1[[#This Row],[OrderDate]],Table1[[#This Row],[RequiredDate]])</f>
        <v>45431</v>
      </c>
      <c r="M256" s="3">
        <v>45431</v>
      </c>
      <c r="N256" t="s">
        <v>649</v>
      </c>
      <c r="O256" t="s">
        <v>656</v>
      </c>
      <c r="P256" t="s">
        <v>698</v>
      </c>
      <c r="Q256" t="s">
        <v>706</v>
      </c>
      <c r="R256" t="s">
        <v>709</v>
      </c>
      <c r="S256" t="s">
        <v>712</v>
      </c>
      <c r="T256" t="s">
        <v>731</v>
      </c>
      <c r="U256" t="s">
        <v>988</v>
      </c>
      <c r="V256" s="8">
        <v>668.97</v>
      </c>
      <c r="W256" s="8">
        <v>1667.44</v>
      </c>
      <c r="X256" s="8">
        <f t="shared" si="10"/>
        <v>815.10700000000008</v>
      </c>
      <c r="Y256" s="8">
        <f t="shared" si="11"/>
        <v>1620.05</v>
      </c>
      <c r="AA256">
        <v>3.4000000000000002E-2</v>
      </c>
      <c r="AB256">
        <f>IF(Table1[[#This Row],[DiscountPct]]&gt;0.2,1,0)</f>
        <v>0</v>
      </c>
      <c r="AC256" s="6">
        <v>15</v>
      </c>
      <c r="AD256" s="8">
        <f>Table1[[#This Row],[UnitPrice]]*Table1[[#This Row],[Quantity]]</f>
        <v>25011.600000000002</v>
      </c>
      <c r="AE256" s="8">
        <f>Table1[[#This Row],[UnitCost]]*Table1[[#This Row],[Quantity]]</f>
        <v>10034.550000000001</v>
      </c>
      <c r="AF256" s="8">
        <f>Table1[[#This Row],[GrossRevenue]]-Table1[[#This Row],[CostOfGoods]]</f>
        <v>14977.050000000001</v>
      </c>
      <c r="AG256" s="8">
        <f>IF(Table1[[#This Row],[GrossRevenue]]=0,0,Table1[[#This Row],[GrossProfit]]/Table1[[#This Row],[GrossRevenue]])</f>
        <v>0.59880415487213934</v>
      </c>
    </row>
    <row r="257" spans="1:33" x14ac:dyDescent="0.45">
      <c r="A257" t="s">
        <v>270</v>
      </c>
      <c r="B257">
        <v>1</v>
      </c>
      <c r="C257" s="3">
        <v>45204</v>
      </c>
      <c r="D257" s="6">
        <f>YEAR(Table1[[#This Row],[OrderDate]]) * 100 + MONTH(Table1[[#This Row],[OrderDate]])</f>
        <v>202310</v>
      </c>
      <c r="E257" s="6">
        <f>_xlfn.MINIFS(Table1[OrderMonthKey],Table1[Country],Table1[[#This Row],[Country]])</f>
        <v>202302</v>
      </c>
      <c r="F257" s="6">
        <f>Table1[[#This Row],[CountryFirstMonthKey]]</f>
        <v>202302</v>
      </c>
      <c r="G257" s="6">
        <f>12*(INT(Table1[[#This Row],[OrderMonthKey]]/100)-INT(Table1[[#This Row],[CohortMonthKey]]/100)) + (MOD(Table1[[#This Row],[OrderMonthKey]],100)-MOD(Table1[[#This Row],[CohortMonthKey]],100))</f>
        <v>8</v>
      </c>
      <c r="H257" s="3" t="str">
        <f>TEXT(Table1[[#This Row],[OrderDate]],"MMM-YYYY")</f>
        <v>Oct-2023</v>
      </c>
      <c r="I257" s="3" t="str">
        <f t="shared" si="9"/>
        <v>Q2-2024</v>
      </c>
      <c r="J257" s="26" t="str">
        <f>IF(Table1[[#This Row],[LeadTimeDays]]&lt;=7,"Yes","No")</f>
        <v>Yes</v>
      </c>
      <c r="K257" s="6">
        <f>_xlfn.DAYS(Table1[[#This Row],[CorrectedRequiredDate]],Table1[[#This Row],[OrderDate]])</f>
        <v>1</v>
      </c>
      <c r="L257" s="3">
        <f>IF(Table1[[#This Row],[RequiredDate]]&lt;Table1[[#This Row],[OrderDate]],Table1[[#This Row],[OrderDate]],Table1[[#This Row],[RequiredDate]])</f>
        <v>45205</v>
      </c>
      <c r="M257" s="3">
        <v>45205</v>
      </c>
      <c r="N257" t="s">
        <v>647</v>
      </c>
      <c r="O257" t="s">
        <v>654</v>
      </c>
      <c r="P257" t="s">
        <v>668</v>
      </c>
      <c r="Q257" t="s">
        <v>703</v>
      </c>
      <c r="R257" t="s">
        <v>708</v>
      </c>
      <c r="S257" t="s">
        <v>714</v>
      </c>
      <c r="T257" t="s">
        <v>727</v>
      </c>
      <c r="U257" t="s">
        <v>989</v>
      </c>
      <c r="V257" s="8">
        <v>1470.26</v>
      </c>
      <c r="W257" s="8">
        <v>2562.5500000000002</v>
      </c>
      <c r="X257" s="8">
        <f t="shared" si="10"/>
        <v>815.10700000000008</v>
      </c>
      <c r="Y257" s="8">
        <f t="shared" si="11"/>
        <v>1620.05</v>
      </c>
      <c r="Z257" s="8" t="str">
        <f>IF(W256 &lt;= X255, "Low",IF(W256 &lt;= Y256, "Medium", "High"))</f>
        <v>High</v>
      </c>
      <c r="AA257">
        <v>0.17299999999999999</v>
      </c>
      <c r="AB257">
        <f>IF(Table1[[#This Row],[DiscountPct]]&gt;0.2,1,0)</f>
        <v>0</v>
      </c>
      <c r="AC257" s="6">
        <v>9</v>
      </c>
      <c r="AD257" s="8">
        <f>Table1[[#This Row],[UnitPrice]]*Table1[[#This Row],[Quantity]]</f>
        <v>23062.95</v>
      </c>
      <c r="AE257" s="8">
        <f>Table1[[#This Row],[UnitCost]]*Table1[[#This Row],[Quantity]]</f>
        <v>13232.34</v>
      </c>
      <c r="AF257" s="8">
        <f>Table1[[#This Row],[GrossRevenue]]-Table1[[#This Row],[CostOfGoods]]</f>
        <v>9830.61</v>
      </c>
      <c r="AG257" s="9">
        <f>IF(Table1[[#This Row],[GrossRevenue]]=0,0,Table1[[#This Row],[GrossProfit]]/Table1[[#This Row],[GrossRevenue]])</f>
        <v>0.42625119509863224</v>
      </c>
    </row>
    <row r="258" spans="1:33" x14ac:dyDescent="0.45">
      <c r="A258" t="s">
        <v>271</v>
      </c>
      <c r="B258">
        <v>1</v>
      </c>
      <c r="C258" s="3">
        <v>45035</v>
      </c>
      <c r="D258" s="6">
        <f>YEAR(Table1[[#This Row],[OrderDate]]) * 100 + MONTH(Table1[[#This Row],[OrderDate]])</f>
        <v>202304</v>
      </c>
      <c r="E258" s="6">
        <f>_xlfn.MINIFS(Table1[OrderMonthKey],Table1[Country],Table1[[#This Row],[Country]])</f>
        <v>202301</v>
      </c>
      <c r="F258" s="6">
        <f>Table1[[#This Row],[CountryFirstMonthKey]]</f>
        <v>202301</v>
      </c>
      <c r="G258" s="6">
        <f>12*(INT(Table1[[#This Row],[OrderMonthKey]]/100)-INT(Table1[[#This Row],[CohortMonthKey]]/100)) + (MOD(Table1[[#This Row],[OrderMonthKey]],100)-MOD(Table1[[#This Row],[CohortMonthKey]],100))</f>
        <v>3</v>
      </c>
      <c r="H258" s="3" t="str">
        <f>TEXT(Table1[[#This Row],[OrderDate]],"MMM-YYYY")</f>
        <v>Apr-2023</v>
      </c>
      <c r="I258" s="3" t="str">
        <f t="shared" ref="I258:I321" si="12">"Q" &amp; ROUNDUP(MONTH(C257)/3,0) &amp; "-" &amp; YEAR(C257)</f>
        <v>Q4-2023</v>
      </c>
      <c r="J258" s="26" t="str">
        <f>IF(Table1[[#This Row],[LeadTimeDays]]&lt;=7,"Yes","No")</f>
        <v>No</v>
      </c>
      <c r="K258" s="6">
        <f>_xlfn.DAYS(Table1[[#This Row],[CorrectedRequiredDate]],Table1[[#This Row],[OrderDate]])</f>
        <v>18</v>
      </c>
      <c r="L258" s="3">
        <f>IF(Table1[[#This Row],[RequiredDate]]&lt;Table1[[#This Row],[OrderDate]],Table1[[#This Row],[OrderDate]],Table1[[#This Row],[RequiredDate]])</f>
        <v>45053</v>
      </c>
      <c r="M258" s="3">
        <v>45053</v>
      </c>
      <c r="N258" t="s">
        <v>649</v>
      </c>
      <c r="O258" t="s">
        <v>658</v>
      </c>
      <c r="P258" t="s">
        <v>683</v>
      </c>
      <c r="Q258" t="s">
        <v>703</v>
      </c>
      <c r="R258" t="s">
        <v>711</v>
      </c>
      <c r="S258" t="s">
        <v>722</v>
      </c>
      <c r="T258" t="s">
        <v>729</v>
      </c>
      <c r="U258" t="s">
        <v>990</v>
      </c>
      <c r="V258" s="8">
        <v>516.96</v>
      </c>
      <c r="W258" s="8">
        <v>745.38</v>
      </c>
      <c r="X258" s="8">
        <f t="shared" ref="X258:X321" si="13">_xlfn.PERCENTILE.INC(W:W, 0.33)</f>
        <v>815.10700000000008</v>
      </c>
      <c r="Y258" s="8">
        <f t="shared" ref="Y258:Y321" si="14">_xlfn.PERCENTILE.INC(W:W, 0.66)</f>
        <v>1620.05</v>
      </c>
      <c r="Z258" s="8" t="str">
        <f>IF(W257 &lt;= X256, "Low",IF(W257 &lt;= Y257, "Medium", "High"))</f>
        <v>High</v>
      </c>
      <c r="AA258">
        <v>0.19700000000000001</v>
      </c>
      <c r="AB258">
        <f>IF(Table1[[#This Row],[DiscountPct]]&gt;0.2,1,0)</f>
        <v>0</v>
      </c>
      <c r="AC258" s="6">
        <v>4</v>
      </c>
      <c r="AD258" s="8">
        <f>Table1[[#This Row],[UnitPrice]]*Table1[[#This Row],[Quantity]]</f>
        <v>2981.52</v>
      </c>
      <c r="AE258" s="8">
        <f>Table1[[#This Row],[UnitCost]]*Table1[[#This Row],[Quantity]]</f>
        <v>2067.84</v>
      </c>
      <c r="AF258" s="8">
        <f>Table1[[#This Row],[GrossRevenue]]-Table1[[#This Row],[CostOfGoods]]</f>
        <v>913.67999999999984</v>
      </c>
      <c r="AG258" s="9">
        <f>IF(Table1[[#This Row],[GrossRevenue]]=0,0,Table1[[#This Row],[GrossProfit]]/Table1[[#This Row],[GrossRevenue]])</f>
        <v>0.3064477179425259</v>
      </c>
    </row>
    <row r="259" spans="1:33" hidden="1" x14ac:dyDescent="0.45">
      <c r="A259" t="s">
        <v>272</v>
      </c>
      <c r="C259" s="3">
        <v>45835</v>
      </c>
      <c r="D259" s="3">
        <f>YEAR(Table1[[#This Row],[OrderDate]]) * 100 + MONTH(Table1[[#This Row],[OrderDate]])</f>
        <v>202506</v>
      </c>
      <c r="E259" s="3">
        <f>_xlfn.MINIFS(Table1[OrderMonthKey],Table1[Country],Table1[[#This Row],[Country]])</f>
        <v>202301</v>
      </c>
      <c r="F259" s="3">
        <f>Table1[[#This Row],[CountryFirstMonthKey]]</f>
        <v>202301</v>
      </c>
      <c r="G259" s="3">
        <f>12*(INT(Table1[[#This Row],[OrderMonthKey]]/100)-INT(Table1[[#This Row],[CohortMonthKey]]/100)) + (MOD(Table1[[#This Row],[OrderMonthKey]],100)-MOD(Table1[[#This Row],[CohortMonthKey]],100))</f>
        <v>29</v>
      </c>
      <c r="H259" s="3" t="str">
        <f>TEXT(Table1[[#This Row],[OrderDate]],"MMM-YYYY")</f>
        <v>Jun-2025</v>
      </c>
      <c r="I259" s="3" t="str">
        <f t="shared" si="12"/>
        <v>Q2-2023</v>
      </c>
      <c r="J259" s="3" t="str">
        <f>IF(Table1[[#This Row],[LeadTimeDays]]&lt;=7,"Yes","No")</f>
        <v>No</v>
      </c>
      <c r="K259" s="3">
        <f>_xlfn.DAYS(Table1[[#This Row],[CorrectedRequiredDate]],Table1[[#This Row],[OrderDate]])</f>
        <v>8</v>
      </c>
      <c r="L259" s="3">
        <f>IF(Table1[[#This Row],[RequiredDate]]&lt;Table1[[#This Row],[OrderDate]],Table1[[#This Row],[OrderDate]],Table1[[#This Row],[RequiredDate]])</f>
        <v>45843</v>
      </c>
      <c r="M259" s="3">
        <v>45843</v>
      </c>
      <c r="N259" t="s">
        <v>649</v>
      </c>
      <c r="O259" t="s">
        <v>656</v>
      </c>
      <c r="P259" t="s">
        <v>684</v>
      </c>
      <c r="Q259" t="s">
        <v>705</v>
      </c>
      <c r="R259" t="s">
        <v>711</v>
      </c>
      <c r="S259" t="s">
        <v>715</v>
      </c>
      <c r="T259" t="s">
        <v>732</v>
      </c>
      <c r="U259" t="s">
        <v>991</v>
      </c>
      <c r="V259" s="8">
        <v>314.93</v>
      </c>
      <c r="W259" s="8">
        <v>687.95</v>
      </c>
      <c r="X259" s="8">
        <f t="shared" si="13"/>
        <v>815.10700000000008</v>
      </c>
      <c r="Y259" s="8">
        <f t="shared" si="14"/>
        <v>1620.05</v>
      </c>
      <c r="AA259">
        <v>0.20499999999999999</v>
      </c>
      <c r="AB259">
        <f>IF(Table1[[#This Row],[DiscountPct]]&gt;0.2,1,0)</f>
        <v>1</v>
      </c>
      <c r="AC259" s="6">
        <v>8</v>
      </c>
      <c r="AD259" s="8">
        <f>Table1[[#This Row],[UnitPrice]]*Table1[[#This Row],[Quantity]]</f>
        <v>5503.6</v>
      </c>
      <c r="AE259" s="8">
        <f>Table1[[#This Row],[UnitCost]]*Table1[[#This Row],[Quantity]]</f>
        <v>2519.44</v>
      </c>
      <c r="AF259" s="8">
        <f>Table1[[#This Row],[GrossRevenue]]-Table1[[#This Row],[CostOfGoods]]</f>
        <v>2984.1600000000003</v>
      </c>
      <c r="AG259" s="8">
        <f>IF(Table1[[#This Row],[GrossRevenue]]=0,0,Table1[[#This Row],[GrossProfit]]/Table1[[#This Row],[GrossRevenue]])</f>
        <v>0.54221963805509121</v>
      </c>
    </row>
    <row r="260" spans="1:33" x14ac:dyDescent="0.45">
      <c r="A260" t="s">
        <v>273</v>
      </c>
      <c r="B260">
        <v>1</v>
      </c>
      <c r="C260" s="3">
        <v>45210</v>
      </c>
      <c r="D260" s="6">
        <f>YEAR(Table1[[#This Row],[OrderDate]]) * 100 + MONTH(Table1[[#This Row],[OrderDate]])</f>
        <v>202310</v>
      </c>
      <c r="E260" s="6">
        <f>_xlfn.MINIFS(Table1[OrderMonthKey],Table1[Country],Table1[[#This Row],[Country]])</f>
        <v>202301</v>
      </c>
      <c r="F260" s="6">
        <f>Table1[[#This Row],[CountryFirstMonthKey]]</f>
        <v>202301</v>
      </c>
      <c r="G260" s="6">
        <f>12*(INT(Table1[[#This Row],[OrderMonthKey]]/100)-INT(Table1[[#This Row],[CohortMonthKey]]/100)) + (MOD(Table1[[#This Row],[OrderMonthKey]],100)-MOD(Table1[[#This Row],[CohortMonthKey]],100))</f>
        <v>9</v>
      </c>
      <c r="H260" s="3" t="str">
        <f>TEXT(Table1[[#This Row],[OrderDate]],"MMM-YYYY")</f>
        <v>Oct-2023</v>
      </c>
      <c r="I260" s="3" t="str">
        <f t="shared" si="12"/>
        <v>Q2-2025</v>
      </c>
      <c r="J260" s="26" t="str">
        <f>IF(Table1[[#This Row],[LeadTimeDays]]&lt;=7,"Yes","No")</f>
        <v>Yes</v>
      </c>
      <c r="K260" s="6">
        <f>_xlfn.DAYS(Table1[[#This Row],[CorrectedRequiredDate]],Table1[[#This Row],[OrderDate]])</f>
        <v>2</v>
      </c>
      <c r="L260" s="3">
        <f>IF(Table1[[#This Row],[RequiredDate]]&lt;Table1[[#This Row],[OrderDate]],Table1[[#This Row],[OrderDate]],Table1[[#This Row],[RequiredDate]])</f>
        <v>45212</v>
      </c>
      <c r="M260" s="3">
        <v>45212</v>
      </c>
      <c r="N260" t="s">
        <v>648</v>
      </c>
      <c r="O260" t="s">
        <v>655</v>
      </c>
      <c r="P260" t="s">
        <v>672</v>
      </c>
      <c r="Q260" t="s">
        <v>704</v>
      </c>
      <c r="R260" t="s">
        <v>710</v>
      </c>
      <c r="T260" t="s">
        <v>733</v>
      </c>
      <c r="U260" t="s">
        <v>992</v>
      </c>
      <c r="V260" s="8">
        <v>715.94</v>
      </c>
      <c r="W260" s="8">
        <v>550.07000000000005</v>
      </c>
      <c r="X260" s="8">
        <f t="shared" si="13"/>
        <v>815.10700000000008</v>
      </c>
      <c r="Y260" s="8">
        <f t="shared" si="14"/>
        <v>1620.05</v>
      </c>
      <c r="Z260" s="8" t="str">
        <f>IF(W259 &lt;= X258, "Low",IF(W259 &lt;= Y259, "Medium", "High"))</f>
        <v>Low</v>
      </c>
      <c r="AA260">
        <v>0.14000000000000001</v>
      </c>
      <c r="AB260">
        <f>IF(Table1[[#This Row],[DiscountPct]]&gt;0.2,1,0)</f>
        <v>0</v>
      </c>
      <c r="AC260" s="6">
        <v>16</v>
      </c>
      <c r="AD260" s="8">
        <f>Table1[[#This Row],[UnitPrice]]*Table1[[#This Row],[Quantity]]</f>
        <v>8801.1200000000008</v>
      </c>
      <c r="AE260" s="8">
        <f>Table1[[#This Row],[UnitCost]]*Table1[[#This Row],[Quantity]]</f>
        <v>11455.04</v>
      </c>
      <c r="AF260" s="8">
        <f>Table1[[#This Row],[GrossRevenue]]-Table1[[#This Row],[CostOfGoods]]</f>
        <v>-2653.92</v>
      </c>
      <c r="AG260" s="9">
        <f>IF(Table1[[#This Row],[GrossRevenue]]=0,0,Table1[[#This Row],[GrossProfit]]/Table1[[#This Row],[GrossRevenue]])</f>
        <v>-0.30154343992582761</v>
      </c>
    </row>
    <row r="261" spans="1:33" x14ac:dyDescent="0.45">
      <c r="A261" t="s">
        <v>274</v>
      </c>
      <c r="B261">
        <v>1</v>
      </c>
      <c r="C261" s="3">
        <v>45066</v>
      </c>
      <c r="D261" s="6">
        <f>YEAR(Table1[[#This Row],[OrderDate]]) * 100 + MONTH(Table1[[#This Row],[OrderDate]])</f>
        <v>202305</v>
      </c>
      <c r="E261" s="6">
        <f>_xlfn.MINIFS(Table1[OrderMonthKey],Table1[Country],Table1[[#This Row],[Country]])</f>
        <v>202301</v>
      </c>
      <c r="F261" s="6">
        <f>Table1[[#This Row],[CountryFirstMonthKey]]</f>
        <v>202301</v>
      </c>
      <c r="G261" s="6">
        <f>12*(INT(Table1[[#This Row],[OrderMonthKey]]/100)-INT(Table1[[#This Row],[CohortMonthKey]]/100)) + (MOD(Table1[[#This Row],[OrderMonthKey]],100)-MOD(Table1[[#This Row],[CohortMonthKey]],100))</f>
        <v>4</v>
      </c>
      <c r="H261" s="3" t="str">
        <f>TEXT(Table1[[#This Row],[OrderDate]],"MMM-YYYY")</f>
        <v>May-2023</v>
      </c>
      <c r="I261" s="3" t="str">
        <f t="shared" si="12"/>
        <v>Q4-2023</v>
      </c>
      <c r="J261" s="26" t="str">
        <f>IF(Table1[[#This Row],[LeadTimeDays]]&lt;=7,"Yes","No")</f>
        <v>No</v>
      </c>
      <c r="K261" s="6">
        <f>_xlfn.DAYS(Table1[[#This Row],[CorrectedRequiredDate]],Table1[[#This Row],[OrderDate]])</f>
        <v>18</v>
      </c>
      <c r="L261" s="3">
        <f>IF(Table1[[#This Row],[RequiredDate]]&lt;Table1[[#This Row],[OrderDate]],Table1[[#This Row],[OrderDate]],Table1[[#This Row],[RequiredDate]])</f>
        <v>45084</v>
      </c>
      <c r="M261" s="3">
        <v>45084</v>
      </c>
      <c r="N261" t="s">
        <v>646</v>
      </c>
      <c r="O261" t="s">
        <v>651</v>
      </c>
      <c r="P261" t="s">
        <v>663</v>
      </c>
      <c r="Q261" t="s">
        <v>706</v>
      </c>
      <c r="R261" t="s">
        <v>710</v>
      </c>
      <c r="S261" t="s">
        <v>718</v>
      </c>
      <c r="T261" t="s">
        <v>727</v>
      </c>
      <c r="U261" t="s">
        <v>993</v>
      </c>
      <c r="V261" s="8">
        <v>1120.06</v>
      </c>
      <c r="W261" s="8">
        <v>2068.21</v>
      </c>
      <c r="X261" s="8">
        <f t="shared" si="13"/>
        <v>815.10700000000008</v>
      </c>
      <c r="Y261" s="8">
        <f t="shared" si="14"/>
        <v>1620.05</v>
      </c>
      <c r="Z261" s="8" t="str">
        <f>IF(W260 &lt;= X259, "Low",IF(W260 &lt;= Y260, "Medium", "High"))</f>
        <v>Low</v>
      </c>
      <c r="AA261">
        <v>7.8E-2</v>
      </c>
      <c r="AB261">
        <f>IF(Table1[[#This Row],[DiscountPct]]&gt;0.2,1,0)</f>
        <v>0</v>
      </c>
      <c r="AC261" s="6">
        <v>12</v>
      </c>
      <c r="AD261" s="8">
        <f>Table1[[#This Row],[UnitPrice]]*Table1[[#This Row],[Quantity]]</f>
        <v>24818.52</v>
      </c>
      <c r="AE261" s="8">
        <f>Table1[[#This Row],[UnitCost]]*Table1[[#This Row],[Quantity]]</f>
        <v>13440.72</v>
      </c>
      <c r="AF261" s="8">
        <f>Table1[[#This Row],[GrossRevenue]]-Table1[[#This Row],[CostOfGoods]]</f>
        <v>11377.800000000001</v>
      </c>
      <c r="AG261" s="9">
        <f>IF(Table1[[#This Row],[GrossRevenue]]=0,0,Table1[[#This Row],[GrossProfit]]/Table1[[#This Row],[GrossRevenue]])</f>
        <v>0.45843990697269621</v>
      </c>
    </row>
    <row r="262" spans="1:33" hidden="1" x14ac:dyDescent="0.45">
      <c r="A262" t="s">
        <v>275</v>
      </c>
      <c r="C262" s="3">
        <v>45073</v>
      </c>
      <c r="D262" s="3">
        <f>YEAR(Table1[[#This Row],[OrderDate]]) * 100 + MONTH(Table1[[#This Row],[OrderDate]])</f>
        <v>202305</v>
      </c>
      <c r="E262" s="3">
        <f>_xlfn.MINIFS(Table1[OrderMonthKey],Table1[Country],Table1[[#This Row],[Country]])</f>
        <v>202301</v>
      </c>
      <c r="F262" s="3">
        <f>Table1[[#This Row],[CountryFirstMonthKey]]</f>
        <v>202301</v>
      </c>
      <c r="G262" s="3">
        <f>12*(INT(Table1[[#This Row],[OrderMonthKey]]/100)-INT(Table1[[#This Row],[CohortMonthKey]]/100)) + (MOD(Table1[[#This Row],[OrderMonthKey]],100)-MOD(Table1[[#This Row],[CohortMonthKey]],100))</f>
        <v>4</v>
      </c>
      <c r="H262" s="3" t="str">
        <f>TEXT(Table1[[#This Row],[OrderDate]],"MMM-YYYY")</f>
        <v>May-2023</v>
      </c>
      <c r="I262" s="3" t="str">
        <f t="shared" si="12"/>
        <v>Q2-2023</v>
      </c>
      <c r="J262" s="3" t="str">
        <f>IF(Table1[[#This Row],[LeadTimeDays]]&lt;=7,"Yes","No")</f>
        <v>No</v>
      </c>
      <c r="K262" s="3">
        <f>_xlfn.DAYS(Table1[[#This Row],[CorrectedRequiredDate]],Table1[[#This Row],[OrderDate]])</f>
        <v>23</v>
      </c>
      <c r="L262" s="3">
        <f>IF(Table1[[#This Row],[RequiredDate]]&lt;Table1[[#This Row],[OrderDate]],Table1[[#This Row],[OrderDate]],Table1[[#This Row],[RequiredDate]])</f>
        <v>45096</v>
      </c>
      <c r="M262" s="3">
        <v>45096</v>
      </c>
      <c r="N262" t="s">
        <v>649</v>
      </c>
      <c r="O262" t="s">
        <v>656</v>
      </c>
      <c r="P262" t="s">
        <v>671</v>
      </c>
      <c r="Q262" t="s">
        <v>702</v>
      </c>
      <c r="R262" t="s">
        <v>707</v>
      </c>
      <c r="S262" t="s">
        <v>719</v>
      </c>
      <c r="T262" t="s">
        <v>733</v>
      </c>
      <c r="U262" t="s">
        <v>994</v>
      </c>
      <c r="V262" s="8">
        <v>1471.58</v>
      </c>
      <c r="W262" s="8">
        <v>2576.65</v>
      </c>
      <c r="X262" s="8">
        <f t="shared" si="13"/>
        <v>815.10700000000008</v>
      </c>
      <c r="Y262" s="8">
        <f t="shared" si="14"/>
        <v>1620.05</v>
      </c>
      <c r="AA262">
        <v>4.0000000000000001E-3</v>
      </c>
      <c r="AB262">
        <f>IF(Table1[[#This Row],[DiscountPct]]&gt;0.2,1,0)</f>
        <v>0</v>
      </c>
      <c r="AC262" s="6">
        <v>7</v>
      </c>
      <c r="AD262" s="8">
        <f>Table1[[#This Row],[UnitPrice]]*Table1[[#This Row],[Quantity]]</f>
        <v>18036.55</v>
      </c>
      <c r="AE262" s="8">
        <f>Table1[[#This Row],[UnitCost]]*Table1[[#This Row],[Quantity]]</f>
        <v>10301.06</v>
      </c>
      <c r="AF262" s="8">
        <f>Table1[[#This Row],[GrossRevenue]]-Table1[[#This Row],[CostOfGoods]]</f>
        <v>7735.49</v>
      </c>
      <c r="AG262" s="8">
        <f>IF(Table1[[#This Row],[GrossRevenue]]=0,0,Table1[[#This Row],[GrossProfit]]/Table1[[#This Row],[GrossRevenue]])</f>
        <v>0.428878582655774</v>
      </c>
    </row>
    <row r="263" spans="1:33" x14ac:dyDescent="0.45">
      <c r="A263" t="s">
        <v>276</v>
      </c>
      <c r="B263">
        <v>1</v>
      </c>
      <c r="C263" s="3">
        <v>45142</v>
      </c>
      <c r="D263" s="6">
        <f>YEAR(Table1[[#This Row],[OrderDate]]) * 100 + MONTH(Table1[[#This Row],[OrderDate]])</f>
        <v>202308</v>
      </c>
      <c r="E263" s="6">
        <f>_xlfn.MINIFS(Table1[OrderMonthKey],Table1[Country],Table1[[#This Row],[Country]])</f>
        <v>202301</v>
      </c>
      <c r="F263" s="6">
        <f>Table1[[#This Row],[CountryFirstMonthKey]]</f>
        <v>202301</v>
      </c>
      <c r="G263" s="6">
        <f>12*(INT(Table1[[#This Row],[OrderMonthKey]]/100)-INT(Table1[[#This Row],[CohortMonthKey]]/100)) + (MOD(Table1[[#This Row],[OrderMonthKey]],100)-MOD(Table1[[#This Row],[CohortMonthKey]],100))</f>
        <v>7</v>
      </c>
      <c r="H263" s="3" t="str">
        <f>TEXT(Table1[[#This Row],[OrderDate]],"MMM-YYYY")</f>
        <v>Aug-2023</v>
      </c>
      <c r="I263" s="3" t="str">
        <f t="shared" si="12"/>
        <v>Q2-2023</v>
      </c>
      <c r="J263" s="26" t="str">
        <f>IF(Table1[[#This Row],[LeadTimeDays]]&lt;=7,"Yes","No")</f>
        <v>No</v>
      </c>
      <c r="K263" s="6">
        <f>_xlfn.DAYS(Table1[[#This Row],[CorrectedRequiredDate]],Table1[[#This Row],[OrderDate]])</f>
        <v>20</v>
      </c>
      <c r="L263" s="3">
        <f>IF(Table1[[#This Row],[RequiredDate]]&lt;Table1[[#This Row],[OrderDate]],Table1[[#This Row],[OrderDate]],Table1[[#This Row],[RequiredDate]])</f>
        <v>45162</v>
      </c>
      <c r="M263" s="3">
        <v>45162</v>
      </c>
      <c r="N263" t="s">
        <v>648</v>
      </c>
      <c r="O263" t="s">
        <v>655</v>
      </c>
      <c r="P263" t="s">
        <v>672</v>
      </c>
      <c r="Q263" t="s">
        <v>703</v>
      </c>
      <c r="R263" t="s">
        <v>711</v>
      </c>
      <c r="T263" t="s">
        <v>729</v>
      </c>
      <c r="U263" t="s">
        <v>995</v>
      </c>
      <c r="V263" s="8">
        <v>582.88</v>
      </c>
      <c r="W263" s="8">
        <v>1044.1400000000001</v>
      </c>
      <c r="X263" s="8">
        <f t="shared" si="13"/>
        <v>815.10700000000008</v>
      </c>
      <c r="Y263" s="8">
        <f t="shared" si="14"/>
        <v>1620.05</v>
      </c>
      <c r="Z263" s="8" t="str">
        <f>IF(W262 &lt;= X261, "Low",IF(W262 &lt;= Y262, "Medium", "High"))</f>
        <v>High</v>
      </c>
      <c r="AA263">
        <v>0.216</v>
      </c>
      <c r="AB263">
        <f>IF(Table1[[#This Row],[DiscountPct]]&gt;0.2,1,0)</f>
        <v>1</v>
      </c>
      <c r="AC263" s="6">
        <v>10</v>
      </c>
      <c r="AD263" s="8">
        <f>Table1[[#This Row],[UnitPrice]]*Table1[[#This Row],[Quantity]]</f>
        <v>10441.400000000001</v>
      </c>
      <c r="AE263" s="8">
        <f>Table1[[#This Row],[UnitCost]]*Table1[[#This Row],[Quantity]]</f>
        <v>5828.8</v>
      </c>
      <c r="AF263" s="8">
        <f>Table1[[#This Row],[GrossRevenue]]-Table1[[#This Row],[CostOfGoods]]</f>
        <v>4612.6000000000013</v>
      </c>
      <c r="AG263" s="9">
        <f>IF(Table1[[#This Row],[GrossRevenue]]=0,0,Table1[[#This Row],[GrossProfit]]/Table1[[#This Row],[GrossRevenue]])</f>
        <v>0.44176068343325614</v>
      </c>
    </row>
    <row r="264" spans="1:33" hidden="1" x14ac:dyDescent="0.45">
      <c r="A264" t="s">
        <v>277</v>
      </c>
      <c r="C264" s="3">
        <v>45829</v>
      </c>
      <c r="D264" s="3">
        <f>YEAR(Table1[[#This Row],[OrderDate]]) * 100 + MONTH(Table1[[#This Row],[OrderDate]])</f>
        <v>202506</v>
      </c>
      <c r="E264" s="3">
        <f>_xlfn.MINIFS(Table1[OrderMonthKey],Table1[Country],Table1[[#This Row],[Country]])</f>
        <v>202301</v>
      </c>
      <c r="F264" s="3">
        <f>Table1[[#This Row],[CountryFirstMonthKey]]</f>
        <v>202301</v>
      </c>
      <c r="G264" s="3">
        <f>12*(INT(Table1[[#This Row],[OrderMonthKey]]/100)-INT(Table1[[#This Row],[CohortMonthKey]]/100)) + (MOD(Table1[[#This Row],[OrderMonthKey]],100)-MOD(Table1[[#This Row],[CohortMonthKey]],100))</f>
        <v>29</v>
      </c>
      <c r="H264" s="3" t="str">
        <f>TEXT(Table1[[#This Row],[OrderDate]],"MMM-YYYY")</f>
        <v>Jun-2025</v>
      </c>
      <c r="I264" s="3" t="str">
        <f t="shared" si="12"/>
        <v>Q3-2023</v>
      </c>
      <c r="J264" s="3" t="str">
        <f>IF(Table1[[#This Row],[LeadTimeDays]]&lt;=7,"Yes","No")</f>
        <v>Yes</v>
      </c>
      <c r="K264" s="3">
        <f>_xlfn.DAYS(Table1[[#This Row],[CorrectedRequiredDate]],Table1[[#This Row],[OrderDate]])</f>
        <v>6</v>
      </c>
      <c r="L264" s="3">
        <f>IF(Table1[[#This Row],[RequiredDate]]&lt;Table1[[#This Row],[OrderDate]],Table1[[#This Row],[OrderDate]],Table1[[#This Row],[RequiredDate]])</f>
        <v>45835</v>
      </c>
      <c r="M264" s="3">
        <v>45835</v>
      </c>
      <c r="N264" t="s">
        <v>646</v>
      </c>
      <c r="O264" t="s">
        <v>661</v>
      </c>
      <c r="P264" t="s">
        <v>687</v>
      </c>
      <c r="Q264" t="s">
        <v>706</v>
      </c>
      <c r="R264" t="s">
        <v>710</v>
      </c>
      <c r="S264" t="s">
        <v>725</v>
      </c>
      <c r="T264" t="s">
        <v>730</v>
      </c>
      <c r="U264" t="s">
        <v>996</v>
      </c>
      <c r="V264" s="8">
        <v>93.91</v>
      </c>
      <c r="W264" s="8">
        <v>99.04</v>
      </c>
      <c r="X264" s="8">
        <f t="shared" si="13"/>
        <v>815.10700000000008</v>
      </c>
      <c r="Y264" s="8">
        <f t="shared" si="14"/>
        <v>1620.05</v>
      </c>
      <c r="AA264">
        <v>5.7000000000000002E-2</v>
      </c>
      <c r="AB264">
        <f>IF(Table1[[#This Row],[DiscountPct]]&gt;0.2,1,0)</f>
        <v>0</v>
      </c>
      <c r="AC264" s="6">
        <v>6</v>
      </c>
      <c r="AD264" s="8">
        <f>Table1[[#This Row],[UnitPrice]]*Table1[[#This Row],[Quantity]]</f>
        <v>594.24</v>
      </c>
      <c r="AE264" s="8">
        <f>Table1[[#This Row],[UnitCost]]*Table1[[#This Row],[Quantity]]</f>
        <v>563.46</v>
      </c>
      <c r="AF264" s="8">
        <f>Table1[[#This Row],[GrossRevenue]]-Table1[[#This Row],[CostOfGoods]]</f>
        <v>30.779999999999973</v>
      </c>
      <c r="AG264" s="8">
        <f>IF(Table1[[#This Row],[GrossRevenue]]=0,0,Table1[[#This Row],[GrossProfit]]/Table1[[#This Row],[GrossRevenue]])</f>
        <v>5.1797253634894944E-2</v>
      </c>
    </row>
    <row r="265" spans="1:33" x14ac:dyDescent="0.45">
      <c r="A265" t="s">
        <v>278</v>
      </c>
      <c r="B265">
        <v>1</v>
      </c>
      <c r="C265" s="3">
        <v>45763</v>
      </c>
      <c r="D265" s="6">
        <f>YEAR(Table1[[#This Row],[OrderDate]]) * 100 + MONTH(Table1[[#This Row],[OrderDate]])</f>
        <v>202504</v>
      </c>
      <c r="E265" s="6">
        <f>_xlfn.MINIFS(Table1[OrderMonthKey],Table1[Country],Table1[[#This Row],[Country]])</f>
        <v>202301</v>
      </c>
      <c r="F265" s="6">
        <f>Table1[[#This Row],[CountryFirstMonthKey]]</f>
        <v>202301</v>
      </c>
      <c r="G265" s="6">
        <f>12*(INT(Table1[[#This Row],[OrderMonthKey]]/100)-INT(Table1[[#This Row],[CohortMonthKey]]/100)) + (MOD(Table1[[#This Row],[OrderMonthKey]],100)-MOD(Table1[[#This Row],[CohortMonthKey]],100))</f>
        <v>27</v>
      </c>
      <c r="H265" s="3" t="str">
        <f>TEXT(Table1[[#This Row],[OrderDate]],"MMM-YYYY")</f>
        <v>Apr-2025</v>
      </c>
      <c r="I265" s="3" t="str">
        <f t="shared" si="12"/>
        <v>Q2-2025</v>
      </c>
      <c r="J265" s="26" t="str">
        <f>IF(Table1[[#This Row],[LeadTimeDays]]&lt;=7,"Yes","No")</f>
        <v>No</v>
      </c>
      <c r="K265" s="6">
        <f>_xlfn.DAYS(Table1[[#This Row],[CorrectedRequiredDate]],Table1[[#This Row],[OrderDate]])</f>
        <v>10</v>
      </c>
      <c r="L265" s="3">
        <f>IF(Table1[[#This Row],[RequiredDate]]&lt;Table1[[#This Row],[OrderDate]],Table1[[#This Row],[OrderDate]],Table1[[#This Row],[RequiredDate]])</f>
        <v>45773</v>
      </c>
      <c r="M265" s="3">
        <v>45773</v>
      </c>
      <c r="N265" t="s">
        <v>646</v>
      </c>
      <c r="O265" t="s">
        <v>651</v>
      </c>
      <c r="P265" t="s">
        <v>663</v>
      </c>
      <c r="Q265" t="s">
        <v>706</v>
      </c>
      <c r="R265" t="s">
        <v>709</v>
      </c>
      <c r="S265" t="s">
        <v>721</v>
      </c>
      <c r="T265" t="s">
        <v>731</v>
      </c>
      <c r="U265" t="s">
        <v>997</v>
      </c>
      <c r="V265" s="8">
        <v>1457.44</v>
      </c>
      <c r="W265" s="8">
        <v>1996.81</v>
      </c>
      <c r="X265" s="8">
        <f t="shared" si="13"/>
        <v>815.10700000000008</v>
      </c>
      <c r="Y265" s="8">
        <f t="shared" si="14"/>
        <v>1620.05</v>
      </c>
      <c r="Z265" s="8" t="str">
        <f>IF(W264 &lt;= X263, "Low",IF(W264 &lt;= Y264, "Medium", "High"))</f>
        <v>Low</v>
      </c>
      <c r="AA265">
        <v>0.126</v>
      </c>
      <c r="AB265">
        <f>IF(Table1[[#This Row],[DiscountPct]]&gt;0.2,1,0)</f>
        <v>0</v>
      </c>
      <c r="AC265" s="6">
        <v>23</v>
      </c>
      <c r="AD265" s="8">
        <f>Table1[[#This Row],[UnitPrice]]*Table1[[#This Row],[Quantity]]</f>
        <v>45926.63</v>
      </c>
      <c r="AE265" s="8">
        <f>Table1[[#This Row],[UnitCost]]*Table1[[#This Row],[Quantity]]</f>
        <v>33521.120000000003</v>
      </c>
      <c r="AF265" s="8">
        <f>Table1[[#This Row],[GrossRevenue]]-Table1[[#This Row],[CostOfGoods]]</f>
        <v>12405.509999999995</v>
      </c>
      <c r="AG265" s="9">
        <f>IF(Table1[[#This Row],[GrossRevenue]]=0,0,Table1[[#This Row],[GrossProfit]]/Table1[[#This Row],[GrossRevenue]])</f>
        <v>0.27011583475643641</v>
      </c>
    </row>
    <row r="266" spans="1:33" x14ac:dyDescent="0.45">
      <c r="A266" t="s">
        <v>279</v>
      </c>
      <c r="B266">
        <v>1</v>
      </c>
      <c r="C266" s="3">
        <v>45902</v>
      </c>
      <c r="D266" s="6">
        <f>YEAR(Table1[[#This Row],[OrderDate]]) * 100 + MONTH(Table1[[#This Row],[OrderDate]])</f>
        <v>202509</v>
      </c>
      <c r="E266" s="6">
        <f>_xlfn.MINIFS(Table1[OrderMonthKey],Table1[Country],Table1[[#This Row],[Country]])</f>
        <v>202301</v>
      </c>
      <c r="F266" s="6">
        <f>Table1[[#This Row],[CountryFirstMonthKey]]</f>
        <v>202301</v>
      </c>
      <c r="G266" s="6">
        <f>12*(INT(Table1[[#This Row],[OrderMonthKey]]/100)-INT(Table1[[#This Row],[CohortMonthKey]]/100)) + (MOD(Table1[[#This Row],[OrderMonthKey]],100)-MOD(Table1[[#This Row],[CohortMonthKey]],100))</f>
        <v>32</v>
      </c>
      <c r="H266" s="3" t="str">
        <f>TEXT(Table1[[#This Row],[OrderDate]],"MMM-YYYY")</f>
        <v>Sep-2025</v>
      </c>
      <c r="I266" s="3" t="str">
        <f t="shared" si="12"/>
        <v>Q2-2025</v>
      </c>
      <c r="J266" s="26" t="str">
        <f>IF(Table1[[#This Row],[LeadTimeDays]]&lt;=7,"Yes","No")</f>
        <v>No</v>
      </c>
      <c r="K266" s="6">
        <f>_xlfn.DAYS(Table1[[#This Row],[CorrectedRequiredDate]],Table1[[#This Row],[OrderDate]])</f>
        <v>9</v>
      </c>
      <c r="L266" s="3">
        <f>IF(Table1[[#This Row],[RequiredDate]]&lt;Table1[[#This Row],[OrderDate]],Table1[[#This Row],[OrderDate]],Table1[[#This Row],[RequiredDate]])</f>
        <v>45911</v>
      </c>
      <c r="M266" s="3">
        <v>45911</v>
      </c>
      <c r="N266" t="s">
        <v>648</v>
      </c>
      <c r="O266" t="s">
        <v>653</v>
      </c>
      <c r="P266" t="s">
        <v>667</v>
      </c>
      <c r="Q266" t="s">
        <v>701</v>
      </c>
      <c r="R266" t="s">
        <v>710</v>
      </c>
      <c r="S266" t="s">
        <v>724</v>
      </c>
      <c r="T266" t="s">
        <v>728</v>
      </c>
      <c r="U266" t="s">
        <v>998</v>
      </c>
      <c r="V266" s="8">
        <v>1207.6300000000001</v>
      </c>
      <c r="W266" s="8">
        <v>921.68</v>
      </c>
      <c r="X266" s="8">
        <f t="shared" si="13"/>
        <v>815.10700000000008</v>
      </c>
      <c r="Y266" s="8">
        <f t="shared" si="14"/>
        <v>1620.05</v>
      </c>
      <c r="Z266" s="8" t="str">
        <f>IF(W265 &lt;= X264, "Low",IF(W265 &lt;= Y265, "Medium", "High"))</f>
        <v>High</v>
      </c>
      <c r="AA266">
        <v>0.19600000000000001</v>
      </c>
      <c r="AB266">
        <f>IF(Table1[[#This Row],[DiscountPct]]&gt;0.2,1,0)</f>
        <v>0</v>
      </c>
      <c r="AC266" s="6">
        <v>17</v>
      </c>
      <c r="AD266" s="8">
        <f>Table1[[#This Row],[UnitPrice]]*Table1[[#This Row],[Quantity]]</f>
        <v>15668.56</v>
      </c>
      <c r="AE266" s="8">
        <f>Table1[[#This Row],[UnitCost]]*Table1[[#This Row],[Quantity]]</f>
        <v>20529.710000000003</v>
      </c>
      <c r="AF266" s="8">
        <f>Table1[[#This Row],[GrossRevenue]]-Table1[[#This Row],[CostOfGoods]]</f>
        <v>-4861.1500000000033</v>
      </c>
      <c r="AG266" s="9">
        <f>IF(Table1[[#This Row],[GrossRevenue]]=0,0,Table1[[#This Row],[GrossProfit]]/Table1[[#This Row],[GrossRevenue]])</f>
        <v>-0.31024867633017988</v>
      </c>
    </row>
    <row r="267" spans="1:33" x14ac:dyDescent="0.45">
      <c r="A267" t="s">
        <v>280</v>
      </c>
      <c r="B267">
        <v>1</v>
      </c>
      <c r="C267" s="3">
        <v>45573</v>
      </c>
      <c r="D267" s="6">
        <f>YEAR(Table1[[#This Row],[OrderDate]]) * 100 + MONTH(Table1[[#This Row],[OrderDate]])</f>
        <v>202410</v>
      </c>
      <c r="E267" s="6">
        <f>_xlfn.MINIFS(Table1[OrderMonthKey],Table1[Country],Table1[[#This Row],[Country]])</f>
        <v>202301</v>
      </c>
      <c r="F267" s="6">
        <f>Table1[[#This Row],[CountryFirstMonthKey]]</f>
        <v>202301</v>
      </c>
      <c r="G267" s="6">
        <f>12*(INT(Table1[[#This Row],[OrderMonthKey]]/100)-INT(Table1[[#This Row],[CohortMonthKey]]/100)) + (MOD(Table1[[#This Row],[OrderMonthKey]],100)-MOD(Table1[[#This Row],[CohortMonthKey]],100))</f>
        <v>21</v>
      </c>
      <c r="H267" s="3" t="str">
        <f>TEXT(Table1[[#This Row],[OrderDate]],"MMM-YYYY")</f>
        <v>Oct-2024</v>
      </c>
      <c r="I267" s="3" t="str">
        <f t="shared" si="12"/>
        <v>Q3-2025</v>
      </c>
      <c r="J267" s="26" t="str">
        <f>IF(Table1[[#This Row],[LeadTimeDays]]&lt;=7,"Yes","No")</f>
        <v>Yes</v>
      </c>
      <c r="K267" s="6">
        <f>_xlfn.DAYS(Table1[[#This Row],[CorrectedRequiredDate]],Table1[[#This Row],[OrderDate]])</f>
        <v>0</v>
      </c>
      <c r="L267" s="3">
        <f>IF(Table1[[#This Row],[RequiredDate]]&lt;Table1[[#This Row],[OrderDate]],Table1[[#This Row],[OrderDate]],Table1[[#This Row],[RequiredDate]])</f>
        <v>45573</v>
      </c>
      <c r="M267" s="3">
        <v>45573</v>
      </c>
      <c r="N267" t="s">
        <v>649</v>
      </c>
      <c r="O267" t="s">
        <v>658</v>
      </c>
      <c r="P267" t="s">
        <v>683</v>
      </c>
      <c r="Q267" t="s">
        <v>701</v>
      </c>
      <c r="R267" t="s">
        <v>708</v>
      </c>
      <c r="S267" t="s">
        <v>718</v>
      </c>
      <c r="T267" t="s">
        <v>732</v>
      </c>
      <c r="U267" t="s">
        <v>999</v>
      </c>
      <c r="V267" s="8">
        <v>1108.1099999999999</v>
      </c>
      <c r="W267" s="8">
        <v>2503.79</v>
      </c>
      <c r="X267" s="8">
        <f t="shared" si="13"/>
        <v>815.10700000000008</v>
      </c>
      <c r="Y267" s="8">
        <f t="shared" si="14"/>
        <v>1620.05</v>
      </c>
      <c r="Z267" s="8" t="str">
        <f>IF(W266 &lt;= X265, "Low",IF(W266 &lt;= Y266, "Medium", "High"))</f>
        <v>Medium</v>
      </c>
      <c r="AA267">
        <v>0.184</v>
      </c>
      <c r="AB267">
        <f>IF(Table1[[#This Row],[DiscountPct]]&gt;0.2,1,0)</f>
        <v>0</v>
      </c>
      <c r="AC267" s="6">
        <v>19</v>
      </c>
      <c r="AD267" s="8">
        <f>Table1[[#This Row],[UnitPrice]]*Table1[[#This Row],[Quantity]]</f>
        <v>47572.01</v>
      </c>
      <c r="AE267" s="8">
        <f>Table1[[#This Row],[UnitCost]]*Table1[[#This Row],[Quantity]]</f>
        <v>21054.089999999997</v>
      </c>
      <c r="AF267" s="8">
        <f>Table1[[#This Row],[GrossRevenue]]-Table1[[#This Row],[CostOfGoods]]</f>
        <v>26517.920000000006</v>
      </c>
      <c r="AG267" s="9">
        <f>IF(Table1[[#This Row],[GrossRevenue]]=0,0,Table1[[#This Row],[GrossProfit]]/Table1[[#This Row],[GrossRevenue]])</f>
        <v>0.5574269407578113</v>
      </c>
    </row>
    <row r="268" spans="1:33" x14ac:dyDescent="0.45">
      <c r="A268" t="s">
        <v>281</v>
      </c>
      <c r="B268">
        <v>1</v>
      </c>
      <c r="C268" s="3">
        <v>45053</v>
      </c>
      <c r="D268" s="6">
        <f>YEAR(Table1[[#This Row],[OrderDate]]) * 100 + MONTH(Table1[[#This Row],[OrderDate]])</f>
        <v>202305</v>
      </c>
      <c r="E268" s="6">
        <f>_xlfn.MINIFS(Table1[OrderMonthKey],Table1[Country],Table1[[#This Row],[Country]])</f>
        <v>202301</v>
      </c>
      <c r="F268" s="6">
        <f>Table1[[#This Row],[CountryFirstMonthKey]]</f>
        <v>202301</v>
      </c>
      <c r="G268" s="6">
        <f>12*(INT(Table1[[#This Row],[OrderMonthKey]]/100)-INT(Table1[[#This Row],[CohortMonthKey]]/100)) + (MOD(Table1[[#This Row],[OrderMonthKey]],100)-MOD(Table1[[#This Row],[CohortMonthKey]],100))</f>
        <v>4</v>
      </c>
      <c r="H268" s="3" t="str">
        <f>TEXT(Table1[[#This Row],[OrderDate]],"MMM-YYYY")</f>
        <v>May-2023</v>
      </c>
      <c r="I268" s="3" t="str">
        <f t="shared" si="12"/>
        <v>Q4-2024</v>
      </c>
      <c r="J268" s="26" t="str">
        <f>IF(Table1[[#This Row],[LeadTimeDays]]&lt;=7,"Yes","No")</f>
        <v>Yes</v>
      </c>
      <c r="K268" s="6">
        <f>_xlfn.DAYS(Table1[[#This Row],[CorrectedRequiredDate]],Table1[[#This Row],[OrderDate]])</f>
        <v>0</v>
      </c>
      <c r="L268" s="3">
        <f>IF(Table1[[#This Row],[RequiredDate]]&lt;Table1[[#This Row],[OrderDate]],Table1[[#This Row],[OrderDate]],Table1[[#This Row],[RequiredDate]])</f>
        <v>45053</v>
      </c>
      <c r="M268" s="3">
        <v>45051</v>
      </c>
      <c r="N268" t="s">
        <v>646</v>
      </c>
      <c r="O268" t="s">
        <v>651</v>
      </c>
      <c r="P268" t="s">
        <v>663</v>
      </c>
      <c r="Q268" t="s">
        <v>703</v>
      </c>
      <c r="R268" t="s">
        <v>709</v>
      </c>
      <c r="S268" t="s">
        <v>720</v>
      </c>
      <c r="T268" t="s">
        <v>727</v>
      </c>
      <c r="U268" t="s">
        <v>1000</v>
      </c>
      <c r="V268" s="8">
        <v>1269.6500000000001</v>
      </c>
      <c r="W268" s="8">
        <v>2462.77</v>
      </c>
      <c r="X268" s="8">
        <f t="shared" si="13"/>
        <v>815.10700000000008</v>
      </c>
      <c r="Y268" s="8">
        <f t="shared" si="14"/>
        <v>1620.05</v>
      </c>
      <c r="Z268" s="8" t="str">
        <f>IF(W267 &lt;= X266, "Low",IF(W267 &lt;= Y267, "Medium", "High"))</f>
        <v>High</v>
      </c>
      <c r="AA268">
        <v>0.107</v>
      </c>
      <c r="AB268">
        <f>IF(Table1[[#This Row],[DiscountPct]]&gt;0.2,1,0)</f>
        <v>0</v>
      </c>
      <c r="AC268" s="6">
        <v>8</v>
      </c>
      <c r="AD268" s="8">
        <f>Table1[[#This Row],[UnitPrice]]*Table1[[#This Row],[Quantity]]</f>
        <v>19702.16</v>
      </c>
      <c r="AE268" s="8">
        <f>Table1[[#This Row],[UnitCost]]*Table1[[#This Row],[Quantity]]</f>
        <v>10157.200000000001</v>
      </c>
      <c r="AF268" s="8">
        <f>Table1[[#This Row],[GrossRevenue]]-Table1[[#This Row],[CostOfGoods]]</f>
        <v>9544.9599999999991</v>
      </c>
      <c r="AG268" s="9">
        <f>IF(Table1[[#This Row],[GrossRevenue]]=0,0,Table1[[#This Row],[GrossProfit]]/Table1[[#This Row],[GrossRevenue]])</f>
        <v>0.48446261729678364</v>
      </c>
    </row>
    <row r="269" spans="1:33" x14ac:dyDescent="0.45">
      <c r="A269" t="s">
        <v>282</v>
      </c>
      <c r="B269">
        <v>1</v>
      </c>
      <c r="C269" s="3">
        <v>45284</v>
      </c>
      <c r="D269" s="6">
        <f>YEAR(Table1[[#This Row],[OrderDate]]) * 100 + MONTH(Table1[[#This Row],[OrderDate]])</f>
        <v>202312</v>
      </c>
      <c r="E269" s="6">
        <f>_xlfn.MINIFS(Table1[OrderMonthKey],Table1[Country],Table1[[#This Row],[Country]])</f>
        <v>202301</v>
      </c>
      <c r="F269" s="6">
        <f>Table1[[#This Row],[CountryFirstMonthKey]]</f>
        <v>202301</v>
      </c>
      <c r="G269" s="6">
        <f>12*(INT(Table1[[#This Row],[OrderMonthKey]]/100)-INT(Table1[[#This Row],[CohortMonthKey]]/100)) + (MOD(Table1[[#This Row],[OrderMonthKey]],100)-MOD(Table1[[#This Row],[CohortMonthKey]],100))</f>
        <v>11</v>
      </c>
      <c r="H269" s="3" t="str">
        <f>TEXT(Table1[[#This Row],[OrderDate]],"MMM-YYYY")</f>
        <v>Dec-2023</v>
      </c>
      <c r="I269" s="3" t="str">
        <f t="shared" si="12"/>
        <v>Q2-2023</v>
      </c>
      <c r="J269" s="26" t="str">
        <f>IF(Table1[[#This Row],[LeadTimeDays]]&lt;=7,"Yes","No")</f>
        <v>No</v>
      </c>
      <c r="K269" s="6">
        <f>_xlfn.DAYS(Table1[[#This Row],[CorrectedRequiredDate]],Table1[[#This Row],[OrderDate]])</f>
        <v>8</v>
      </c>
      <c r="L269" s="3">
        <f>IF(Table1[[#This Row],[RequiredDate]]&lt;Table1[[#This Row],[OrderDate]],Table1[[#This Row],[OrderDate]],Table1[[#This Row],[RequiredDate]])</f>
        <v>45292</v>
      </c>
      <c r="M269" s="3">
        <v>45292</v>
      </c>
      <c r="N269" t="s">
        <v>648</v>
      </c>
      <c r="O269" t="s">
        <v>655</v>
      </c>
      <c r="P269" t="s">
        <v>670</v>
      </c>
      <c r="Q269" t="s">
        <v>702</v>
      </c>
      <c r="R269" t="s">
        <v>711</v>
      </c>
      <c r="S269" t="s">
        <v>712</v>
      </c>
      <c r="T269" t="s">
        <v>730</v>
      </c>
      <c r="U269" t="s">
        <v>1001</v>
      </c>
      <c r="V269" s="8">
        <v>526.49</v>
      </c>
      <c r="W269" s="8">
        <v>496.2</v>
      </c>
      <c r="X269" s="8">
        <f t="shared" si="13"/>
        <v>815.10700000000008</v>
      </c>
      <c r="Y269" s="8">
        <f t="shared" si="14"/>
        <v>1620.05</v>
      </c>
      <c r="Z269" s="8" t="str">
        <f>IF(W268 &lt;= X267, "Low",IF(W268 &lt;= Y268, "Medium", "High"))</f>
        <v>High</v>
      </c>
      <c r="AA269">
        <v>0</v>
      </c>
      <c r="AB269">
        <f>IF(Table1[[#This Row],[DiscountPct]]&gt;0.2,1,0)</f>
        <v>0</v>
      </c>
      <c r="AC269" s="6">
        <v>14</v>
      </c>
      <c r="AD269" s="8">
        <f>Table1[[#This Row],[UnitPrice]]*Table1[[#This Row],[Quantity]]</f>
        <v>6946.8</v>
      </c>
      <c r="AE269" s="8">
        <f>Table1[[#This Row],[UnitCost]]*Table1[[#This Row],[Quantity]]</f>
        <v>7370.8600000000006</v>
      </c>
      <c r="AF269" s="8">
        <f>Table1[[#This Row],[GrossRevenue]]-Table1[[#This Row],[CostOfGoods]]</f>
        <v>-424.0600000000004</v>
      </c>
      <c r="AG269" s="9">
        <f>IF(Table1[[#This Row],[GrossRevenue]]=0,0,Table1[[#This Row],[GrossProfit]]/Table1[[#This Row],[GrossRevenue]])</f>
        <v>-6.1043933897621985E-2</v>
      </c>
    </row>
    <row r="270" spans="1:33" hidden="1" x14ac:dyDescent="0.45">
      <c r="A270" t="s">
        <v>283</v>
      </c>
      <c r="C270" s="3">
        <v>45301</v>
      </c>
      <c r="D270" s="3">
        <f>YEAR(Table1[[#This Row],[OrderDate]]) * 100 + MONTH(Table1[[#This Row],[OrderDate]])</f>
        <v>202401</v>
      </c>
      <c r="E270" s="3">
        <f>_xlfn.MINIFS(Table1[OrderMonthKey],Table1[Country],Table1[[#This Row],[Country]])</f>
        <v>202301</v>
      </c>
      <c r="F270" s="3">
        <f>Table1[[#This Row],[CountryFirstMonthKey]]</f>
        <v>202301</v>
      </c>
      <c r="G270" s="3">
        <f>12*(INT(Table1[[#This Row],[OrderMonthKey]]/100)-INT(Table1[[#This Row],[CohortMonthKey]]/100)) + (MOD(Table1[[#This Row],[OrderMonthKey]],100)-MOD(Table1[[#This Row],[CohortMonthKey]],100))</f>
        <v>12</v>
      </c>
      <c r="H270" s="3" t="str">
        <f>TEXT(Table1[[#This Row],[OrderDate]],"MMM-YYYY")</f>
        <v>Jan-2024</v>
      </c>
      <c r="I270" s="3" t="str">
        <f t="shared" si="12"/>
        <v>Q4-2023</v>
      </c>
      <c r="J270" s="3" t="str">
        <f>IF(Table1[[#This Row],[LeadTimeDays]]&lt;=7,"Yes","No")</f>
        <v>No</v>
      </c>
      <c r="K270" s="3">
        <f>_xlfn.DAYS(Table1[[#This Row],[CorrectedRequiredDate]],Table1[[#This Row],[OrderDate]])</f>
        <v>13</v>
      </c>
      <c r="L270" s="3">
        <f>IF(Table1[[#This Row],[RequiredDate]]&lt;Table1[[#This Row],[OrderDate]],Table1[[#This Row],[OrderDate]],Table1[[#This Row],[RequiredDate]])</f>
        <v>45314</v>
      </c>
      <c r="M270" s="3">
        <v>45314</v>
      </c>
      <c r="N270" t="s">
        <v>649</v>
      </c>
      <c r="O270" t="s">
        <v>657</v>
      </c>
      <c r="P270" t="s">
        <v>673</v>
      </c>
      <c r="Q270" t="s">
        <v>701</v>
      </c>
      <c r="R270" t="s">
        <v>711</v>
      </c>
      <c r="S270" t="s">
        <v>720</v>
      </c>
      <c r="T270" t="s">
        <v>728</v>
      </c>
      <c r="U270" t="s">
        <v>1002</v>
      </c>
      <c r="V270" s="8">
        <v>720</v>
      </c>
      <c r="W270" s="8">
        <v>907.59</v>
      </c>
      <c r="X270" s="8">
        <f t="shared" si="13"/>
        <v>815.10700000000008</v>
      </c>
      <c r="Y270" s="8">
        <f t="shared" si="14"/>
        <v>1620.05</v>
      </c>
      <c r="AA270">
        <v>0.154</v>
      </c>
      <c r="AB270">
        <f>IF(Table1[[#This Row],[DiscountPct]]&gt;0.2,1,0)</f>
        <v>0</v>
      </c>
      <c r="AC270" s="6">
        <v>10</v>
      </c>
      <c r="AD270" s="8">
        <f>Table1[[#This Row],[UnitPrice]]*Table1[[#This Row],[Quantity]]</f>
        <v>9075.9</v>
      </c>
      <c r="AE270" s="8">
        <f>Table1[[#This Row],[UnitCost]]*Table1[[#This Row],[Quantity]]</f>
        <v>7200</v>
      </c>
      <c r="AF270" s="8">
        <f>Table1[[#This Row],[GrossRevenue]]-Table1[[#This Row],[CostOfGoods]]</f>
        <v>1875.8999999999996</v>
      </c>
      <c r="AG270" s="8">
        <f>IF(Table1[[#This Row],[GrossRevenue]]=0,0,Table1[[#This Row],[GrossProfit]]/Table1[[#This Row],[GrossRevenue]])</f>
        <v>0.20669024559547811</v>
      </c>
    </row>
    <row r="271" spans="1:33" x14ac:dyDescent="0.45">
      <c r="A271" t="s">
        <v>284</v>
      </c>
      <c r="B271">
        <v>1</v>
      </c>
      <c r="C271" s="3">
        <v>45141</v>
      </c>
      <c r="D271" s="6">
        <f>YEAR(Table1[[#This Row],[OrderDate]]) * 100 + MONTH(Table1[[#This Row],[OrderDate]])</f>
        <v>202308</v>
      </c>
      <c r="E271" s="6">
        <f>_xlfn.MINIFS(Table1[OrderMonthKey],Table1[Country],Table1[[#This Row],[Country]])</f>
        <v>202301</v>
      </c>
      <c r="F271" s="6">
        <f>Table1[[#This Row],[CountryFirstMonthKey]]</f>
        <v>202301</v>
      </c>
      <c r="G271" s="6">
        <f>12*(INT(Table1[[#This Row],[OrderMonthKey]]/100)-INT(Table1[[#This Row],[CohortMonthKey]]/100)) + (MOD(Table1[[#This Row],[OrderMonthKey]],100)-MOD(Table1[[#This Row],[CohortMonthKey]],100))</f>
        <v>7</v>
      </c>
      <c r="H271" s="3" t="str">
        <f>TEXT(Table1[[#This Row],[OrderDate]],"MMM-YYYY")</f>
        <v>Aug-2023</v>
      </c>
      <c r="I271" s="3" t="str">
        <f t="shared" si="12"/>
        <v>Q1-2024</v>
      </c>
      <c r="J271" s="26" t="str">
        <f>IF(Table1[[#This Row],[LeadTimeDays]]&lt;=7,"Yes","No")</f>
        <v>No</v>
      </c>
      <c r="K271" s="6">
        <f>_xlfn.DAYS(Table1[[#This Row],[CorrectedRequiredDate]],Table1[[#This Row],[OrderDate]])</f>
        <v>11</v>
      </c>
      <c r="L271" s="3">
        <f>IF(Table1[[#This Row],[RequiredDate]]&lt;Table1[[#This Row],[OrderDate]],Table1[[#This Row],[OrderDate]],Table1[[#This Row],[RequiredDate]])</f>
        <v>45152</v>
      </c>
      <c r="M271" s="3">
        <v>45152</v>
      </c>
      <c r="N271" t="s">
        <v>648</v>
      </c>
      <c r="O271" t="s">
        <v>655</v>
      </c>
      <c r="P271" t="s">
        <v>672</v>
      </c>
      <c r="Q271" t="s">
        <v>701</v>
      </c>
      <c r="R271" t="s">
        <v>711</v>
      </c>
      <c r="S271" t="s">
        <v>713</v>
      </c>
      <c r="T271" t="s">
        <v>733</v>
      </c>
      <c r="U271" t="s">
        <v>1003</v>
      </c>
      <c r="V271" s="8">
        <v>232.73</v>
      </c>
      <c r="W271" s="8">
        <v>334.19</v>
      </c>
      <c r="X271" s="8">
        <f t="shared" si="13"/>
        <v>815.10700000000008</v>
      </c>
      <c r="Y271" s="8">
        <f t="shared" si="14"/>
        <v>1620.05</v>
      </c>
      <c r="Z271" s="8" t="str">
        <f>IF(W270 &lt;= X269, "Low",IF(W270 &lt;= Y270, "Medium", "High"))</f>
        <v>Medium</v>
      </c>
      <c r="AA271">
        <v>0.13400000000000001</v>
      </c>
      <c r="AB271">
        <f>IF(Table1[[#This Row],[DiscountPct]]&gt;0.2,1,0)</f>
        <v>0</v>
      </c>
      <c r="AC271" s="6">
        <v>25</v>
      </c>
      <c r="AD271" s="8">
        <f>Table1[[#This Row],[UnitPrice]]*Table1[[#This Row],[Quantity]]</f>
        <v>8354.75</v>
      </c>
      <c r="AE271" s="8">
        <f>Table1[[#This Row],[UnitCost]]*Table1[[#This Row],[Quantity]]</f>
        <v>5818.25</v>
      </c>
      <c r="AF271" s="8">
        <f>Table1[[#This Row],[GrossRevenue]]-Table1[[#This Row],[CostOfGoods]]</f>
        <v>2536.5</v>
      </c>
      <c r="AG271" s="9">
        <f>IF(Table1[[#This Row],[GrossRevenue]]=0,0,Table1[[#This Row],[GrossProfit]]/Table1[[#This Row],[GrossRevenue]])</f>
        <v>0.30359974864597983</v>
      </c>
    </row>
    <row r="272" spans="1:33" x14ac:dyDescent="0.45">
      <c r="A272" t="s">
        <v>285</v>
      </c>
      <c r="B272">
        <v>1</v>
      </c>
      <c r="C272" s="3">
        <v>45707</v>
      </c>
      <c r="D272" s="6">
        <f>YEAR(Table1[[#This Row],[OrderDate]]) * 100 + MONTH(Table1[[#This Row],[OrderDate]])</f>
        <v>202502</v>
      </c>
      <c r="E272" s="6">
        <f>_xlfn.MINIFS(Table1[OrderMonthKey],Table1[Country],Table1[[#This Row],[Country]])</f>
        <v>202302</v>
      </c>
      <c r="F272" s="6">
        <f>Table1[[#This Row],[CountryFirstMonthKey]]</f>
        <v>202302</v>
      </c>
      <c r="G272" s="6">
        <f>12*(INT(Table1[[#This Row],[OrderMonthKey]]/100)-INT(Table1[[#This Row],[CohortMonthKey]]/100)) + (MOD(Table1[[#This Row],[OrderMonthKey]],100)-MOD(Table1[[#This Row],[CohortMonthKey]],100))</f>
        <v>24</v>
      </c>
      <c r="H272" s="3" t="str">
        <f>TEXT(Table1[[#This Row],[OrderDate]],"MMM-YYYY")</f>
        <v>Feb-2025</v>
      </c>
      <c r="I272" s="3" t="str">
        <f t="shared" si="12"/>
        <v>Q3-2023</v>
      </c>
      <c r="J272" s="26" t="str">
        <f>IF(Table1[[#This Row],[LeadTimeDays]]&lt;=7,"Yes","No")</f>
        <v>No</v>
      </c>
      <c r="K272" s="6">
        <f>_xlfn.DAYS(Table1[[#This Row],[CorrectedRequiredDate]],Table1[[#This Row],[OrderDate]])</f>
        <v>18</v>
      </c>
      <c r="L272" s="3">
        <f>IF(Table1[[#This Row],[RequiredDate]]&lt;Table1[[#This Row],[OrderDate]],Table1[[#This Row],[OrderDate]],Table1[[#This Row],[RequiredDate]])</f>
        <v>45725</v>
      </c>
      <c r="M272" s="3">
        <v>45725</v>
      </c>
      <c r="N272" t="s">
        <v>647</v>
      </c>
      <c r="O272" t="s">
        <v>654</v>
      </c>
      <c r="P272" t="s">
        <v>680</v>
      </c>
      <c r="Q272" t="s">
        <v>705</v>
      </c>
      <c r="R272" t="s">
        <v>711</v>
      </c>
      <c r="S272" t="s">
        <v>719</v>
      </c>
      <c r="T272" t="s">
        <v>732</v>
      </c>
      <c r="U272" t="s">
        <v>1004</v>
      </c>
      <c r="V272" s="8">
        <v>325.87</v>
      </c>
      <c r="W272" s="8">
        <v>538.79</v>
      </c>
      <c r="X272" s="8">
        <f t="shared" si="13"/>
        <v>815.10700000000008</v>
      </c>
      <c r="Y272" s="8">
        <f t="shared" si="14"/>
        <v>1620.05</v>
      </c>
      <c r="Z272" s="8" t="str">
        <f>IF(W271 &lt;= X270, "Low",IF(W271 &lt;= Y271, "Medium", "High"))</f>
        <v>Low</v>
      </c>
      <c r="AA272">
        <v>0.17399999999999999</v>
      </c>
      <c r="AB272">
        <f>IF(Table1[[#This Row],[DiscountPct]]&gt;0.2,1,0)</f>
        <v>0</v>
      </c>
      <c r="AC272" s="6">
        <v>16</v>
      </c>
      <c r="AD272" s="8">
        <f>Table1[[#This Row],[UnitPrice]]*Table1[[#This Row],[Quantity]]</f>
        <v>8620.64</v>
      </c>
      <c r="AE272" s="8">
        <f>Table1[[#This Row],[UnitCost]]*Table1[[#This Row],[Quantity]]</f>
        <v>5213.92</v>
      </c>
      <c r="AF272" s="8">
        <f>Table1[[#This Row],[GrossRevenue]]-Table1[[#This Row],[CostOfGoods]]</f>
        <v>3406.7199999999993</v>
      </c>
      <c r="AG272" s="9">
        <f>IF(Table1[[#This Row],[GrossRevenue]]=0,0,Table1[[#This Row],[GrossProfit]]/Table1[[#This Row],[GrossRevenue]])</f>
        <v>0.39518179624714633</v>
      </c>
    </row>
    <row r="273" spans="1:33" hidden="1" x14ac:dyDescent="0.45">
      <c r="A273" t="s">
        <v>286</v>
      </c>
      <c r="C273" s="3">
        <v>45382</v>
      </c>
      <c r="D273" s="3">
        <f>YEAR(Table1[[#This Row],[OrderDate]]) * 100 + MONTH(Table1[[#This Row],[OrderDate]])</f>
        <v>202403</v>
      </c>
      <c r="E273" s="3">
        <f>_xlfn.MINIFS(Table1[OrderMonthKey],Table1[Country],Table1[[#This Row],[Country]])</f>
        <v>202301</v>
      </c>
      <c r="F273" s="3">
        <f>Table1[[#This Row],[CountryFirstMonthKey]]</f>
        <v>202301</v>
      </c>
      <c r="G273" s="3">
        <f>12*(INT(Table1[[#This Row],[OrderMonthKey]]/100)-INT(Table1[[#This Row],[CohortMonthKey]]/100)) + (MOD(Table1[[#This Row],[OrderMonthKey]],100)-MOD(Table1[[#This Row],[CohortMonthKey]],100))</f>
        <v>14</v>
      </c>
      <c r="H273" s="3" t="str">
        <f>TEXT(Table1[[#This Row],[OrderDate]],"MMM-YYYY")</f>
        <v>Mar-2024</v>
      </c>
      <c r="I273" s="3" t="str">
        <f t="shared" si="12"/>
        <v>Q1-2025</v>
      </c>
      <c r="J273" s="3" t="str">
        <f>IF(Table1[[#This Row],[LeadTimeDays]]&lt;=7,"Yes","No")</f>
        <v>No</v>
      </c>
      <c r="K273" s="3">
        <f>_xlfn.DAYS(Table1[[#This Row],[CorrectedRequiredDate]],Table1[[#This Row],[OrderDate]])</f>
        <v>17</v>
      </c>
      <c r="L273" s="3">
        <f>IF(Table1[[#This Row],[RequiredDate]]&lt;Table1[[#This Row],[OrderDate]],Table1[[#This Row],[OrderDate]],Table1[[#This Row],[RequiredDate]])</f>
        <v>45399</v>
      </c>
      <c r="M273" s="3">
        <v>45399</v>
      </c>
      <c r="N273" t="s">
        <v>649</v>
      </c>
      <c r="O273" t="s">
        <v>656</v>
      </c>
      <c r="P273" t="s">
        <v>698</v>
      </c>
      <c r="Q273" t="s">
        <v>702</v>
      </c>
      <c r="R273" t="s">
        <v>711</v>
      </c>
      <c r="S273" t="s">
        <v>722</v>
      </c>
      <c r="T273" t="s">
        <v>732</v>
      </c>
      <c r="U273" t="s">
        <v>1005</v>
      </c>
      <c r="V273" s="8">
        <v>1025.51</v>
      </c>
      <c r="W273" s="8">
        <v>1436.54</v>
      </c>
      <c r="X273" s="8">
        <f t="shared" si="13"/>
        <v>815.10700000000008</v>
      </c>
      <c r="Y273" s="8">
        <f t="shared" si="14"/>
        <v>1620.05</v>
      </c>
      <c r="AA273">
        <v>0.13900000000000001</v>
      </c>
      <c r="AB273">
        <f>IF(Table1[[#This Row],[DiscountPct]]&gt;0.2,1,0)</f>
        <v>0</v>
      </c>
      <c r="AC273" s="6">
        <v>28</v>
      </c>
      <c r="AD273" s="8">
        <f>Table1[[#This Row],[UnitPrice]]*Table1[[#This Row],[Quantity]]</f>
        <v>40223.119999999995</v>
      </c>
      <c r="AE273" s="8">
        <f>Table1[[#This Row],[UnitCost]]*Table1[[#This Row],[Quantity]]</f>
        <v>28714.28</v>
      </c>
      <c r="AF273" s="8">
        <f>Table1[[#This Row],[GrossRevenue]]-Table1[[#This Row],[CostOfGoods]]</f>
        <v>11508.839999999997</v>
      </c>
      <c r="AG273" s="8">
        <f>IF(Table1[[#This Row],[GrossRevenue]]=0,0,Table1[[#This Row],[GrossProfit]]/Table1[[#This Row],[GrossRevenue]])</f>
        <v>0.28612499477912201</v>
      </c>
    </row>
    <row r="274" spans="1:33" x14ac:dyDescent="0.45">
      <c r="A274" t="s">
        <v>287</v>
      </c>
      <c r="B274">
        <v>1</v>
      </c>
      <c r="C274" s="3">
        <v>45131</v>
      </c>
      <c r="D274" s="6">
        <f>YEAR(Table1[[#This Row],[OrderDate]]) * 100 + MONTH(Table1[[#This Row],[OrderDate]])</f>
        <v>202307</v>
      </c>
      <c r="E274" s="6">
        <f>_xlfn.MINIFS(Table1[OrderMonthKey],Table1[Country],Table1[[#This Row],[Country]])</f>
        <v>202301</v>
      </c>
      <c r="F274" s="6">
        <f>Table1[[#This Row],[CountryFirstMonthKey]]</f>
        <v>202301</v>
      </c>
      <c r="G274" s="6">
        <f>12*(INT(Table1[[#This Row],[OrderMonthKey]]/100)-INT(Table1[[#This Row],[CohortMonthKey]]/100)) + (MOD(Table1[[#This Row],[OrderMonthKey]],100)-MOD(Table1[[#This Row],[CohortMonthKey]],100))</f>
        <v>6</v>
      </c>
      <c r="H274" s="3" t="str">
        <f>TEXT(Table1[[#This Row],[OrderDate]],"MMM-YYYY")</f>
        <v>Jul-2023</v>
      </c>
      <c r="I274" s="3" t="str">
        <f t="shared" si="12"/>
        <v>Q1-2024</v>
      </c>
      <c r="J274" s="26" t="str">
        <f>IF(Table1[[#This Row],[LeadTimeDays]]&lt;=7,"Yes","No")</f>
        <v>No</v>
      </c>
      <c r="K274" s="6">
        <f>_xlfn.DAYS(Table1[[#This Row],[CorrectedRequiredDate]],Table1[[#This Row],[OrderDate]])</f>
        <v>20</v>
      </c>
      <c r="L274" s="3">
        <f>IF(Table1[[#This Row],[RequiredDate]]&lt;Table1[[#This Row],[OrderDate]],Table1[[#This Row],[OrderDate]],Table1[[#This Row],[RequiredDate]])</f>
        <v>45151</v>
      </c>
      <c r="M274" s="3">
        <v>45151</v>
      </c>
      <c r="N274" t="s">
        <v>648</v>
      </c>
      <c r="O274" t="s">
        <v>653</v>
      </c>
      <c r="P274" t="s">
        <v>681</v>
      </c>
      <c r="Q274" t="s">
        <v>702</v>
      </c>
      <c r="R274" t="s">
        <v>711</v>
      </c>
      <c r="S274" t="s">
        <v>712</v>
      </c>
      <c r="T274" t="s">
        <v>732</v>
      </c>
      <c r="U274" t="s">
        <v>1006</v>
      </c>
      <c r="V274" s="8">
        <v>1082.3800000000001</v>
      </c>
      <c r="W274" s="8">
        <v>1766.55</v>
      </c>
      <c r="X274" s="8">
        <f t="shared" si="13"/>
        <v>815.10700000000008</v>
      </c>
      <c r="Y274" s="8">
        <f t="shared" si="14"/>
        <v>1620.05</v>
      </c>
      <c r="Z274" s="8" t="str">
        <f>IF(W273 &lt;= X272, "Low",IF(W273 &lt;= Y273, "Medium", "High"))</f>
        <v>Medium</v>
      </c>
      <c r="AA274">
        <v>0.16400000000000001</v>
      </c>
      <c r="AB274">
        <f>IF(Table1[[#This Row],[DiscountPct]]&gt;0.2,1,0)</f>
        <v>0</v>
      </c>
      <c r="AC274" s="6">
        <v>20</v>
      </c>
      <c r="AD274" s="8">
        <f>Table1[[#This Row],[UnitPrice]]*Table1[[#This Row],[Quantity]]</f>
        <v>35331</v>
      </c>
      <c r="AE274" s="8">
        <f>Table1[[#This Row],[UnitCost]]*Table1[[#This Row],[Quantity]]</f>
        <v>21647.600000000002</v>
      </c>
      <c r="AF274" s="8">
        <f>Table1[[#This Row],[GrossRevenue]]-Table1[[#This Row],[CostOfGoods]]</f>
        <v>13683.399999999998</v>
      </c>
      <c r="AG274" s="9">
        <f>IF(Table1[[#This Row],[GrossRevenue]]=0,0,Table1[[#This Row],[GrossProfit]]/Table1[[#This Row],[GrossRevenue]])</f>
        <v>0.38729161359712427</v>
      </c>
    </row>
    <row r="275" spans="1:33" hidden="1" x14ac:dyDescent="0.45">
      <c r="A275" t="s">
        <v>288</v>
      </c>
      <c r="C275" s="3">
        <v>45367</v>
      </c>
      <c r="D275" s="3">
        <f>YEAR(Table1[[#This Row],[OrderDate]]) * 100 + MONTH(Table1[[#This Row],[OrderDate]])</f>
        <v>202403</v>
      </c>
      <c r="E275" s="3">
        <f>_xlfn.MINIFS(Table1[OrderMonthKey],Table1[Country],Table1[[#This Row],[Country]])</f>
        <v>202301</v>
      </c>
      <c r="F275" s="3">
        <f>Table1[[#This Row],[CountryFirstMonthKey]]</f>
        <v>202301</v>
      </c>
      <c r="G275" s="3">
        <f>12*(INT(Table1[[#This Row],[OrderMonthKey]]/100)-INT(Table1[[#This Row],[CohortMonthKey]]/100)) + (MOD(Table1[[#This Row],[OrderMonthKey]],100)-MOD(Table1[[#This Row],[CohortMonthKey]],100))</f>
        <v>14</v>
      </c>
      <c r="H275" s="3" t="str">
        <f>TEXT(Table1[[#This Row],[OrderDate]],"MMM-YYYY")</f>
        <v>Mar-2024</v>
      </c>
      <c r="I275" s="3" t="str">
        <f t="shared" si="12"/>
        <v>Q3-2023</v>
      </c>
      <c r="J275" s="3" t="str">
        <f>IF(Table1[[#This Row],[LeadTimeDays]]&lt;=7,"Yes","No")</f>
        <v>No</v>
      </c>
      <c r="K275" s="3">
        <f>_xlfn.DAYS(Table1[[#This Row],[CorrectedRequiredDate]],Table1[[#This Row],[OrderDate]])</f>
        <v>28</v>
      </c>
      <c r="L275" s="3">
        <f>IF(Table1[[#This Row],[RequiredDate]]&lt;Table1[[#This Row],[OrderDate]],Table1[[#This Row],[OrderDate]],Table1[[#This Row],[RequiredDate]])</f>
        <v>45395</v>
      </c>
      <c r="M275" s="3">
        <v>45395</v>
      </c>
      <c r="N275" t="s">
        <v>649</v>
      </c>
      <c r="O275" t="s">
        <v>657</v>
      </c>
      <c r="P275" t="s">
        <v>690</v>
      </c>
      <c r="Q275" t="s">
        <v>705</v>
      </c>
      <c r="R275" t="s">
        <v>708</v>
      </c>
      <c r="S275" t="s">
        <v>723</v>
      </c>
      <c r="T275" t="s">
        <v>728</v>
      </c>
      <c r="U275" t="s">
        <v>1007</v>
      </c>
      <c r="V275" s="8">
        <v>287.61</v>
      </c>
      <c r="W275" s="8">
        <v>628.54</v>
      </c>
      <c r="X275" s="8">
        <f t="shared" si="13"/>
        <v>815.10700000000008</v>
      </c>
      <c r="Y275" s="8">
        <f t="shared" si="14"/>
        <v>1620.05</v>
      </c>
      <c r="AA275">
        <v>0.13500000000000001</v>
      </c>
      <c r="AB275">
        <f>IF(Table1[[#This Row],[DiscountPct]]&gt;0.2,1,0)</f>
        <v>0</v>
      </c>
      <c r="AC275" s="6">
        <v>21</v>
      </c>
      <c r="AD275" s="8">
        <f>Table1[[#This Row],[UnitPrice]]*Table1[[#This Row],[Quantity]]</f>
        <v>13199.34</v>
      </c>
      <c r="AE275" s="8">
        <f>Table1[[#This Row],[UnitCost]]*Table1[[#This Row],[Quantity]]</f>
        <v>6039.81</v>
      </c>
      <c r="AF275" s="8">
        <f>Table1[[#This Row],[GrossRevenue]]-Table1[[#This Row],[CostOfGoods]]</f>
        <v>7159.53</v>
      </c>
      <c r="AG275" s="8">
        <f>IF(Table1[[#This Row],[GrossRevenue]]=0,0,Table1[[#This Row],[GrossProfit]]/Table1[[#This Row],[GrossRevenue]])</f>
        <v>0.54241575715149393</v>
      </c>
    </row>
    <row r="276" spans="1:33" x14ac:dyDescent="0.45">
      <c r="A276" t="s">
        <v>289</v>
      </c>
      <c r="B276">
        <v>1</v>
      </c>
      <c r="C276" s="3">
        <v>45316</v>
      </c>
      <c r="D276" s="6">
        <f>YEAR(Table1[[#This Row],[OrderDate]]) * 100 + MONTH(Table1[[#This Row],[OrderDate]])</f>
        <v>202401</v>
      </c>
      <c r="E276" s="6">
        <f>_xlfn.MINIFS(Table1[OrderMonthKey],Table1[Country],Table1[[#This Row],[Country]])</f>
        <v>202301</v>
      </c>
      <c r="F276" s="6">
        <f>Table1[[#This Row],[CountryFirstMonthKey]]</f>
        <v>202301</v>
      </c>
      <c r="G276" s="6">
        <f>12*(INT(Table1[[#This Row],[OrderMonthKey]]/100)-INT(Table1[[#This Row],[CohortMonthKey]]/100)) + (MOD(Table1[[#This Row],[OrderMonthKey]],100)-MOD(Table1[[#This Row],[CohortMonthKey]],100))</f>
        <v>12</v>
      </c>
      <c r="H276" s="3" t="str">
        <f>TEXT(Table1[[#This Row],[OrderDate]],"MMM-YYYY")</f>
        <v>Jan-2024</v>
      </c>
      <c r="I276" s="3" t="str">
        <f t="shared" si="12"/>
        <v>Q1-2024</v>
      </c>
      <c r="J276" s="26" t="str">
        <f>IF(Table1[[#This Row],[LeadTimeDays]]&lt;=7,"Yes","No")</f>
        <v>Yes</v>
      </c>
      <c r="K276" s="6">
        <f>_xlfn.DAYS(Table1[[#This Row],[CorrectedRequiredDate]],Table1[[#This Row],[OrderDate]])</f>
        <v>2</v>
      </c>
      <c r="L276" s="3">
        <f>IF(Table1[[#This Row],[RequiredDate]]&lt;Table1[[#This Row],[OrderDate]],Table1[[#This Row],[OrderDate]],Table1[[#This Row],[RequiredDate]])</f>
        <v>45318</v>
      </c>
      <c r="M276" s="3">
        <v>45318</v>
      </c>
      <c r="N276" t="s">
        <v>648</v>
      </c>
      <c r="O276" t="s">
        <v>655</v>
      </c>
      <c r="P276" t="s">
        <v>670</v>
      </c>
      <c r="Q276" t="s">
        <v>703</v>
      </c>
      <c r="R276" t="s">
        <v>709</v>
      </c>
      <c r="S276" t="s">
        <v>725</v>
      </c>
      <c r="T276" t="s">
        <v>731</v>
      </c>
      <c r="U276" t="s">
        <v>1008</v>
      </c>
      <c r="V276" s="8">
        <v>1410.97</v>
      </c>
      <c r="W276" s="8">
        <v>1650.75</v>
      </c>
      <c r="X276" s="8">
        <f t="shared" si="13"/>
        <v>815.10700000000008</v>
      </c>
      <c r="Y276" s="8">
        <f t="shared" si="14"/>
        <v>1620.05</v>
      </c>
      <c r="Z276" s="8" t="str">
        <f>IF(W275 &lt;= X274, "Low",IF(W275 &lt;= Y275, "Medium", "High"))</f>
        <v>Low</v>
      </c>
      <c r="AA276">
        <v>0.13500000000000001</v>
      </c>
      <c r="AB276">
        <f>IF(Table1[[#This Row],[DiscountPct]]&gt;0.2,1,0)</f>
        <v>0</v>
      </c>
      <c r="AC276" s="6">
        <v>6</v>
      </c>
      <c r="AD276" s="8">
        <f>Table1[[#This Row],[UnitPrice]]*Table1[[#This Row],[Quantity]]</f>
        <v>9904.5</v>
      </c>
      <c r="AE276" s="8">
        <f>Table1[[#This Row],[UnitCost]]*Table1[[#This Row],[Quantity]]</f>
        <v>8465.82</v>
      </c>
      <c r="AF276" s="8">
        <f>Table1[[#This Row],[GrossRevenue]]-Table1[[#This Row],[CostOfGoods]]</f>
        <v>1438.6800000000003</v>
      </c>
      <c r="AG276" s="9">
        <f>IF(Table1[[#This Row],[GrossRevenue]]=0,0,Table1[[#This Row],[GrossProfit]]/Table1[[#This Row],[GrossRevenue]])</f>
        <v>0.14525518703619569</v>
      </c>
    </row>
    <row r="277" spans="1:33" hidden="1" x14ac:dyDescent="0.45">
      <c r="A277" t="s">
        <v>290</v>
      </c>
      <c r="C277" s="3">
        <v>45378</v>
      </c>
      <c r="D277" s="3">
        <f>YEAR(Table1[[#This Row],[OrderDate]]) * 100 + MONTH(Table1[[#This Row],[OrderDate]])</f>
        <v>202403</v>
      </c>
      <c r="E277" s="3">
        <f>_xlfn.MINIFS(Table1[OrderMonthKey],Table1[Country],Table1[[#This Row],[Country]])</f>
        <v>202301</v>
      </c>
      <c r="F277" s="3">
        <f>Table1[[#This Row],[CountryFirstMonthKey]]</f>
        <v>202301</v>
      </c>
      <c r="G277" s="3">
        <f>12*(INT(Table1[[#This Row],[OrderMonthKey]]/100)-INT(Table1[[#This Row],[CohortMonthKey]]/100)) + (MOD(Table1[[#This Row],[OrderMonthKey]],100)-MOD(Table1[[#This Row],[CohortMonthKey]],100))</f>
        <v>14</v>
      </c>
      <c r="H277" s="3" t="str">
        <f>TEXT(Table1[[#This Row],[OrderDate]],"MMM-YYYY")</f>
        <v>Mar-2024</v>
      </c>
      <c r="I277" s="3" t="str">
        <f t="shared" si="12"/>
        <v>Q1-2024</v>
      </c>
      <c r="J277" s="3" t="str">
        <f>IF(Table1[[#This Row],[LeadTimeDays]]&lt;=7,"Yes","No")</f>
        <v>No</v>
      </c>
      <c r="K277" s="3">
        <f>_xlfn.DAYS(Table1[[#This Row],[CorrectedRequiredDate]],Table1[[#This Row],[OrderDate]])</f>
        <v>15</v>
      </c>
      <c r="L277" s="3">
        <f>IF(Table1[[#This Row],[RequiredDate]]&lt;Table1[[#This Row],[OrderDate]],Table1[[#This Row],[OrderDate]],Table1[[#This Row],[RequiredDate]])</f>
        <v>45393</v>
      </c>
      <c r="M277" s="3">
        <v>45393</v>
      </c>
      <c r="N277" t="s">
        <v>648</v>
      </c>
      <c r="O277" t="s">
        <v>660</v>
      </c>
      <c r="P277" t="s">
        <v>686</v>
      </c>
      <c r="Q277" t="s">
        <v>705</v>
      </c>
      <c r="R277" t="s">
        <v>711</v>
      </c>
      <c r="S277" t="s">
        <v>719</v>
      </c>
      <c r="T277" t="s">
        <v>729</v>
      </c>
      <c r="U277" t="s">
        <v>1009</v>
      </c>
      <c r="V277" s="8">
        <v>1338.35</v>
      </c>
      <c r="W277" s="8">
        <v>2247.14</v>
      </c>
      <c r="X277" s="8">
        <f t="shared" si="13"/>
        <v>815.10700000000008</v>
      </c>
      <c r="Y277" s="8">
        <f t="shared" si="14"/>
        <v>1620.05</v>
      </c>
      <c r="AA277">
        <v>0.115</v>
      </c>
      <c r="AB277">
        <f>IF(Table1[[#This Row],[DiscountPct]]&gt;0.2,1,0)</f>
        <v>0</v>
      </c>
      <c r="AC277" s="6">
        <v>40</v>
      </c>
      <c r="AD277" s="8">
        <f>Table1[[#This Row],[UnitPrice]]*Table1[[#This Row],[Quantity]]</f>
        <v>89885.599999999991</v>
      </c>
      <c r="AE277" s="8">
        <f>Table1[[#This Row],[UnitCost]]*Table1[[#This Row],[Quantity]]</f>
        <v>53534</v>
      </c>
      <c r="AF277" s="8">
        <f>Table1[[#This Row],[GrossRevenue]]-Table1[[#This Row],[CostOfGoods]]</f>
        <v>36351.599999999991</v>
      </c>
      <c r="AG277" s="8">
        <f>IF(Table1[[#This Row],[GrossRevenue]]=0,0,Table1[[#This Row],[GrossProfit]]/Table1[[#This Row],[GrossRevenue]])</f>
        <v>0.40442073035057891</v>
      </c>
    </row>
    <row r="278" spans="1:33" hidden="1" x14ac:dyDescent="0.45">
      <c r="A278" t="s">
        <v>291</v>
      </c>
      <c r="C278" s="3">
        <v>45832</v>
      </c>
      <c r="D278" s="3">
        <f>YEAR(Table1[[#This Row],[OrderDate]]) * 100 + MONTH(Table1[[#This Row],[OrderDate]])</f>
        <v>202506</v>
      </c>
      <c r="E278" s="3">
        <f>_xlfn.MINIFS(Table1[OrderMonthKey],Table1[Country],Table1[[#This Row],[Country]])</f>
        <v>202301</v>
      </c>
      <c r="F278" s="3">
        <f>Table1[[#This Row],[CountryFirstMonthKey]]</f>
        <v>202301</v>
      </c>
      <c r="G278" s="3">
        <f>12*(INT(Table1[[#This Row],[OrderMonthKey]]/100)-INT(Table1[[#This Row],[CohortMonthKey]]/100)) + (MOD(Table1[[#This Row],[OrderMonthKey]],100)-MOD(Table1[[#This Row],[CohortMonthKey]],100))</f>
        <v>29</v>
      </c>
      <c r="H278" s="3" t="str">
        <f>TEXT(Table1[[#This Row],[OrderDate]],"MMM-YYYY")</f>
        <v>Jun-2025</v>
      </c>
      <c r="I278" s="3" t="str">
        <f t="shared" si="12"/>
        <v>Q1-2024</v>
      </c>
      <c r="J278" s="3" t="str">
        <f>IF(Table1[[#This Row],[LeadTimeDays]]&lt;=7,"Yes","No")</f>
        <v>No</v>
      </c>
      <c r="K278" s="3">
        <f>_xlfn.DAYS(Table1[[#This Row],[CorrectedRequiredDate]],Table1[[#This Row],[OrderDate]])</f>
        <v>20</v>
      </c>
      <c r="L278" s="3">
        <f>IF(Table1[[#This Row],[RequiredDate]]&lt;Table1[[#This Row],[OrderDate]],Table1[[#This Row],[OrderDate]],Table1[[#This Row],[RequiredDate]])</f>
        <v>45852</v>
      </c>
      <c r="M278" s="3">
        <v>45852</v>
      </c>
      <c r="N278" t="s">
        <v>649</v>
      </c>
      <c r="O278" t="s">
        <v>656</v>
      </c>
      <c r="P278" t="s">
        <v>671</v>
      </c>
      <c r="Q278" t="s">
        <v>701</v>
      </c>
      <c r="R278" t="s">
        <v>711</v>
      </c>
      <c r="S278" t="s">
        <v>719</v>
      </c>
      <c r="T278" t="s">
        <v>733</v>
      </c>
      <c r="U278" t="s">
        <v>1010</v>
      </c>
      <c r="V278" s="8">
        <v>385.08</v>
      </c>
      <c r="W278" s="8">
        <v>893.19</v>
      </c>
      <c r="X278" s="8">
        <f t="shared" si="13"/>
        <v>815.10700000000008</v>
      </c>
      <c r="Y278" s="8">
        <f t="shared" si="14"/>
        <v>1620.05</v>
      </c>
      <c r="AA278">
        <v>0.151</v>
      </c>
      <c r="AB278">
        <f>IF(Table1[[#This Row],[DiscountPct]]&gt;0.2,1,0)</f>
        <v>0</v>
      </c>
      <c r="AC278" s="6">
        <v>8</v>
      </c>
      <c r="AD278" s="8">
        <f>Table1[[#This Row],[UnitPrice]]*Table1[[#This Row],[Quantity]]</f>
        <v>7145.52</v>
      </c>
      <c r="AE278" s="8">
        <f>Table1[[#This Row],[UnitCost]]*Table1[[#This Row],[Quantity]]</f>
        <v>3080.64</v>
      </c>
      <c r="AF278" s="8">
        <f>Table1[[#This Row],[GrossRevenue]]-Table1[[#This Row],[CostOfGoods]]</f>
        <v>4064.8800000000006</v>
      </c>
      <c r="AG278" s="8">
        <f>IF(Table1[[#This Row],[GrossRevenue]]=0,0,Table1[[#This Row],[GrossProfit]]/Table1[[#This Row],[GrossRevenue]])</f>
        <v>0.56887112484465796</v>
      </c>
    </row>
    <row r="279" spans="1:33" hidden="1" x14ac:dyDescent="0.45">
      <c r="A279" t="s">
        <v>292</v>
      </c>
      <c r="C279" s="3">
        <v>45459</v>
      </c>
      <c r="D279" s="3">
        <f>YEAR(Table1[[#This Row],[OrderDate]]) * 100 + MONTH(Table1[[#This Row],[OrderDate]])</f>
        <v>202406</v>
      </c>
      <c r="E279" s="3">
        <f>_xlfn.MINIFS(Table1[OrderMonthKey],Table1[Country],Table1[[#This Row],[Country]])</f>
        <v>202301</v>
      </c>
      <c r="F279" s="3">
        <f>Table1[[#This Row],[CountryFirstMonthKey]]</f>
        <v>202301</v>
      </c>
      <c r="G279" s="3">
        <f>12*(INT(Table1[[#This Row],[OrderMonthKey]]/100)-INT(Table1[[#This Row],[CohortMonthKey]]/100)) + (MOD(Table1[[#This Row],[OrderMonthKey]],100)-MOD(Table1[[#This Row],[CohortMonthKey]],100))</f>
        <v>17</v>
      </c>
      <c r="H279" s="3" t="str">
        <f>TEXT(Table1[[#This Row],[OrderDate]],"MMM-YYYY")</f>
        <v>Jun-2024</v>
      </c>
      <c r="I279" s="3" t="str">
        <f t="shared" si="12"/>
        <v>Q2-2025</v>
      </c>
      <c r="J279" s="3" t="str">
        <f>IF(Table1[[#This Row],[LeadTimeDays]]&lt;=7,"Yes","No")</f>
        <v>No</v>
      </c>
      <c r="K279" s="3">
        <f>_xlfn.DAYS(Table1[[#This Row],[CorrectedRequiredDate]],Table1[[#This Row],[OrderDate]])</f>
        <v>17</v>
      </c>
      <c r="L279" s="3">
        <f>IF(Table1[[#This Row],[RequiredDate]]&lt;Table1[[#This Row],[OrderDate]],Table1[[#This Row],[OrderDate]],Table1[[#This Row],[RequiredDate]])</f>
        <v>45476</v>
      </c>
      <c r="M279" s="3">
        <v>45476</v>
      </c>
      <c r="N279" t="s">
        <v>646</v>
      </c>
      <c r="O279" t="s">
        <v>661</v>
      </c>
      <c r="P279" t="s">
        <v>682</v>
      </c>
      <c r="Q279" t="s">
        <v>706</v>
      </c>
      <c r="R279" t="s">
        <v>709</v>
      </c>
      <c r="S279" t="s">
        <v>721</v>
      </c>
      <c r="T279" t="s">
        <v>730</v>
      </c>
      <c r="U279" t="s">
        <v>1011</v>
      </c>
      <c r="V279" s="8">
        <v>1173.83</v>
      </c>
      <c r="W279" s="8">
        <v>2328.9</v>
      </c>
      <c r="X279" s="8">
        <f t="shared" si="13"/>
        <v>815.10700000000008</v>
      </c>
      <c r="Y279" s="8">
        <f t="shared" si="14"/>
        <v>1620.05</v>
      </c>
      <c r="AA279">
        <v>0.12</v>
      </c>
      <c r="AB279">
        <f>IF(Table1[[#This Row],[DiscountPct]]&gt;0.2,1,0)</f>
        <v>0</v>
      </c>
      <c r="AC279" s="6">
        <v>17</v>
      </c>
      <c r="AD279" s="8">
        <f>Table1[[#This Row],[UnitPrice]]*Table1[[#This Row],[Quantity]]</f>
        <v>39591.300000000003</v>
      </c>
      <c r="AE279" s="8">
        <f>Table1[[#This Row],[UnitCost]]*Table1[[#This Row],[Quantity]]</f>
        <v>19955.11</v>
      </c>
      <c r="AF279" s="8">
        <f>Table1[[#This Row],[GrossRevenue]]-Table1[[#This Row],[CostOfGoods]]</f>
        <v>19636.190000000002</v>
      </c>
      <c r="AG279" s="8">
        <f>IF(Table1[[#This Row],[GrossRevenue]]=0,0,Table1[[#This Row],[GrossProfit]]/Table1[[#This Row],[GrossRevenue]])</f>
        <v>0.49597234746017438</v>
      </c>
    </row>
    <row r="280" spans="1:33" x14ac:dyDescent="0.45">
      <c r="A280" t="s">
        <v>293</v>
      </c>
      <c r="B280">
        <v>1</v>
      </c>
      <c r="C280" s="3">
        <v>45229</v>
      </c>
      <c r="D280" s="6">
        <f>YEAR(Table1[[#This Row],[OrderDate]]) * 100 + MONTH(Table1[[#This Row],[OrderDate]])</f>
        <v>202310</v>
      </c>
      <c r="E280" s="6">
        <f>_xlfn.MINIFS(Table1[OrderMonthKey],Table1[Country],Table1[[#This Row],[Country]])</f>
        <v>202302</v>
      </c>
      <c r="F280" s="6">
        <f>Table1[[#This Row],[CountryFirstMonthKey]]</f>
        <v>202302</v>
      </c>
      <c r="G280" s="6">
        <f>12*(INT(Table1[[#This Row],[OrderMonthKey]]/100)-INT(Table1[[#This Row],[CohortMonthKey]]/100)) + (MOD(Table1[[#This Row],[OrderMonthKey]],100)-MOD(Table1[[#This Row],[CohortMonthKey]],100))</f>
        <v>8</v>
      </c>
      <c r="H280" s="3" t="str">
        <f>TEXT(Table1[[#This Row],[OrderDate]],"MMM-YYYY")</f>
        <v>Oct-2023</v>
      </c>
      <c r="I280" s="3" t="str">
        <f t="shared" si="12"/>
        <v>Q2-2024</v>
      </c>
      <c r="J280" s="26" t="str">
        <f>IF(Table1[[#This Row],[LeadTimeDays]]&lt;=7,"Yes","No")</f>
        <v>No</v>
      </c>
      <c r="K280" s="6">
        <f>_xlfn.DAYS(Table1[[#This Row],[CorrectedRequiredDate]],Table1[[#This Row],[OrderDate]])</f>
        <v>15</v>
      </c>
      <c r="L280" s="3">
        <f>IF(Table1[[#This Row],[RequiredDate]]&lt;Table1[[#This Row],[OrderDate]],Table1[[#This Row],[OrderDate]],Table1[[#This Row],[RequiredDate]])</f>
        <v>45244</v>
      </c>
      <c r="M280" s="3">
        <v>45244</v>
      </c>
      <c r="N280" t="s">
        <v>647</v>
      </c>
      <c r="O280" t="s">
        <v>654</v>
      </c>
      <c r="P280" t="s">
        <v>668</v>
      </c>
      <c r="Q280" t="s">
        <v>701</v>
      </c>
      <c r="R280" t="s">
        <v>708</v>
      </c>
      <c r="S280" t="s">
        <v>721</v>
      </c>
      <c r="T280" t="s">
        <v>731</v>
      </c>
      <c r="U280" t="s">
        <v>1012</v>
      </c>
      <c r="V280" s="8">
        <v>953.46</v>
      </c>
      <c r="W280" s="8">
        <v>2066.75</v>
      </c>
      <c r="X280" s="8">
        <f t="shared" si="13"/>
        <v>815.10700000000008</v>
      </c>
      <c r="Y280" s="8">
        <f t="shared" si="14"/>
        <v>1620.05</v>
      </c>
      <c r="Z280" s="8" t="str">
        <f>IF(W279 &lt;= X278, "Low",IF(W279 &lt;= Y279, "Medium", "High"))</f>
        <v>High</v>
      </c>
      <c r="AA280">
        <v>0.13800000000000001</v>
      </c>
      <c r="AB280">
        <f>IF(Table1[[#This Row],[DiscountPct]]&gt;0.2,1,0)</f>
        <v>0</v>
      </c>
      <c r="AC280" s="6">
        <v>5</v>
      </c>
      <c r="AD280" s="8">
        <f>Table1[[#This Row],[UnitPrice]]*Table1[[#This Row],[Quantity]]</f>
        <v>10333.75</v>
      </c>
      <c r="AE280" s="8">
        <f>Table1[[#This Row],[UnitCost]]*Table1[[#This Row],[Quantity]]</f>
        <v>4767.3</v>
      </c>
      <c r="AF280" s="8">
        <f>Table1[[#This Row],[GrossRevenue]]-Table1[[#This Row],[CostOfGoods]]</f>
        <v>5566.45</v>
      </c>
      <c r="AG280" s="9">
        <f>IF(Table1[[#This Row],[GrossRevenue]]=0,0,Table1[[#This Row],[GrossProfit]]/Table1[[#This Row],[GrossRevenue]])</f>
        <v>0.538666989234305</v>
      </c>
    </row>
    <row r="281" spans="1:33" hidden="1" x14ac:dyDescent="0.45">
      <c r="A281" t="s">
        <v>294</v>
      </c>
      <c r="C281" s="3">
        <v>45092</v>
      </c>
      <c r="D281" s="3">
        <f>YEAR(Table1[[#This Row],[OrderDate]]) * 100 + MONTH(Table1[[#This Row],[OrderDate]])</f>
        <v>202306</v>
      </c>
      <c r="E281" s="3">
        <f>_xlfn.MINIFS(Table1[OrderMonthKey],Table1[Country],Table1[[#This Row],[Country]])</f>
        <v>202301</v>
      </c>
      <c r="F281" s="3">
        <f>Table1[[#This Row],[CountryFirstMonthKey]]</f>
        <v>202301</v>
      </c>
      <c r="G281" s="3">
        <f>12*(INT(Table1[[#This Row],[OrderMonthKey]]/100)-INT(Table1[[#This Row],[CohortMonthKey]]/100)) + (MOD(Table1[[#This Row],[OrderMonthKey]],100)-MOD(Table1[[#This Row],[CohortMonthKey]],100))</f>
        <v>5</v>
      </c>
      <c r="H281" s="3" t="str">
        <f>TEXT(Table1[[#This Row],[OrderDate]],"MMM-YYYY")</f>
        <v>Jun-2023</v>
      </c>
      <c r="I281" s="3" t="str">
        <f t="shared" si="12"/>
        <v>Q4-2023</v>
      </c>
      <c r="J281" s="3" t="str">
        <f>IF(Table1[[#This Row],[LeadTimeDays]]&lt;=7,"Yes","No")</f>
        <v>No</v>
      </c>
      <c r="K281" s="3">
        <f>_xlfn.DAYS(Table1[[#This Row],[CorrectedRequiredDate]],Table1[[#This Row],[OrderDate]])</f>
        <v>8</v>
      </c>
      <c r="L281" s="3">
        <f>IF(Table1[[#This Row],[RequiredDate]]&lt;Table1[[#This Row],[OrderDate]],Table1[[#This Row],[OrderDate]],Table1[[#This Row],[RequiredDate]])</f>
        <v>45100</v>
      </c>
      <c r="M281" s="3">
        <v>45100</v>
      </c>
      <c r="N281" t="s">
        <v>648</v>
      </c>
      <c r="O281" t="s">
        <v>660</v>
      </c>
      <c r="P281" t="s">
        <v>686</v>
      </c>
      <c r="Q281" t="s">
        <v>704</v>
      </c>
      <c r="R281" t="s">
        <v>710</v>
      </c>
      <c r="S281" t="s">
        <v>719</v>
      </c>
      <c r="T281" t="s">
        <v>732</v>
      </c>
      <c r="U281" t="s">
        <v>1013</v>
      </c>
      <c r="V281" s="8">
        <v>1097.0899999999999</v>
      </c>
      <c r="W281" s="8">
        <v>2182.31</v>
      </c>
      <c r="X281" s="8">
        <f t="shared" si="13"/>
        <v>815.10700000000008</v>
      </c>
      <c r="Y281" s="8">
        <f t="shared" si="14"/>
        <v>1620.05</v>
      </c>
      <c r="AA281">
        <v>0.112</v>
      </c>
      <c r="AB281">
        <f>IF(Table1[[#This Row],[DiscountPct]]&gt;0.2,1,0)</f>
        <v>0</v>
      </c>
      <c r="AC281" s="6">
        <v>9</v>
      </c>
      <c r="AD281" s="8">
        <f>Table1[[#This Row],[UnitPrice]]*Table1[[#This Row],[Quantity]]</f>
        <v>19640.79</v>
      </c>
      <c r="AE281" s="8">
        <f>Table1[[#This Row],[UnitCost]]*Table1[[#This Row],[Quantity]]</f>
        <v>9873.81</v>
      </c>
      <c r="AF281" s="8">
        <f>Table1[[#This Row],[GrossRevenue]]-Table1[[#This Row],[CostOfGoods]]</f>
        <v>9766.9800000000014</v>
      </c>
      <c r="AG281" s="8">
        <f>IF(Table1[[#This Row],[GrossRevenue]]=0,0,Table1[[#This Row],[GrossProfit]]/Table1[[#This Row],[GrossRevenue]])</f>
        <v>0.49728040470877194</v>
      </c>
    </row>
    <row r="282" spans="1:33" hidden="1" x14ac:dyDescent="0.45">
      <c r="A282" t="s">
        <v>295</v>
      </c>
      <c r="C282" s="3">
        <v>45730</v>
      </c>
      <c r="D282" s="3">
        <f>YEAR(Table1[[#This Row],[OrderDate]]) * 100 + MONTH(Table1[[#This Row],[OrderDate]])</f>
        <v>202503</v>
      </c>
      <c r="E282" s="3">
        <f>_xlfn.MINIFS(Table1[OrderMonthKey],Table1[Country],Table1[[#This Row],[Country]])</f>
        <v>202303</v>
      </c>
      <c r="F282" s="3">
        <f>Table1[[#This Row],[CountryFirstMonthKey]]</f>
        <v>202303</v>
      </c>
      <c r="G282" s="3">
        <f>12*(INT(Table1[[#This Row],[OrderMonthKey]]/100)-INT(Table1[[#This Row],[CohortMonthKey]]/100)) + (MOD(Table1[[#This Row],[OrderMonthKey]],100)-MOD(Table1[[#This Row],[CohortMonthKey]],100))</f>
        <v>24</v>
      </c>
      <c r="H282" s="3" t="str">
        <f>TEXT(Table1[[#This Row],[OrderDate]],"MMM-YYYY")</f>
        <v>Mar-2025</v>
      </c>
      <c r="I282" s="3" t="str">
        <f t="shared" si="12"/>
        <v>Q2-2023</v>
      </c>
      <c r="J282" s="3" t="str">
        <f>IF(Table1[[#This Row],[LeadTimeDays]]&lt;=7,"Yes","No")</f>
        <v>No</v>
      </c>
      <c r="K282" s="3">
        <f>_xlfn.DAYS(Table1[[#This Row],[CorrectedRequiredDate]],Table1[[#This Row],[OrderDate]])</f>
        <v>15</v>
      </c>
      <c r="L282" s="3">
        <f>IF(Table1[[#This Row],[RequiredDate]]&lt;Table1[[#This Row],[OrderDate]],Table1[[#This Row],[OrderDate]],Table1[[#This Row],[RequiredDate]])</f>
        <v>45745</v>
      </c>
      <c r="M282" s="3">
        <v>45745</v>
      </c>
      <c r="N282" t="s">
        <v>647</v>
      </c>
      <c r="O282" t="s">
        <v>652</v>
      </c>
      <c r="P282" t="s">
        <v>689</v>
      </c>
      <c r="Q282" t="s">
        <v>703</v>
      </c>
      <c r="R282" t="s">
        <v>711</v>
      </c>
      <c r="S282" t="s">
        <v>722</v>
      </c>
      <c r="T282" t="s">
        <v>729</v>
      </c>
      <c r="U282" t="s">
        <v>1014</v>
      </c>
      <c r="V282" s="8">
        <v>1106.96</v>
      </c>
      <c r="W282" s="8">
        <v>2726.62</v>
      </c>
      <c r="X282" s="8">
        <f t="shared" si="13"/>
        <v>815.10700000000008</v>
      </c>
      <c r="Y282" s="8">
        <f t="shared" si="14"/>
        <v>1620.05</v>
      </c>
      <c r="AA282">
        <v>0.317</v>
      </c>
      <c r="AB282">
        <f>IF(Table1[[#This Row],[DiscountPct]]&gt;0.2,1,0)</f>
        <v>1</v>
      </c>
      <c r="AC282" s="6">
        <v>7</v>
      </c>
      <c r="AD282" s="8">
        <f>Table1[[#This Row],[UnitPrice]]*Table1[[#This Row],[Quantity]]</f>
        <v>19086.34</v>
      </c>
      <c r="AE282" s="8">
        <f>Table1[[#This Row],[UnitCost]]*Table1[[#This Row],[Quantity]]</f>
        <v>7748.72</v>
      </c>
      <c r="AF282" s="8">
        <f>Table1[[#This Row],[GrossRevenue]]-Table1[[#This Row],[CostOfGoods]]</f>
        <v>11337.619999999999</v>
      </c>
      <c r="AG282" s="8">
        <f>IF(Table1[[#This Row],[GrossRevenue]]=0,0,Table1[[#This Row],[GrossProfit]]/Table1[[#This Row],[GrossRevenue]])</f>
        <v>0.59401750152203092</v>
      </c>
    </row>
    <row r="283" spans="1:33" hidden="1" x14ac:dyDescent="0.45">
      <c r="A283" t="s">
        <v>296</v>
      </c>
      <c r="C283" s="3">
        <v>45153</v>
      </c>
      <c r="D283" s="3">
        <f>YEAR(Table1[[#This Row],[OrderDate]]) * 100 + MONTH(Table1[[#This Row],[OrderDate]])</f>
        <v>202308</v>
      </c>
      <c r="E283" s="3">
        <f>_xlfn.MINIFS(Table1[OrderMonthKey],Table1[Country],Table1[[#This Row],[Country]])</f>
        <v>202301</v>
      </c>
      <c r="F283" s="3">
        <f>Table1[[#This Row],[CountryFirstMonthKey]]</f>
        <v>202301</v>
      </c>
      <c r="G283" s="3">
        <f>12*(INT(Table1[[#This Row],[OrderMonthKey]]/100)-INT(Table1[[#This Row],[CohortMonthKey]]/100)) + (MOD(Table1[[#This Row],[OrderMonthKey]],100)-MOD(Table1[[#This Row],[CohortMonthKey]],100))</f>
        <v>7</v>
      </c>
      <c r="H283" s="3" t="str">
        <f>TEXT(Table1[[#This Row],[OrderDate]],"MMM-YYYY")</f>
        <v>Aug-2023</v>
      </c>
      <c r="I283" s="3" t="str">
        <f t="shared" si="12"/>
        <v>Q1-2025</v>
      </c>
      <c r="J283" s="3" t="str">
        <f>IF(Table1[[#This Row],[LeadTimeDays]]&lt;=7,"Yes","No")</f>
        <v>No</v>
      </c>
      <c r="K283" s="3">
        <f>_xlfn.DAYS(Table1[[#This Row],[CorrectedRequiredDate]],Table1[[#This Row],[OrderDate]])</f>
        <v>10</v>
      </c>
      <c r="L283" s="3">
        <f>IF(Table1[[#This Row],[RequiredDate]]&lt;Table1[[#This Row],[OrderDate]],Table1[[#This Row],[OrderDate]],Table1[[#This Row],[RequiredDate]])</f>
        <v>45163</v>
      </c>
      <c r="M283" s="3">
        <v>45163</v>
      </c>
      <c r="N283" t="s">
        <v>646</v>
      </c>
      <c r="O283" t="s">
        <v>650</v>
      </c>
      <c r="P283" t="s">
        <v>664</v>
      </c>
      <c r="Q283" t="s">
        <v>705</v>
      </c>
      <c r="R283" t="s">
        <v>707</v>
      </c>
      <c r="S283" t="s">
        <v>725</v>
      </c>
      <c r="T283" t="s">
        <v>730</v>
      </c>
      <c r="U283" t="s">
        <v>1015</v>
      </c>
      <c r="V283" s="8">
        <v>91.85</v>
      </c>
      <c r="W283" s="8">
        <v>111.29</v>
      </c>
      <c r="X283" s="8">
        <f t="shared" si="13"/>
        <v>815.10700000000008</v>
      </c>
      <c r="Y283" s="8">
        <f t="shared" si="14"/>
        <v>1620.05</v>
      </c>
      <c r="AA283">
        <v>0</v>
      </c>
      <c r="AB283">
        <f>IF(Table1[[#This Row],[DiscountPct]]&gt;0.2,1,0)</f>
        <v>0</v>
      </c>
      <c r="AC283" s="6">
        <v>6</v>
      </c>
      <c r="AD283" s="8">
        <f>Table1[[#This Row],[UnitPrice]]*Table1[[#This Row],[Quantity]]</f>
        <v>667.74</v>
      </c>
      <c r="AE283" s="8">
        <f>Table1[[#This Row],[UnitCost]]*Table1[[#This Row],[Quantity]]</f>
        <v>551.09999999999991</v>
      </c>
      <c r="AF283" s="8">
        <f>Table1[[#This Row],[GrossRevenue]]-Table1[[#This Row],[CostOfGoods]]</f>
        <v>116.6400000000001</v>
      </c>
      <c r="AG283" s="8">
        <f>IF(Table1[[#This Row],[GrossRevenue]]=0,0,Table1[[#This Row],[GrossProfit]]/Table1[[#This Row],[GrossRevenue]])</f>
        <v>0.17467876718483258</v>
      </c>
    </row>
    <row r="284" spans="1:33" x14ac:dyDescent="0.45">
      <c r="A284" t="s">
        <v>297</v>
      </c>
      <c r="B284">
        <v>1</v>
      </c>
      <c r="C284" s="3">
        <v>45794</v>
      </c>
      <c r="D284" s="6">
        <f>YEAR(Table1[[#This Row],[OrderDate]]) * 100 + MONTH(Table1[[#This Row],[OrderDate]])</f>
        <v>202505</v>
      </c>
      <c r="E284" s="6">
        <f>_xlfn.MINIFS(Table1[OrderMonthKey],Table1[Country],Table1[[#This Row],[Country]])</f>
        <v>202302</v>
      </c>
      <c r="F284" s="6">
        <f>Table1[[#This Row],[CountryFirstMonthKey]]</f>
        <v>202302</v>
      </c>
      <c r="G284" s="6">
        <f>12*(INT(Table1[[#This Row],[OrderMonthKey]]/100)-INT(Table1[[#This Row],[CohortMonthKey]]/100)) + (MOD(Table1[[#This Row],[OrderMonthKey]],100)-MOD(Table1[[#This Row],[CohortMonthKey]],100))</f>
        <v>27</v>
      </c>
      <c r="H284" s="3" t="str">
        <f>TEXT(Table1[[#This Row],[OrderDate]],"MMM-YYYY")</f>
        <v>May-2025</v>
      </c>
      <c r="I284" s="3" t="str">
        <f t="shared" si="12"/>
        <v>Q3-2023</v>
      </c>
      <c r="J284" s="26" t="str">
        <f>IF(Table1[[#This Row],[LeadTimeDays]]&lt;=7,"Yes","No")</f>
        <v>No</v>
      </c>
      <c r="K284" s="6">
        <f>_xlfn.DAYS(Table1[[#This Row],[CorrectedRequiredDate]],Table1[[#This Row],[OrderDate]])</f>
        <v>11</v>
      </c>
      <c r="L284" s="3">
        <f>IF(Table1[[#This Row],[RequiredDate]]&lt;Table1[[#This Row],[OrderDate]],Table1[[#This Row],[OrderDate]],Table1[[#This Row],[RequiredDate]])</f>
        <v>45805</v>
      </c>
      <c r="M284" s="3">
        <v>45805</v>
      </c>
      <c r="N284" t="s">
        <v>647</v>
      </c>
      <c r="O284" t="s">
        <v>654</v>
      </c>
      <c r="P284" t="s">
        <v>668</v>
      </c>
      <c r="Q284" t="s">
        <v>701</v>
      </c>
      <c r="R284" t="s">
        <v>710</v>
      </c>
      <c r="S284" t="s">
        <v>717</v>
      </c>
      <c r="T284" t="s">
        <v>731</v>
      </c>
      <c r="U284" t="s">
        <v>1016</v>
      </c>
      <c r="V284" s="8">
        <v>623.4</v>
      </c>
      <c r="W284" s="8">
        <v>1100.0899999999999</v>
      </c>
      <c r="X284" s="8">
        <f t="shared" si="13"/>
        <v>815.10700000000008</v>
      </c>
      <c r="Y284" s="8">
        <f t="shared" si="14"/>
        <v>1620.05</v>
      </c>
      <c r="Z284" s="8" t="str">
        <f>IF(W283 &lt;= X282, "Low",IF(W283 &lt;= Y283, "Medium", "High"))</f>
        <v>Low</v>
      </c>
      <c r="AA284">
        <v>0.114</v>
      </c>
      <c r="AB284">
        <f>IF(Table1[[#This Row],[DiscountPct]]&gt;0.2,1,0)</f>
        <v>0</v>
      </c>
      <c r="AC284" s="6">
        <v>12</v>
      </c>
      <c r="AD284" s="8">
        <f>Table1[[#This Row],[UnitPrice]]*Table1[[#This Row],[Quantity]]</f>
        <v>13201.079999999998</v>
      </c>
      <c r="AE284" s="8">
        <f>Table1[[#This Row],[UnitCost]]*Table1[[#This Row],[Quantity]]</f>
        <v>7480.7999999999993</v>
      </c>
      <c r="AF284" s="8">
        <f>Table1[[#This Row],[GrossRevenue]]-Table1[[#This Row],[CostOfGoods]]</f>
        <v>5720.2799999999988</v>
      </c>
      <c r="AG284" s="9">
        <f>IF(Table1[[#This Row],[GrossRevenue]]=0,0,Table1[[#This Row],[GrossProfit]]/Table1[[#This Row],[GrossRevenue]])</f>
        <v>0.43331909207428482</v>
      </c>
    </row>
    <row r="285" spans="1:33" hidden="1" x14ac:dyDescent="0.45">
      <c r="A285" t="s">
        <v>298</v>
      </c>
      <c r="C285" s="3">
        <v>45304</v>
      </c>
      <c r="D285" s="3">
        <f>YEAR(Table1[[#This Row],[OrderDate]]) * 100 + MONTH(Table1[[#This Row],[OrderDate]])</f>
        <v>202401</v>
      </c>
      <c r="E285" s="3">
        <f>_xlfn.MINIFS(Table1[OrderMonthKey],Table1[Country],Table1[[#This Row],[Country]])</f>
        <v>202301</v>
      </c>
      <c r="F285" s="3">
        <f>Table1[[#This Row],[CountryFirstMonthKey]]</f>
        <v>202301</v>
      </c>
      <c r="G285" s="3">
        <f>12*(INT(Table1[[#This Row],[OrderMonthKey]]/100)-INT(Table1[[#This Row],[CohortMonthKey]]/100)) + (MOD(Table1[[#This Row],[OrderMonthKey]],100)-MOD(Table1[[#This Row],[CohortMonthKey]],100))</f>
        <v>12</v>
      </c>
      <c r="H285" s="3" t="str">
        <f>TEXT(Table1[[#This Row],[OrderDate]],"MMM-YYYY")</f>
        <v>Jan-2024</v>
      </c>
      <c r="I285" s="3" t="str">
        <f t="shared" si="12"/>
        <v>Q2-2025</v>
      </c>
      <c r="J285" s="3" t="str">
        <f>IF(Table1[[#This Row],[LeadTimeDays]]&lt;=7,"Yes","No")</f>
        <v>No</v>
      </c>
      <c r="K285" s="3">
        <f>_xlfn.DAYS(Table1[[#This Row],[CorrectedRequiredDate]],Table1[[#This Row],[OrderDate]])</f>
        <v>23</v>
      </c>
      <c r="L285" s="3">
        <f>IF(Table1[[#This Row],[RequiredDate]]&lt;Table1[[#This Row],[OrderDate]],Table1[[#This Row],[OrderDate]],Table1[[#This Row],[RequiredDate]])</f>
        <v>45327</v>
      </c>
      <c r="M285" s="3">
        <v>45327</v>
      </c>
      <c r="N285" t="s">
        <v>649</v>
      </c>
      <c r="O285" t="s">
        <v>656</v>
      </c>
      <c r="P285" t="s">
        <v>698</v>
      </c>
      <c r="Q285" t="s">
        <v>702</v>
      </c>
      <c r="R285" t="s">
        <v>711</v>
      </c>
      <c r="S285" t="s">
        <v>717</v>
      </c>
      <c r="T285" t="s">
        <v>731</v>
      </c>
      <c r="U285" t="s">
        <v>1017</v>
      </c>
      <c r="V285" s="8">
        <v>1017.93</v>
      </c>
      <c r="W285" s="8">
        <v>1529.14</v>
      </c>
      <c r="X285" s="8">
        <f t="shared" si="13"/>
        <v>815.10700000000008</v>
      </c>
      <c r="Y285" s="8">
        <f t="shared" si="14"/>
        <v>1620.05</v>
      </c>
      <c r="AA285">
        <v>0.155</v>
      </c>
      <c r="AB285">
        <f>IF(Table1[[#This Row],[DiscountPct]]&gt;0.2,1,0)</f>
        <v>0</v>
      </c>
      <c r="AC285" s="6">
        <v>12</v>
      </c>
      <c r="AD285" s="8">
        <f>Table1[[#This Row],[UnitPrice]]*Table1[[#This Row],[Quantity]]</f>
        <v>18349.68</v>
      </c>
      <c r="AE285" s="8">
        <f>Table1[[#This Row],[UnitCost]]*Table1[[#This Row],[Quantity]]</f>
        <v>12215.16</v>
      </c>
      <c r="AF285" s="8">
        <f>Table1[[#This Row],[GrossRevenue]]-Table1[[#This Row],[CostOfGoods]]</f>
        <v>6134.52</v>
      </c>
      <c r="AG285" s="8">
        <f>IF(Table1[[#This Row],[GrossRevenue]]=0,0,Table1[[#This Row],[GrossProfit]]/Table1[[#This Row],[GrossRevenue]])</f>
        <v>0.33431209699569697</v>
      </c>
    </row>
    <row r="286" spans="1:33" hidden="1" x14ac:dyDescent="0.45">
      <c r="A286" t="s">
        <v>299</v>
      </c>
      <c r="C286" s="3">
        <v>45101</v>
      </c>
      <c r="D286" s="3">
        <f>YEAR(Table1[[#This Row],[OrderDate]]) * 100 + MONTH(Table1[[#This Row],[OrderDate]])</f>
        <v>202306</v>
      </c>
      <c r="E286" s="3">
        <f>_xlfn.MINIFS(Table1[OrderMonthKey],Table1[Country],Table1[[#This Row],[Country]])</f>
        <v>202303</v>
      </c>
      <c r="F286" s="3">
        <f>Table1[[#This Row],[CountryFirstMonthKey]]</f>
        <v>202303</v>
      </c>
      <c r="G286" s="3">
        <f>12*(INT(Table1[[#This Row],[OrderMonthKey]]/100)-INT(Table1[[#This Row],[CohortMonthKey]]/100)) + (MOD(Table1[[#This Row],[OrderMonthKey]],100)-MOD(Table1[[#This Row],[CohortMonthKey]],100))</f>
        <v>3</v>
      </c>
      <c r="H286" s="3" t="str">
        <f>TEXT(Table1[[#This Row],[OrderDate]],"MMM-YYYY")</f>
        <v>Jun-2023</v>
      </c>
      <c r="I286" s="3" t="str">
        <f t="shared" si="12"/>
        <v>Q1-2024</v>
      </c>
      <c r="J286" s="3" t="str">
        <f>IF(Table1[[#This Row],[LeadTimeDays]]&lt;=7,"Yes","No")</f>
        <v>No</v>
      </c>
      <c r="K286" s="3">
        <f>_xlfn.DAYS(Table1[[#This Row],[CorrectedRequiredDate]],Table1[[#This Row],[OrderDate]])</f>
        <v>27</v>
      </c>
      <c r="L286" s="3">
        <f>IF(Table1[[#This Row],[RequiredDate]]&lt;Table1[[#This Row],[OrderDate]],Table1[[#This Row],[OrderDate]],Table1[[#This Row],[RequiredDate]])</f>
        <v>45128</v>
      </c>
      <c r="M286" s="3">
        <v>45128</v>
      </c>
      <c r="N286" t="s">
        <v>647</v>
      </c>
      <c r="O286" t="s">
        <v>652</v>
      </c>
      <c r="P286" t="s">
        <v>694</v>
      </c>
      <c r="Q286" t="s">
        <v>704</v>
      </c>
      <c r="R286" t="s">
        <v>709</v>
      </c>
      <c r="S286" t="s">
        <v>713</v>
      </c>
      <c r="T286" t="s">
        <v>730</v>
      </c>
      <c r="U286" t="s">
        <v>1018</v>
      </c>
      <c r="V286" s="8">
        <v>554.76</v>
      </c>
      <c r="W286" s="8">
        <v>728.69</v>
      </c>
      <c r="X286" s="8">
        <f t="shared" si="13"/>
        <v>815.10700000000008</v>
      </c>
      <c r="Y286" s="8">
        <f t="shared" si="14"/>
        <v>1620.05</v>
      </c>
      <c r="AA286">
        <v>0.22</v>
      </c>
      <c r="AB286">
        <f>IF(Table1[[#This Row],[DiscountPct]]&gt;0.2,1,0)</f>
        <v>1</v>
      </c>
      <c r="AC286" s="6">
        <v>7</v>
      </c>
      <c r="AD286" s="8">
        <f>Table1[[#This Row],[UnitPrice]]*Table1[[#This Row],[Quantity]]</f>
        <v>5100.83</v>
      </c>
      <c r="AE286" s="8">
        <f>Table1[[#This Row],[UnitCost]]*Table1[[#This Row],[Quantity]]</f>
        <v>3883.3199999999997</v>
      </c>
      <c r="AF286" s="8">
        <f>Table1[[#This Row],[GrossRevenue]]-Table1[[#This Row],[CostOfGoods]]</f>
        <v>1217.5100000000002</v>
      </c>
      <c r="AG286" s="8">
        <f>IF(Table1[[#This Row],[GrossRevenue]]=0,0,Table1[[#This Row],[GrossProfit]]/Table1[[#This Row],[GrossRevenue]])</f>
        <v>0.23868860557987626</v>
      </c>
    </row>
    <row r="287" spans="1:33" hidden="1" x14ac:dyDescent="0.45">
      <c r="A287" t="s">
        <v>300</v>
      </c>
      <c r="C287" s="3">
        <v>45751</v>
      </c>
      <c r="D287" s="3">
        <f>YEAR(Table1[[#This Row],[OrderDate]]) * 100 + MONTH(Table1[[#This Row],[OrderDate]])</f>
        <v>202504</v>
      </c>
      <c r="E287" s="3">
        <f>_xlfn.MINIFS(Table1[OrderMonthKey],Table1[Country],Table1[[#This Row],[Country]])</f>
        <v>202301</v>
      </c>
      <c r="F287" s="3">
        <f>Table1[[#This Row],[CountryFirstMonthKey]]</f>
        <v>202301</v>
      </c>
      <c r="G287" s="3">
        <f>12*(INT(Table1[[#This Row],[OrderMonthKey]]/100)-INT(Table1[[#This Row],[CohortMonthKey]]/100)) + (MOD(Table1[[#This Row],[OrderMonthKey]],100)-MOD(Table1[[#This Row],[CohortMonthKey]],100))</f>
        <v>27</v>
      </c>
      <c r="H287" s="3" t="str">
        <f>TEXT(Table1[[#This Row],[OrderDate]],"MMM-YYYY")</f>
        <v>Apr-2025</v>
      </c>
      <c r="I287" s="3" t="str">
        <f t="shared" si="12"/>
        <v>Q2-2023</v>
      </c>
      <c r="J287" s="3" t="str">
        <f>IF(Table1[[#This Row],[LeadTimeDays]]&lt;=7,"Yes","No")</f>
        <v>No</v>
      </c>
      <c r="K287" s="3">
        <f>_xlfn.DAYS(Table1[[#This Row],[CorrectedRequiredDate]],Table1[[#This Row],[OrderDate]])</f>
        <v>9</v>
      </c>
      <c r="L287" s="3">
        <f>IF(Table1[[#This Row],[RequiredDate]]&lt;Table1[[#This Row],[OrderDate]],Table1[[#This Row],[OrderDate]],Table1[[#This Row],[RequiredDate]])</f>
        <v>45760</v>
      </c>
      <c r="M287" s="3">
        <v>45760</v>
      </c>
      <c r="N287" t="s">
        <v>649</v>
      </c>
      <c r="O287" t="s">
        <v>656</v>
      </c>
      <c r="P287" t="s">
        <v>684</v>
      </c>
      <c r="Q287" t="s">
        <v>704</v>
      </c>
      <c r="R287" t="s">
        <v>709</v>
      </c>
      <c r="S287" t="s">
        <v>721</v>
      </c>
      <c r="T287" t="s">
        <v>730</v>
      </c>
      <c r="U287" t="s">
        <v>1019</v>
      </c>
      <c r="V287" s="8">
        <v>7.02</v>
      </c>
      <c r="W287" s="8">
        <v>6.28</v>
      </c>
      <c r="X287" s="8">
        <f t="shared" si="13"/>
        <v>815.10700000000008</v>
      </c>
      <c r="Y287" s="8">
        <f t="shared" si="14"/>
        <v>1620.05</v>
      </c>
      <c r="AA287">
        <v>0.13400000000000001</v>
      </c>
      <c r="AB287">
        <f>IF(Table1[[#This Row],[DiscountPct]]&gt;0.2,1,0)</f>
        <v>0</v>
      </c>
      <c r="AC287" s="6">
        <v>14</v>
      </c>
      <c r="AD287" s="8">
        <f>Table1[[#This Row],[UnitPrice]]*Table1[[#This Row],[Quantity]]</f>
        <v>87.92</v>
      </c>
      <c r="AE287" s="8">
        <f>Table1[[#This Row],[UnitCost]]*Table1[[#This Row],[Quantity]]</f>
        <v>98.28</v>
      </c>
      <c r="AF287" s="8">
        <f>Table1[[#This Row],[GrossRevenue]]-Table1[[#This Row],[CostOfGoods]]</f>
        <v>-10.36</v>
      </c>
      <c r="AG287" s="8">
        <f>IF(Table1[[#This Row],[GrossRevenue]]=0,0,Table1[[#This Row],[GrossProfit]]/Table1[[#This Row],[GrossRevenue]])</f>
        <v>-0.11783439490445859</v>
      </c>
    </row>
    <row r="288" spans="1:33" x14ac:dyDescent="0.45">
      <c r="A288" t="s">
        <v>301</v>
      </c>
      <c r="B288">
        <v>1</v>
      </c>
      <c r="C288" s="3">
        <v>45542</v>
      </c>
      <c r="D288" s="6">
        <f>YEAR(Table1[[#This Row],[OrderDate]]) * 100 + MONTH(Table1[[#This Row],[OrderDate]])</f>
        <v>202409</v>
      </c>
      <c r="E288" s="6">
        <f>_xlfn.MINIFS(Table1[OrderMonthKey],Table1[Country],Table1[[#This Row],[Country]])</f>
        <v>202302</v>
      </c>
      <c r="F288" s="6">
        <f>Table1[[#This Row],[CountryFirstMonthKey]]</f>
        <v>202302</v>
      </c>
      <c r="G288" s="6">
        <f>12*(INT(Table1[[#This Row],[OrderMonthKey]]/100)-INT(Table1[[#This Row],[CohortMonthKey]]/100)) + (MOD(Table1[[#This Row],[OrderMonthKey]],100)-MOD(Table1[[#This Row],[CohortMonthKey]],100))</f>
        <v>19</v>
      </c>
      <c r="H288" s="3" t="str">
        <f>TEXT(Table1[[#This Row],[OrderDate]],"MMM-YYYY")</f>
        <v>Sep-2024</v>
      </c>
      <c r="I288" s="3" t="str">
        <f t="shared" si="12"/>
        <v>Q2-2025</v>
      </c>
      <c r="J288" s="26" t="str">
        <f>IF(Table1[[#This Row],[LeadTimeDays]]&lt;=7,"Yes","No")</f>
        <v>Yes</v>
      </c>
      <c r="K288" s="6">
        <f>_xlfn.DAYS(Table1[[#This Row],[CorrectedRequiredDate]],Table1[[#This Row],[OrderDate]])</f>
        <v>0</v>
      </c>
      <c r="L288" s="3">
        <f>IF(Table1[[#This Row],[RequiredDate]]&lt;Table1[[#This Row],[OrderDate]],Table1[[#This Row],[OrderDate]],Table1[[#This Row],[RequiredDate]])</f>
        <v>45542</v>
      </c>
      <c r="M288" s="3">
        <v>45542</v>
      </c>
      <c r="N288" t="s">
        <v>647</v>
      </c>
      <c r="O288" t="s">
        <v>654</v>
      </c>
      <c r="P288" t="s">
        <v>691</v>
      </c>
      <c r="Q288" t="s">
        <v>702</v>
      </c>
      <c r="R288" t="s">
        <v>710</v>
      </c>
      <c r="S288" t="s">
        <v>717</v>
      </c>
      <c r="T288" t="s">
        <v>729</v>
      </c>
      <c r="U288" t="s">
        <v>1020</v>
      </c>
      <c r="V288" s="8">
        <v>1066.6500000000001</v>
      </c>
      <c r="W288" s="8">
        <v>2569.77</v>
      </c>
      <c r="X288" s="8">
        <f t="shared" si="13"/>
        <v>815.10700000000008</v>
      </c>
      <c r="Y288" s="8">
        <f t="shared" si="14"/>
        <v>1620.05</v>
      </c>
      <c r="Z288" s="8" t="str">
        <f>IF(W287 &lt;= X286, "Low",IF(W287 &lt;= Y287, "Medium", "High"))</f>
        <v>Low</v>
      </c>
      <c r="AA288">
        <v>0.13400000000000001</v>
      </c>
      <c r="AB288">
        <f>IF(Table1[[#This Row],[DiscountPct]]&gt;0.2,1,0)</f>
        <v>0</v>
      </c>
      <c r="AC288" s="6">
        <v>9</v>
      </c>
      <c r="AD288" s="8">
        <f>Table1[[#This Row],[UnitPrice]]*Table1[[#This Row],[Quantity]]</f>
        <v>23127.93</v>
      </c>
      <c r="AE288" s="8">
        <f>Table1[[#This Row],[UnitCost]]*Table1[[#This Row],[Quantity]]</f>
        <v>9599.85</v>
      </c>
      <c r="AF288" s="8">
        <f>Table1[[#This Row],[GrossRevenue]]-Table1[[#This Row],[CostOfGoods]]</f>
        <v>13528.08</v>
      </c>
      <c r="AG288" s="9">
        <f>IF(Table1[[#This Row],[GrossRevenue]]=0,0,Table1[[#This Row],[GrossProfit]]/Table1[[#This Row],[GrossRevenue]])</f>
        <v>0.58492394260964986</v>
      </c>
    </row>
    <row r="289" spans="1:33" hidden="1" x14ac:dyDescent="0.45">
      <c r="A289" t="s">
        <v>302</v>
      </c>
      <c r="C289" s="3">
        <v>45319</v>
      </c>
      <c r="D289" s="3">
        <f>YEAR(Table1[[#This Row],[OrderDate]]) * 100 + MONTH(Table1[[#This Row],[OrderDate]])</f>
        <v>202401</v>
      </c>
      <c r="E289" s="3">
        <f>_xlfn.MINIFS(Table1[OrderMonthKey],Table1[Country],Table1[[#This Row],[Country]])</f>
        <v>202301</v>
      </c>
      <c r="F289" s="3">
        <f>Table1[[#This Row],[CountryFirstMonthKey]]</f>
        <v>202301</v>
      </c>
      <c r="G289" s="3">
        <f>12*(INT(Table1[[#This Row],[OrderMonthKey]]/100)-INT(Table1[[#This Row],[CohortMonthKey]]/100)) + (MOD(Table1[[#This Row],[OrderMonthKey]],100)-MOD(Table1[[#This Row],[CohortMonthKey]],100))</f>
        <v>12</v>
      </c>
      <c r="H289" s="3" t="str">
        <f>TEXT(Table1[[#This Row],[OrderDate]],"MMM-YYYY")</f>
        <v>Jan-2024</v>
      </c>
      <c r="I289" s="3" t="str">
        <f t="shared" si="12"/>
        <v>Q3-2024</v>
      </c>
      <c r="J289" s="3" t="str">
        <f>IF(Table1[[#This Row],[LeadTimeDays]]&lt;=7,"Yes","No")</f>
        <v>Yes</v>
      </c>
      <c r="K289" s="3">
        <f>_xlfn.DAYS(Table1[[#This Row],[CorrectedRequiredDate]],Table1[[#This Row],[OrderDate]])</f>
        <v>2</v>
      </c>
      <c r="L289" s="3">
        <f>IF(Table1[[#This Row],[RequiredDate]]&lt;Table1[[#This Row],[OrderDate]],Table1[[#This Row],[OrderDate]],Table1[[#This Row],[RequiredDate]])</f>
        <v>45321</v>
      </c>
      <c r="M289" s="3">
        <v>45321</v>
      </c>
      <c r="N289" t="s">
        <v>646</v>
      </c>
      <c r="O289" t="s">
        <v>661</v>
      </c>
      <c r="P289" t="s">
        <v>695</v>
      </c>
      <c r="Q289" t="s">
        <v>704</v>
      </c>
      <c r="R289" t="s">
        <v>711</v>
      </c>
      <c r="S289" t="s">
        <v>721</v>
      </c>
      <c r="T289" t="s">
        <v>733</v>
      </c>
      <c r="U289" t="s">
        <v>1021</v>
      </c>
      <c r="V289" s="8">
        <v>798.45</v>
      </c>
      <c r="W289" s="8">
        <v>1592.02</v>
      </c>
      <c r="X289" s="8">
        <f t="shared" si="13"/>
        <v>815.10700000000008</v>
      </c>
      <c r="Y289" s="8">
        <f t="shared" si="14"/>
        <v>1620.05</v>
      </c>
      <c r="AA289">
        <v>6.6000000000000003E-2</v>
      </c>
      <c r="AB289">
        <f>IF(Table1[[#This Row],[DiscountPct]]&gt;0.2,1,0)</f>
        <v>0</v>
      </c>
      <c r="AC289" s="6">
        <v>18</v>
      </c>
      <c r="AD289" s="8">
        <f>Table1[[#This Row],[UnitPrice]]*Table1[[#This Row],[Quantity]]</f>
        <v>28656.36</v>
      </c>
      <c r="AE289" s="8">
        <f>Table1[[#This Row],[UnitCost]]*Table1[[#This Row],[Quantity]]</f>
        <v>14372.1</v>
      </c>
      <c r="AF289" s="8">
        <f>Table1[[#This Row],[GrossRevenue]]-Table1[[#This Row],[CostOfGoods]]</f>
        <v>14284.26</v>
      </c>
      <c r="AG289" s="8">
        <f>IF(Table1[[#This Row],[GrossRevenue]]=0,0,Table1[[#This Row],[GrossProfit]]/Table1[[#This Row],[GrossRevenue]])</f>
        <v>0.4984673559377395</v>
      </c>
    </row>
    <row r="290" spans="1:33" hidden="1" x14ac:dyDescent="0.45">
      <c r="A290" t="s">
        <v>303</v>
      </c>
      <c r="C290" s="3">
        <v>45125</v>
      </c>
      <c r="D290" s="3">
        <f>YEAR(Table1[[#This Row],[OrderDate]]) * 100 + MONTH(Table1[[#This Row],[OrderDate]])</f>
        <v>202307</v>
      </c>
      <c r="E290" s="3">
        <f>_xlfn.MINIFS(Table1[OrderMonthKey],Table1[Country],Table1[[#This Row],[Country]])</f>
        <v>202301</v>
      </c>
      <c r="F290" s="3">
        <f>Table1[[#This Row],[CountryFirstMonthKey]]</f>
        <v>202301</v>
      </c>
      <c r="G290" s="3">
        <f>12*(INT(Table1[[#This Row],[OrderMonthKey]]/100)-INT(Table1[[#This Row],[CohortMonthKey]]/100)) + (MOD(Table1[[#This Row],[OrderMonthKey]],100)-MOD(Table1[[#This Row],[CohortMonthKey]],100))</f>
        <v>6</v>
      </c>
      <c r="H290" s="3" t="str">
        <f>TEXT(Table1[[#This Row],[OrderDate]],"MMM-YYYY")</f>
        <v>Jul-2023</v>
      </c>
      <c r="I290" s="3" t="str">
        <f t="shared" si="12"/>
        <v>Q1-2024</v>
      </c>
      <c r="J290" s="3" t="str">
        <f>IF(Table1[[#This Row],[LeadTimeDays]]&lt;=7,"Yes","No")</f>
        <v>No</v>
      </c>
      <c r="K290" s="3">
        <f>_xlfn.DAYS(Table1[[#This Row],[CorrectedRequiredDate]],Table1[[#This Row],[OrderDate]])</f>
        <v>23</v>
      </c>
      <c r="L290" s="3">
        <f>IF(Table1[[#This Row],[RequiredDate]]&lt;Table1[[#This Row],[OrderDate]],Table1[[#This Row],[OrderDate]],Table1[[#This Row],[RequiredDate]])</f>
        <v>45148</v>
      </c>
      <c r="M290" s="3">
        <v>45148</v>
      </c>
      <c r="N290" t="s">
        <v>646</v>
      </c>
      <c r="O290" t="s">
        <v>661</v>
      </c>
      <c r="P290" t="s">
        <v>682</v>
      </c>
      <c r="Q290" t="s">
        <v>705</v>
      </c>
      <c r="R290" t="s">
        <v>707</v>
      </c>
      <c r="S290" t="s">
        <v>716</v>
      </c>
      <c r="T290" t="s">
        <v>727</v>
      </c>
      <c r="U290" t="s">
        <v>1022</v>
      </c>
      <c r="V290" s="8">
        <v>1271.56</v>
      </c>
      <c r="W290" s="8">
        <v>995.47</v>
      </c>
      <c r="X290" s="8">
        <f t="shared" si="13"/>
        <v>815.10700000000008</v>
      </c>
      <c r="Y290" s="8">
        <f t="shared" si="14"/>
        <v>1620.05</v>
      </c>
      <c r="AA290">
        <v>0.192</v>
      </c>
      <c r="AB290">
        <f>IF(Table1[[#This Row],[DiscountPct]]&gt;0.2,1,0)</f>
        <v>0</v>
      </c>
      <c r="AC290" s="6">
        <v>13</v>
      </c>
      <c r="AD290" s="8">
        <f>Table1[[#This Row],[UnitPrice]]*Table1[[#This Row],[Quantity]]</f>
        <v>12941.11</v>
      </c>
      <c r="AE290" s="8">
        <f>Table1[[#This Row],[UnitCost]]*Table1[[#This Row],[Quantity]]</f>
        <v>16530.28</v>
      </c>
      <c r="AF290" s="8">
        <f>Table1[[#This Row],[GrossRevenue]]-Table1[[#This Row],[CostOfGoods]]</f>
        <v>-3589.1699999999983</v>
      </c>
      <c r="AG290" s="8">
        <f>IF(Table1[[#This Row],[GrossRevenue]]=0,0,Table1[[#This Row],[GrossProfit]]/Table1[[#This Row],[GrossRevenue]])</f>
        <v>-0.27734637909731069</v>
      </c>
    </row>
    <row r="291" spans="1:33" x14ac:dyDescent="0.45">
      <c r="A291" t="s">
        <v>304</v>
      </c>
      <c r="B291">
        <v>1</v>
      </c>
      <c r="C291" s="3">
        <v>45897</v>
      </c>
      <c r="D291" s="6">
        <f>YEAR(Table1[[#This Row],[OrderDate]]) * 100 + MONTH(Table1[[#This Row],[OrderDate]])</f>
        <v>202508</v>
      </c>
      <c r="E291" s="6">
        <f>_xlfn.MINIFS(Table1[OrderMonthKey],Table1[Country],Table1[[#This Row],[Country]])</f>
        <v>202301</v>
      </c>
      <c r="F291" s="6">
        <f>Table1[[#This Row],[CountryFirstMonthKey]]</f>
        <v>202301</v>
      </c>
      <c r="G291" s="6">
        <f>12*(INT(Table1[[#This Row],[OrderMonthKey]]/100)-INT(Table1[[#This Row],[CohortMonthKey]]/100)) + (MOD(Table1[[#This Row],[OrderMonthKey]],100)-MOD(Table1[[#This Row],[CohortMonthKey]],100))</f>
        <v>31</v>
      </c>
      <c r="H291" s="3" t="str">
        <f>TEXT(Table1[[#This Row],[OrderDate]],"MMM-YYYY")</f>
        <v>Aug-2025</v>
      </c>
      <c r="I291" s="3" t="str">
        <f t="shared" si="12"/>
        <v>Q3-2023</v>
      </c>
      <c r="J291" s="26" t="str">
        <f>IF(Table1[[#This Row],[LeadTimeDays]]&lt;=7,"Yes","No")</f>
        <v>Yes</v>
      </c>
      <c r="K291" s="6">
        <f>_xlfn.DAYS(Table1[[#This Row],[CorrectedRequiredDate]],Table1[[#This Row],[OrderDate]])</f>
        <v>0</v>
      </c>
      <c r="L291" s="3">
        <f>IF(Table1[[#This Row],[RequiredDate]]&lt;Table1[[#This Row],[OrderDate]],Table1[[#This Row],[OrderDate]],Table1[[#This Row],[RequiredDate]])</f>
        <v>45897</v>
      </c>
      <c r="M291" s="3">
        <v>45895</v>
      </c>
      <c r="N291" t="s">
        <v>646</v>
      </c>
      <c r="O291" t="s">
        <v>651</v>
      </c>
      <c r="P291" t="s">
        <v>663</v>
      </c>
      <c r="Q291" t="s">
        <v>705</v>
      </c>
      <c r="R291" t="s">
        <v>707</v>
      </c>
      <c r="S291" t="s">
        <v>720</v>
      </c>
      <c r="T291" t="s">
        <v>733</v>
      </c>
      <c r="U291" t="s">
        <v>1023</v>
      </c>
      <c r="V291" s="8">
        <v>521.05999999999995</v>
      </c>
      <c r="W291" s="8">
        <v>1240.31</v>
      </c>
      <c r="X291" s="8">
        <f t="shared" si="13"/>
        <v>815.10700000000008</v>
      </c>
      <c r="Y291" s="8">
        <f t="shared" si="14"/>
        <v>1620.05</v>
      </c>
      <c r="Z291" s="8" t="str">
        <f>IF(W290 &lt;= X289, "Low",IF(W290 &lt;= Y290, "Medium", "High"))</f>
        <v>Medium</v>
      </c>
      <c r="AA291">
        <v>0.14599999999999999</v>
      </c>
      <c r="AB291">
        <f>IF(Table1[[#This Row],[DiscountPct]]&gt;0.2,1,0)</f>
        <v>0</v>
      </c>
      <c r="AC291" s="6">
        <v>18</v>
      </c>
      <c r="AD291" s="8">
        <f>Table1[[#This Row],[UnitPrice]]*Table1[[#This Row],[Quantity]]</f>
        <v>22325.579999999998</v>
      </c>
      <c r="AE291" s="8">
        <f>Table1[[#This Row],[UnitCost]]*Table1[[#This Row],[Quantity]]</f>
        <v>9379.0799999999981</v>
      </c>
      <c r="AF291" s="8">
        <f>Table1[[#This Row],[GrossRevenue]]-Table1[[#This Row],[CostOfGoods]]</f>
        <v>12946.5</v>
      </c>
      <c r="AG291" s="9">
        <f>IF(Table1[[#This Row],[GrossRevenue]]=0,0,Table1[[#This Row],[GrossProfit]]/Table1[[#This Row],[GrossRevenue]])</f>
        <v>0.57989534874345938</v>
      </c>
    </row>
    <row r="292" spans="1:33" x14ac:dyDescent="0.45">
      <c r="A292" t="s">
        <v>305</v>
      </c>
      <c r="B292">
        <v>1</v>
      </c>
      <c r="C292" s="3">
        <v>45746</v>
      </c>
      <c r="D292" s="6">
        <f>YEAR(Table1[[#This Row],[OrderDate]]) * 100 + MONTH(Table1[[#This Row],[OrderDate]])</f>
        <v>202503</v>
      </c>
      <c r="E292" s="6">
        <f>_xlfn.MINIFS(Table1[OrderMonthKey],Table1[Country],Table1[[#This Row],[Country]])</f>
        <v>202301</v>
      </c>
      <c r="F292" s="6">
        <f>Table1[[#This Row],[CountryFirstMonthKey]]</f>
        <v>202301</v>
      </c>
      <c r="G292" s="6">
        <f>12*(INT(Table1[[#This Row],[OrderMonthKey]]/100)-INT(Table1[[#This Row],[CohortMonthKey]]/100)) + (MOD(Table1[[#This Row],[OrderMonthKey]],100)-MOD(Table1[[#This Row],[CohortMonthKey]],100))</f>
        <v>26</v>
      </c>
      <c r="H292" s="3" t="str">
        <f>TEXT(Table1[[#This Row],[OrderDate]],"MMM-YYYY")</f>
        <v>Mar-2025</v>
      </c>
      <c r="I292" s="3" t="str">
        <f t="shared" si="12"/>
        <v>Q3-2025</v>
      </c>
      <c r="J292" s="26" t="str">
        <f>IF(Table1[[#This Row],[LeadTimeDays]]&lt;=7,"Yes","No")</f>
        <v>No</v>
      </c>
      <c r="K292" s="6">
        <f>_xlfn.DAYS(Table1[[#This Row],[CorrectedRequiredDate]],Table1[[#This Row],[OrderDate]])</f>
        <v>8</v>
      </c>
      <c r="L292" s="3">
        <f>IF(Table1[[#This Row],[RequiredDate]]&lt;Table1[[#This Row],[OrderDate]],Table1[[#This Row],[OrderDate]],Table1[[#This Row],[RequiredDate]])</f>
        <v>45754</v>
      </c>
      <c r="M292" s="3">
        <v>45754</v>
      </c>
      <c r="N292" t="s">
        <v>648</v>
      </c>
      <c r="O292" t="s">
        <v>655</v>
      </c>
      <c r="P292" t="s">
        <v>670</v>
      </c>
      <c r="Q292" t="s">
        <v>703</v>
      </c>
      <c r="R292" t="s">
        <v>711</v>
      </c>
      <c r="S292" t="s">
        <v>716</v>
      </c>
      <c r="T292" t="s">
        <v>728</v>
      </c>
      <c r="U292" t="s">
        <v>1024</v>
      </c>
      <c r="V292" s="8">
        <v>71.62</v>
      </c>
      <c r="W292" s="8">
        <v>118.37</v>
      </c>
      <c r="X292" s="8">
        <f t="shared" si="13"/>
        <v>815.10700000000008</v>
      </c>
      <c r="Y292" s="8">
        <f t="shared" si="14"/>
        <v>1620.05</v>
      </c>
      <c r="Z292" s="8" t="str">
        <f>IF(W291 &lt;= X290, "Low",IF(W291 &lt;= Y291, "Medium", "High"))</f>
        <v>Medium</v>
      </c>
      <c r="AA292">
        <v>0.156</v>
      </c>
      <c r="AB292">
        <f>IF(Table1[[#This Row],[DiscountPct]]&gt;0.2,1,0)</f>
        <v>0</v>
      </c>
      <c r="AC292" s="6">
        <v>11</v>
      </c>
      <c r="AD292" s="8">
        <f>Table1[[#This Row],[UnitPrice]]*Table1[[#This Row],[Quantity]]</f>
        <v>1302.0700000000002</v>
      </c>
      <c r="AE292" s="8">
        <f>Table1[[#This Row],[UnitCost]]*Table1[[#This Row],[Quantity]]</f>
        <v>787.82</v>
      </c>
      <c r="AF292" s="8">
        <f>Table1[[#This Row],[GrossRevenue]]-Table1[[#This Row],[CostOfGoods]]</f>
        <v>514.25000000000011</v>
      </c>
      <c r="AG292" s="9">
        <f>IF(Table1[[#This Row],[GrossRevenue]]=0,0,Table1[[#This Row],[GrossProfit]]/Table1[[#This Row],[GrossRevenue]])</f>
        <v>0.39494804426797336</v>
      </c>
    </row>
    <row r="293" spans="1:33" x14ac:dyDescent="0.45">
      <c r="A293" t="s">
        <v>306</v>
      </c>
      <c r="B293">
        <v>1</v>
      </c>
      <c r="C293" s="3">
        <v>45220</v>
      </c>
      <c r="D293" s="6">
        <f>YEAR(Table1[[#This Row],[OrderDate]]) * 100 + MONTH(Table1[[#This Row],[OrderDate]])</f>
        <v>202310</v>
      </c>
      <c r="E293" s="6">
        <f>_xlfn.MINIFS(Table1[OrderMonthKey],Table1[Country],Table1[[#This Row],[Country]])</f>
        <v>202301</v>
      </c>
      <c r="F293" s="6">
        <f>Table1[[#This Row],[CountryFirstMonthKey]]</f>
        <v>202301</v>
      </c>
      <c r="G293" s="6">
        <f>12*(INT(Table1[[#This Row],[OrderMonthKey]]/100)-INT(Table1[[#This Row],[CohortMonthKey]]/100)) + (MOD(Table1[[#This Row],[OrderMonthKey]],100)-MOD(Table1[[#This Row],[CohortMonthKey]],100))</f>
        <v>9</v>
      </c>
      <c r="H293" s="3" t="str">
        <f>TEXT(Table1[[#This Row],[OrderDate]],"MMM-YYYY")</f>
        <v>Oct-2023</v>
      </c>
      <c r="I293" s="3" t="str">
        <f t="shared" si="12"/>
        <v>Q1-2025</v>
      </c>
      <c r="J293" s="26" t="str">
        <f>IF(Table1[[#This Row],[LeadTimeDays]]&lt;=7,"Yes","No")</f>
        <v>No</v>
      </c>
      <c r="K293" s="6">
        <f>_xlfn.DAYS(Table1[[#This Row],[CorrectedRequiredDate]],Table1[[#This Row],[OrderDate]])</f>
        <v>19</v>
      </c>
      <c r="L293" s="3">
        <f>IF(Table1[[#This Row],[RequiredDate]]&lt;Table1[[#This Row],[OrderDate]],Table1[[#This Row],[OrderDate]],Table1[[#This Row],[RequiredDate]])</f>
        <v>45239</v>
      </c>
      <c r="M293" s="3">
        <v>45239</v>
      </c>
      <c r="N293" t="s">
        <v>649</v>
      </c>
      <c r="O293" t="s">
        <v>658</v>
      </c>
      <c r="P293" t="s">
        <v>683</v>
      </c>
      <c r="Q293" t="s">
        <v>703</v>
      </c>
      <c r="R293" t="s">
        <v>711</v>
      </c>
      <c r="S293" t="s">
        <v>720</v>
      </c>
      <c r="T293" t="s">
        <v>733</v>
      </c>
      <c r="U293" t="s">
        <v>1025</v>
      </c>
      <c r="V293" s="8">
        <v>1142.48</v>
      </c>
      <c r="W293" s="8">
        <v>2105.5300000000002</v>
      </c>
      <c r="X293" s="8">
        <f t="shared" si="13"/>
        <v>815.10700000000008</v>
      </c>
      <c r="Y293" s="8">
        <f t="shared" si="14"/>
        <v>1620.05</v>
      </c>
      <c r="Z293" s="8" t="str">
        <f>IF(W292 &lt;= X291, "Low",IF(W292 &lt;= Y292, "Medium", "High"))</f>
        <v>Low</v>
      </c>
      <c r="AA293">
        <v>0.20699999999999999</v>
      </c>
      <c r="AB293">
        <f>IF(Table1[[#This Row],[DiscountPct]]&gt;0.2,1,0)</f>
        <v>1</v>
      </c>
      <c r="AC293" s="6">
        <v>14</v>
      </c>
      <c r="AD293" s="8">
        <f>Table1[[#This Row],[UnitPrice]]*Table1[[#This Row],[Quantity]]</f>
        <v>29477.420000000002</v>
      </c>
      <c r="AE293" s="8">
        <f>Table1[[#This Row],[UnitCost]]*Table1[[#This Row],[Quantity]]</f>
        <v>15994.720000000001</v>
      </c>
      <c r="AF293" s="8">
        <f>Table1[[#This Row],[GrossRevenue]]-Table1[[#This Row],[CostOfGoods]]</f>
        <v>13482.7</v>
      </c>
      <c r="AG293" s="9">
        <f>IF(Table1[[#This Row],[GrossRevenue]]=0,0,Table1[[#This Row],[GrossProfit]]/Table1[[#This Row],[GrossRevenue]])</f>
        <v>0.45739077571917758</v>
      </c>
    </row>
    <row r="294" spans="1:33" x14ac:dyDescent="0.45">
      <c r="A294" t="s">
        <v>307</v>
      </c>
      <c r="B294">
        <v>1</v>
      </c>
      <c r="C294" s="3">
        <v>45161</v>
      </c>
      <c r="D294" s="6">
        <f>YEAR(Table1[[#This Row],[OrderDate]]) * 100 + MONTH(Table1[[#This Row],[OrderDate]])</f>
        <v>202308</v>
      </c>
      <c r="E294" s="6">
        <f>_xlfn.MINIFS(Table1[OrderMonthKey],Table1[Country],Table1[[#This Row],[Country]])</f>
        <v>202301</v>
      </c>
      <c r="F294" s="6">
        <f>Table1[[#This Row],[CountryFirstMonthKey]]</f>
        <v>202301</v>
      </c>
      <c r="G294" s="6">
        <f>12*(INT(Table1[[#This Row],[OrderMonthKey]]/100)-INT(Table1[[#This Row],[CohortMonthKey]]/100)) + (MOD(Table1[[#This Row],[OrderMonthKey]],100)-MOD(Table1[[#This Row],[CohortMonthKey]],100))</f>
        <v>7</v>
      </c>
      <c r="H294" s="3" t="str">
        <f>TEXT(Table1[[#This Row],[OrderDate]],"MMM-YYYY")</f>
        <v>Aug-2023</v>
      </c>
      <c r="I294" s="3" t="str">
        <f t="shared" si="12"/>
        <v>Q4-2023</v>
      </c>
      <c r="J294" s="26" t="str">
        <f>IF(Table1[[#This Row],[LeadTimeDays]]&lt;=7,"Yes","No")</f>
        <v>No</v>
      </c>
      <c r="K294" s="6">
        <f>_xlfn.DAYS(Table1[[#This Row],[CorrectedRequiredDate]],Table1[[#This Row],[OrderDate]])</f>
        <v>30</v>
      </c>
      <c r="L294" s="3">
        <f>IF(Table1[[#This Row],[RequiredDate]]&lt;Table1[[#This Row],[OrderDate]],Table1[[#This Row],[OrderDate]],Table1[[#This Row],[RequiredDate]])</f>
        <v>45191</v>
      </c>
      <c r="M294" s="3">
        <v>45191</v>
      </c>
      <c r="N294" t="s">
        <v>649</v>
      </c>
      <c r="O294" t="s">
        <v>658</v>
      </c>
      <c r="P294" t="s">
        <v>683</v>
      </c>
      <c r="Q294" t="s">
        <v>704</v>
      </c>
      <c r="R294" t="s">
        <v>710</v>
      </c>
      <c r="S294" t="s">
        <v>719</v>
      </c>
      <c r="T294" t="s">
        <v>733</v>
      </c>
      <c r="U294" t="s">
        <v>1026</v>
      </c>
      <c r="V294" s="8">
        <v>209.81</v>
      </c>
      <c r="W294" s="8">
        <v>523</v>
      </c>
      <c r="X294" s="8">
        <f t="shared" si="13"/>
        <v>815.10700000000008</v>
      </c>
      <c r="Y294" s="8">
        <f t="shared" si="14"/>
        <v>1620.05</v>
      </c>
      <c r="Z294" s="8" t="str">
        <f>IF(W293 &lt;= X292, "Low",IF(W293 &lt;= Y293, "Medium", "High"))</f>
        <v>High</v>
      </c>
      <c r="AA294">
        <v>5.8999999999999997E-2</v>
      </c>
      <c r="AB294">
        <f>IF(Table1[[#This Row],[DiscountPct]]&gt;0.2,1,0)</f>
        <v>0</v>
      </c>
      <c r="AC294" s="6">
        <v>15</v>
      </c>
      <c r="AD294" s="8">
        <f>Table1[[#This Row],[UnitPrice]]*Table1[[#This Row],[Quantity]]</f>
        <v>7845</v>
      </c>
      <c r="AE294" s="8">
        <f>Table1[[#This Row],[UnitCost]]*Table1[[#This Row],[Quantity]]</f>
        <v>3147.15</v>
      </c>
      <c r="AF294" s="8">
        <f>Table1[[#This Row],[GrossRevenue]]-Table1[[#This Row],[CostOfGoods]]</f>
        <v>4697.8500000000004</v>
      </c>
      <c r="AG294" s="9">
        <f>IF(Table1[[#This Row],[GrossRevenue]]=0,0,Table1[[#This Row],[GrossProfit]]/Table1[[#This Row],[GrossRevenue]])</f>
        <v>0.59883365200764826</v>
      </c>
    </row>
    <row r="295" spans="1:33" hidden="1" x14ac:dyDescent="0.45">
      <c r="A295" t="s">
        <v>308</v>
      </c>
      <c r="C295" s="3">
        <v>45758</v>
      </c>
      <c r="D295" s="3">
        <f>YEAR(Table1[[#This Row],[OrderDate]]) * 100 + MONTH(Table1[[#This Row],[OrderDate]])</f>
        <v>202504</v>
      </c>
      <c r="E295" s="3">
        <f>_xlfn.MINIFS(Table1[OrderMonthKey],Table1[Country],Table1[[#This Row],[Country]])</f>
        <v>202303</v>
      </c>
      <c r="F295" s="3">
        <f>Table1[[#This Row],[CountryFirstMonthKey]]</f>
        <v>202303</v>
      </c>
      <c r="G295" s="3">
        <f>12*(INT(Table1[[#This Row],[OrderMonthKey]]/100)-INT(Table1[[#This Row],[CohortMonthKey]]/100)) + (MOD(Table1[[#This Row],[OrderMonthKey]],100)-MOD(Table1[[#This Row],[CohortMonthKey]],100))</f>
        <v>25</v>
      </c>
      <c r="H295" s="3" t="str">
        <f>TEXT(Table1[[#This Row],[OrderDate]],"MMM-YYYY")</f>
        <v>Apr-2025</v>
      </c>
      <c r="I295" s="3" t="str">
        <f t="shared" si="12"/>
        <v>Q3-2023</v>
      </c>
      <c r="J295" s="3" t="str">
        <f>IF(Table1[[#This Row],[LeadTimeDays]]&lt;=7,"Yes","No")</f>
        <v>No</v>
      </c>
      <c r="K295" s="3">
        <f>_xlfn.DAYS(Table1[[#This Row],[CorrectedRequiredDate]],Table1[[#This Row],[OrderDate]])</f>
        <v>23</v>
      </c>
      <c r="L295" s="3">
        <f>IF(Table1[[#This Row],[RequiredDate]]&lt;Table1[[#This Row],[OrderDate]],Table1[[#This Row],[OrderDate]],Table1[[#This Row],[RequiredDate]])</f>
        <v>45781</v>
      </c>
      <c r="M295" s="3">
        <v>45781</v>
      </c>
      <c r="N295" t="s">
        <v>647</v>
      </c>
      <c r="O295" t="s">
        <v>652</v>
      </c>
      <c r="P295" t="s">
        <v>666</v>
      </c>
      <c r="Q295" t="s">
        <v>705</v>
      </c>
      <c r="R295" t="s">
        <v>708</v>
      </c>
      <c r="S295" t="s">
        <v>724</v>
      </c>
      <c r="T295" t="s">
        <v>727</v>
      </c>
      <c r="U295" t="s">
        <v>1027</v>
      </c>
      <c r="V295" s="8">
        <v>786.2</v>
      </c>
      <c r="W295" s="8">
        <v>1075.3</v>
      </c>
      <c r="X295" s="8">
        <f t="shared" si="13"/>
        <v>815.10700000000008</v>
      </c>
      <c r="Y295" s="8">
        <f t="shared" si="14"/>
        <v>1620.05</v>
      </c>
      <c r="AA295">
        <v>0.08</v>
      </c>
      <c r="AB295">
        <f>IF(Table1[[#This Row],[DiscountPct]]&gt;0.2,1,0)</f>
        <v>0</v>
      </c>
      <c r="AC295" s="6">
        <v>9</v>
      </c>
      <c r="AD295" s="8">
        <f>Table1[[#This Row],[UnitPrice]]*Table1[[#This Row],[Quantity]]</f>
        <v>9677.6999999999989</v>
      </c>
      <c r="AE295" s="8">
        <f>Table1[[#This Row],[UnitCost]]*Table1[[#This Row],[Quantity]]</f>
        <v>7075.8</v>
      </c>
      <c r="AF295" s="8">
        <f>Table1[[#This Row],[GrossRevenue]]-Table1[[#This Row],[CostOfGoods]]</f>
        <v>2601.8999999999987</v>
      </c>
      <c r="AG295" s="8">
        <f>IF(Table1[[#This Row],[GrossRevenue]]=0,0,Table1[[#This Row],[GrossProfit]]/Table1[[#This Row],[GrossRevenue]])</f>
        <v>0.26885520319910711</v>
      </c>
    </row>
    <row r="296" spans="1:33" hidden="1" x14ac:dyDescent="0.45">
      <c r="A296" t="s">
        <v>309</v>
      </c>
      <c r="C296" s="3">
        <v>45809</v>
      </c>
      <c r="D296" s="3">
        <f>YEAR(Table1[[#This Row],[OrderDate]]) * 100 + MONTH(Table1[[#This Row],[OrderDate]])</f>
        <v>202506</v>
      </c>
      <c r="E296" s="3">
        <f>_xlfn.MINIFS(Table1[OrderMonthKey],Table1[Country],Table1[[#This Row],[Country]])</f>
        <v>202301</v>
      </c>
      <c r="F296" s="3">
        <f>Table1[[#This Row],[CountryFirstMonthKey]]</f>
        <v>202301</v>
      </c>
      <c r="G296" s="3">
        <f>12*(INT(Table1[[#This Row],[OrderMonthKey]]/100)-INT(Table1[[#This Row],[CohortMonthKey]]/100)) + (MOD(Table1[[#This Row],[OrderMonthKey]],100)-MOD(Table1[[#This Row],[CohortMonthKey]],100))</f>
        <v>29</v>
      </c>
      <c r="H296" s="3" t="str">
        <f>TEXT(Table1[[#This Row],[OrderDate]],"MMM-YYYY")</f>
        <v>Jun-2025</v>
      </c>
      <c r="I296" s="3" t="str">
        <f t="shared" si="12"/>
        <v>Q2-2025</v>
      </c>
      <c r="J296" s="3" t="str">
        <f>IF(Table1[[#This Row],[LeadTimeDays]]&lt;=7,"Yes","No")</f>
        <v>No</v>
      </c>
      <c r="K296" s="3">
        <f>_xlfn.DAYS(Table1[[#This Row],[CorrectedRequiredDate]],Table1[[#This Row],[OrderDate]])</f>
        <v>26</v>
      </c>
      <c r="L296" s="3">
        <f>IF(Table1[[#This Row],[RequiredDate]]&lt;Table1[[#This Row],[OrderDate]],Table1[[#This Row],[OrderDate]],Table1[[#This Row],[RequiredDate]])</f>
        <v>45835</v>
      </c>
      <c r="M296" s="3">
        <v>45835</v>
      </c>
      <c r="N296" t="s">
        <v>649</v>
      </c>
      <c r="O296" t="s">
        <v>656</v>
      </c>
      <c r="P296" t="s">
        <v>684</v>
      </c>
      <c r="Q296" t="s">
        <v>704</v>
      </c>
      <c r="R296" t="s">
        <v>710</v>
      </c>
      <c r="S296" t="s">
        <v>718</v>
      </c>
      <c r="T296" t="s">
        <v>731</v>
      </c>
      <c r="U296" t="s">
        <v>1028</v>
      </c>
      <c r="V296" s="8">
        <v>1362.31</v>
      </c>
      <c r="W296" s="8">
        <v>3294.57</v>
      </c>
      <c r="X296" s="8">
        <f t="shared" si="13"/>
        <v>815.10700000000008</v>
      </c>
      <c r="Y296" s="8">
        <f t="shared" si="14"/>
        <v>1620.05</v>
      </c>
      <c r="AA296">
        <v>0.113</v>
      </c>
      <c r="AB296">
        <f>IF(Table1[[#This Row],[DiscountPct]]&gt;0.2,1,0)</f>
        <v>0</v>
      </c>
      <c r="AC296" s="6">
        <v>7</v>
      </c>
      <c r="AD296" s="8">
        <f>Table1[[#This Row],[UnitPrice]]*Table1[[#This Row],[Quantity]]</f>
        <v>23061.99</v>
      </c>
      <c r="AE296" s="8">
        <f>Table1[[#This Row],[UnitCost]]*Table1[[#This Row],[Quantity]]</f>
        <v>9536.17</v>
      </c>
      <c r="AF296" s="8">
        <f>Table1[[#This Row],[GrossRevenue]]-Table1[[#This Row],[CostOfGoods]]</f>
        <v>13525.820000000002</v>
      </c>
      <c r="AG296" s="8">
        <f>IF(Table1[[#This Row],[GrossRevenue]]=0,0,Table1[[#This Row],[GrossProfit]]/Table1[[#This Row],[GrossRevenue]])</f>
        <v>0.58649838977468993</v>
      </c>
    </row>
    <row r="297" spans="1:33" x14ac:dyDescent="0.45">
      <c r="A297" t="s">
        <v>310</v>
      </c>
      <c r="B297">
        <v>1</v>
      </c>
      <c r="C297" s="3">
        <v>45353</v>
      </c>
      <c r="D297" s="6">
        <f>YEAR(Table1[[#This Row],[OrderDate]]) * 100 + MONTH(Table1[[#This Row],[OrderDate]])</f>
        <v>202403</v>
      </c>
      <c r="E297" s="6">
        <f>_xlfn.MINIFS(Table1[OrderMonthKey],Table1[Country],Table1[[#This Row],[Country]])</f>
        <v>202301</v>
      </c>
      <c r="F297" s="6">
        <f>Table1[[#This Row],[CountryFirstMonthKey]]</f>
        <v>202301</v>
      </c>
      <c r="G297" s="6">
        <f>12*(INT(Table1[[#This Row],[OrderMonthKey]]/100)-INT(Table1[[#This Row],[CohortMonthKey]]/100)) + (MOD(Table1[[#This Row],[OrderMonthKey]],100)-MOD(Table1[[#This Row],[CohortMonthKey]],100))</f>
        <v>14</v>
      </c>
      <c r="H297" s="3" t="str">
        <f>TEXT(Table1[[#This Row],[OrderDate]],"MMM-YYYY")</f>
        <v>Mar-2024</v>
      </c>
      <c r="I297" s="3" t="str">
        <f t="shared" si="12"/>
        <v>Q2-2025</v>
      </c>
      <c r="J297" s="26" t="str">
        <f>IF(Table1[[#This Row],[LeadTimeDays]]&lt;=7,"Yes","No")</f>
        <v>No</v>
      </c>
      <c r="K297" s="6">
        <f>_xlfn.DAYS(Table1[[#This Row],[CorrectedRequiredDate]],Table1[[#This Row],[OrderDate]])</f>
        <v>14</v>
      </c>
      <c r="L297" s="3">
        <f>IF(Table1[[#This Row],[RequiredDate]]&lt;Table1[[#This Row],[OrderDate]],Table1[[#This Row],[OrderDate]],Table1[[#This Row],[RequiredDate]])</f>
        <v>45367</v>
      </c>
      <c r="M297" s="3">
        <v>45367</v>
      </c>
      <c r="N297" t="s">
        <v>648</v>
      </c>
      <c r="O297" t="s">
        <v>653</v>
      </c>
      <c r="P297" t="s">
        <v>688</v>
      </c>
      <c r="Q297" t="s">
        <v>703</v>
      </c>
      <c r="R297" t="s">
        <v>711</v>
      </c>
      <c r="S297" t="s">
        <v>719</v>
      </c>
      <c r="T297" t="s">
        <v>728</v>
      </c>
      <c r="U297" t="s">
        <v>1029</v>
      </c>
      <c r="V297" s="8">
        <v>248.24</v>
      </c>
      <c r="W297" s="8">
        <v>464.05</v>
      </c>
      <c r="X297" s="8">
        <f t="shared" si="13"/>
        <v>815.10700000000008</v>
      </c>
      <c r="Y297" s="8">
        <f t="shared" si="14"/>
        <v>1620.05</v>
      </c>
      <c r="Z297" s="8" t="str">
        <f>IF(W296 &lt;= X295, "Low",IF(W296 &lt;= Y296, "Medium", "High"))</f>
        <v>High</v>
      </c>
      <c r="AA297">
        <v>0.16900000000000001</v>
      </c>
      <c r="AB297">
        <f>IF(Table1[[#This Row],[DiscountPct]]&gt;0.2,1,0)</f>
        <v>0</v>
      </c>
      <c r="AC297" s="6">
        <v>11</v>
      </c>
      <c r="AD297" s="8">
        <f>Table1[[#This Row],[UnitPrice]]*Table1[[#This Row],[Quantity]]</f>
        <v>5104.55</v>
      </c>
      <c r="AE297" s="8">
        <f>Table1[[#This Row],[UnitCost]]*Table1[[#This Row],[Quantity]]</f>
        <v>2730.6400000000003</v>
      </c>
      <c r="AF297" s="8">
        <f>Table1[[#This Row],[GrossRevenue]]-Table1[[#This Row],[CostOfGoods]]</f>
        <v>2373.91</v>
      </c>
      <c r="AG297" s="9">
        <f>IF(Table1[[#This Row],[GrossRevenue]]=0,0,Table1[[#This Row],[GrossProfit]]/Table1[[#This Row],[GrossRevenue]])</f>
        <v>0.46505764465036092</v>
      </c>
    </row>
    <row r="298" spans="1:33" hidden="1" x14ac:dyDescent="0.45">
      <c r="A298" t="s">
        <v>311</v>
      </c>
      <c r="C298" s="3">
        <v>45097</v>
      </c>
      <c r="D298" s="3">
        <f>YEAR(Table1[[#This Row],[OrderDate]]) * 100 + MONTH(Table1[[#This Row],[OrderDate]])</f>
        <v>202306</v>
      </c>
      <c r="E298" s="3">
        <f>_xlfn.MINIFS(Table1[OrderMonthKey],Table1[Country],Table1[[#This Row],[Country]])</f>
        <v>202301</v>
      </c>
      <c r="F298" s="3">
        <f>Table1[[#This Row],[CountryFirstMonthKey]]</f>
        <v>202301</v>
      </c>
      <c r="G298" s="3">
        <f>12*(INT(Table1[[#This Row],[OrderMonthKey]]/100)-INT(Table1[[#This Row],[CohortMonthKey]]/100)) + (MOD(Table1[[#This Row],[OrderMonthKey]],100)-MOD(Table1[[#This Row],[CohortMonthKey]],100))</f>
        <v>5</v>
      </c>
      <c r="H298" s="3" t="str">
        <f>TEXT(Table1[[#This Row],[OrderDate]],"MMM-YYYY")</f>
        <v>Jun-2023</v>
      </c>
      <c r="I298" s="3" t="str">
        <f t="shared" si="12"/>
        <v>Q1-2024</v>
      </c>
      <c r="J298" s="3" t="str">
        <f>IF(Table1[[#This Row],[LeadTimeDays]]&lt;=7,"Yes","No")</f>
        <v>No</v>
      </c>
      <c r="K298" s="3">
        <f>_xlfn.DAYS(Table1[[#This Row],[CorrectedRequiredDate]],Table1[[#This Row],[OrderDate]])</f>
        <v>18</v>
      </c>
      <c r="L298" s="3">
        <f>IF(Table1[[#This Row],[RequiredDate]]&lt;Table1[[#This Row],[OrderDate]],Table1[[#This Row],[OrderDate]],Table1[[#This Row],[RequiredDate]])</f>
        <v>45115</v>
      </c>
      <c r="M298" s="3">
        <v>45115</v>
      </c>
      <c r="N298" t="s">
        <v>648</v>
      </c>
      <c r="O298" t="s">
        <v>660</v>
      </c>
      <c r="P298" t="s">
        <v>697</v>
      </c>
      <c r="Q298" t="s">
        <v>703</v>
      </c>
      <c r="R298" t="s">
        <v>711</v>
      </c>
      <c r="S298" t="s">
        <v>721</v>
      </c>
      <c r="T298" t="s">
        <v>732</v>
      </c>
      <c r="U298" t="s">
        <v>1030</v>
      </c>
      <c r="V298" s="8">
        <v>337</v>
      </c>
      <c r="W298" s="8">
        <v>511.03</v>
      </c>
      <c r="X298" s="8">
        <f t="shared" si="13"/>
        <v>815.10700000000008</v>
      </c>
      <c r="Y298" s="8">
        <f t="shared" si="14"/>
        <v>1620.05</v>
      </c>
      <c r="AA298">
        <v>0.108</v>
      </c>
      <c r="AB298">
        <f>IF(Table1[[#This Row],[DiscountPct]]&gt;0.2,1,0)</f>
        <v>0</v>
      </c>
      <c r="AC298" s="6">
        <v>7</v>
      </c>
      <c r="AD298" s="8">
        <f>Table1[[#This Row],[UnitPrice]]*Table1[[#This Row],[Quantity]]</f>
        <v>3577.21</v>
      </c>
      <c r="AE298" s="8">
        <f>Table1[[#This Row],[UnitCost]]*Table1[[#This Row],[Quantity]]</f>
        <v>2359</v>
      </c>
      <c r="AF298" s="8">
        <f>Table1[[#This Row],[GrossRevenue]]-Table1[[#This Row],[CostOfGoods]]</f>
        <v>1218.21</v>
      </c>
      <c r="AG298" s="8">
        <f>IF(Table1[[#This Row],[GrossRevenue]]=0,0,Table1[[#This Row],[GrossProfit]]/Table1[[#This Row],[GrossRevenue]])</f>
        <v>0.34054752167191749</v>
      </c>
    </row>
    <row r="299" spans="1:33" hidden="1" x14ac:dyDescent="0.45">
      <c r="A299" t="s">
        <v>312</v>
      </c>
      <c r="C299" s="3">
        <v>45377</v>
      </c>
      <c r="D299" s="3">
        <f>YEAR(Table1[[#This Row],[OrderDate]]) * 100 + MONTH(Table1[[#This Row],[OrderDate]])</f>
        <v>202403</v>
      </c>
      <c r="E299" s="3">
        <f>_xlfn.MINIFS(Table1[OrderMonthKey],Table1[Country],Table1[[#This Row],[Country]])</f>
        <v>202301</v>
      </c>
      <c r="F299" s="3">
        <f>Table1[[#This Row],[CountryFirstMonthKey]]</f>
        <v>202301</v>
      </c>
      <c r="G299" s="3">
        <f>12*(INT(Table1[[#This Row],[OrderMonthKey]]/100)-INT(Table1[[#This Row],[CohortMonthKey]]/100)) + (MOD(Table1[[#This Row],[OrderMonthKey]],100)-MOD(Table1[[#This Row],[CohortMonthKey]],100))</f>
        <v>14</v>
      </c>
      <c r="H299" s="3" t="str">
        <f>TEXT(Table1[[#This Row],[OrderDate]],"MMM-YYYY")</f>
        <v>Mar-2024</v>
      </c>
      <c r="I299" s="3" t="str">
        <f t="shared" si="12"/>
        <v>Q2-2023</v>
      </c>
      <c r="J299" s="3" t="str">
        <f>IF(Table1[[#This Row],[LeadTimeDays]]&lt;=7,"Yes","No")</f>
        <v>No</v>
      </c>
      <c r="K299" s="3">
        <f>_xlfn.DAYS(Table1[[#This Row],[CorrectedRequiredDate]],Table1[[#This Row],[OrderDate]])</f>
        <v>10</v>
      </c>
      <c r="L299" s="3">
        <f>IF(Table1[[#This Row],[RequiredDate]]&lt;Table1[[#This Row],[OrderDate]],Table1[[#This Row],[OrderDate]],Table1[[#This Row],[RequiredDate]])</f>
        <v>45387</v>
      </c>
      <c r="M299" s="3">
        <v>45387</v>
      </c>
      <c r="N299" t="s">
        <v>648</v>
      </c>
      <c r="O299" t="s">
        <v>660</v>
      </c>
      <c r="P299" t="s">
        <v>697</v>
      </c>
      <c r="Q299" t="s">
        <v>704</v>
      </c>
      <c r="R299" t="s">
        <v>711</v>
      </c>
      <c r="S299" t="s">
        <v>713</v>
      </c>
      <c r="T299" t="s">
        <v>732</v>
      </c>
      <c r="U299" t="s">
        <v>1031</v>
      </c>
      <c r="V299" s="8">
        <v>5.66</v>
      </c>
      <c r="W299" s="8">
        <v>4.22</v>
      </c>
      <c r="X299" s="8">
        <f t="shared" si="13"/>
        <v>815.10700000000008</v>
      </c>
      <c r="Y299" s="8">
        <f t="shared" si="14"/>
        <v>1620.05</v>
      </c>
      <c r="AA299">
        <v>0.11899999999999999</v>
      </c>
      <c r="AB299">
        <f>IF(Table1[[#This Row],[DiscountPct]]&gt;0.2,1,0)</f>
        <v>0</v>
      </c>
      <c r="AC299" s="6">
        <v>18</v>
      </c>
      <c r="AD299" s="8">
        <f>Table1[[#This Row],[UnitPrice]]*Table1[[#This Row],[Quantity]]</f>
        <v>75.959999999999994</v>
      </c>
      <c r="AE299" s="8">
        <f>Table1[[#This Row],[UnitCost]]*Table1[[#This Row],[Quantity]]</f>
        <v>101.88</v>
      </c>
      <c r="AF299" s="8">
        <f>Table1[[#This Row],[GrossRevenue]]-Table1[[#This Row],[CostOfGoods]]</f>
        <v>-25.92</v>
      </c>
      <c r="AG299" s="8">
        <f>IF(Table1[[#This Row],[GrossRevenue]]=0,0,Table1[[#This Row],[GrossProfit]]/Table1[[#This Row],[GrossRevenue]])</f>
        <v>-0.34123222748815168</v>
      </c>
    </row>
    <row r="300" spans="1:33" hidden="1" x14ac:dyDescent="0.45">
      <c r="A300" t="s">
        <v>313</v>
      </c>
      <c r="C300" s="3">
        <v>45679</v>
      </c>
      <c r="D300" s="3">
        <f>YEAR(Table1[[#This Row],[OrderDate]]) * 100 + MONTH(Table1[[#This Row],[OrderDate]])</f>
        <v>202501</v>
      </c>
      <c r="E300" s="3">
        <f>_xlfn.MINIFS(Table1[OrderMonthKey],Table1[Country],Table1[[#This Row],[Country]])</f>
        <v>202301</v>
      </c>
      <c r="F300" s="3">
        <f>Table1[[#This Row],[CountryFirstMonthKey]]</f>
        <v>202301</v>
      </c>
      <c r="G300" s="3">
        <f>12*(INT(Table1[[#This Row],[OrderMonthKey]]/100)-INT(Table1[[#This Row],[CohortMonthKey]]/100)) + (MOD(Table1[[#This Row],[OrderMonthKey]],100)-MOD(Table1[[#This Row],[CohortMonthKey]],100))</f>
        <v>24</v>
      </c>
      <c r="H300" s="3" t="str">
        <f>TEXT(Table1[[#This Row],[OrderDate]],"MMM-YYYY")</f>
        <v>Jan-2025</v>
      </c>
      <c r="I300" s="3" t="str">
        <f t="shared" si="12"/>
        <v>Q1-2024</v>
      </c>
      <c r="J300" s="3" t="str">
        <f>IF(Table1[[#This Row],[LeadTimeDays]]&lt;=7,"Yes","No")</f>
        <v>Yes</v>
      </c>
      <c r="K300" s="3">
        <f>_xlfn.DAYS(Table1[[#This Row],[CorrectedRequiredDate]],Table1[[#This Row],[OrderDate]])</f>
        <v>0</v>
      </c>
      <c r="L300" s="3">
        <f>IF(Table1[[#This Row],[RequiredDate]]&lt;Table1[[#This Row],[OrderDate]],Table1[[#This Row],[OrderDate]],Table1[[#This Row],[RequiredDate]])</f>
        <v>45679</v>
      </c>
      <c r="M300" s="3">
        <v>45679</v>
      </c>
      <c r="N300" t="s">
        <v>649</v>
      </c>
      <c r="O300" t="s">
        <v>657</v>
      </c>
      <c r="P300" t="s">
        <v>679</v>
      </c>
      <c r="Q300" t="s">
        <v>705</v>
      </c>
      <c r="R300" t="s">
        <v>708</v>
      </c>
      <c r="S300" t="s">
        <v>717</v>
      </c>
      <c r="T300" t="s">
        <v>733</v>
      </c>
      <c r="U300" t="s">
        <v>1032</v>
      </c>
      <c r="V300" s="8">
        <v>591.72</v>
      </c>
      <c r="W300" s="8">
        <v>577.24</v>
      </c>
      <c r="X300" s="8">
        <f t="shared" si="13"/>
        <v>815.10700000000008</v>
      </c>
      <c r="Y300" s="8">
        <f t="shared" si="14"/>
        <v>1620.05</v>
      </c>
      <c r="AA300">
        <v>0</v>
      </c>
      <c r="AB300">
        <f>IF(Table1[[#This Row],[DiscountPct]]&gt;0.2,1,0)</f>
        <v>0</v>
      </c>
      <c r="AC300" s="6">
        <v>22</v>
      </c>
      <c r="AD300" s="8">
        <f>Table1[[#This Row],[UnitPrice]]*Table1[[#This Row],[Quantity]]</f>
        <v>12699.28</v>
      </c>
      <c r="AE300" s="8">
        <f>Table1[[#This Row],[UnitCost]]*Table1[[#This Row],[Quantity]]</f>
        <v>13017.84</v>
      </c>
      <c r="AF300" s="8">
        <f>Table1[[#This Row],[GrossRevenue]]-Table1[[#This Row],[CostOfGoods]]</f>
        <v>-318.55999999999949</v>
      </c>
      <c r="AG300" s="8">
        <f>IF(Table1[[#This Row],[GrossRevenue]]=0,0,Table1[[#This Row],[GrossProfit]]/Table1[[#This Row],[GrossRevenue]])</f>
        <v>-2.5084886702238195E-2</v>
      </c>
    </row>
    <row r="301" spans="1:33" x14ac:dyDescent="0.45">
      <c r="A301" t="s">
        <v>314</v>
      </c>
      <c r="B301">
        <v>1</v>
      </c>
      <c r="C301" s="3">
        <v>45787</v>
      </c>
      <c r="D301" s="6">
        <f>YEAR(Table1[[#This Row],[OrderDate]]) * 100 + MONTH(Table1[[#This Row],[OrderDate]])</f>
        <v>202505</v>
      </c>
      <c r="E301" s="6">
        <f>_xlfn.MINIFS(Table1[OrderMonthKey],Table1[Country],Table1[[#This Row],[Country]])</f>
        <v>202301</v>
      </c>
      <c r="F301" s="6">
        <f>Table1[[#This Row],[CountryFirstMonthKey]]</f>
        <v>202301</v>
      </c>
      <c r="G301" s="6">
        <f>12*(INT(Table1[[#This Row],[OrderMonthKey]]/100)-INT(Table1[[#This Row],[CohortMonthKey]]/100)) + (MOD(Table1[[#This Row],[OrderMonthKey]],100)-MOD(Table1[[#This Row],[CohortMonthKey]],100))</f>
        <v>28</v>
      </c>
      <c r="H301" s="3" t="str">
        <f>TEXT(Table1[[#This Row],[OrderDate]],"MMM-YYYY")</f>
        <v>May-2025</v>
      </c>
      <c r="I301" s="3" t="str">
        <f t="shared" si="12"/>
        <v>Q1-2025</v>
      </c>
      <c r="J301" s="26" t="str">
        <f>IF(Table1[[#This Row],[LeadTimeDays]]&lt;=7,"Yes","No")</f>
        <v>No</v>
      </c>
      <c r="K301" s="6">
        <f>_xlfn.DAYS(Table1[[#This Row],[CorrectedRequiredDate]],Table1[[#This Row],[OrderDate]])</f>
        <v>17</v>
      </c>
      <c r="L301" s="3">
        <f>IF(Table1[[#This Row],[RequiredDate]]&lt;Table1[[#This Row],[OrderDate]],Table1[[#This Row],[OrderDate]],Table1[[#This Row],[RequiredDate]])</f>
        <v>45804</v>
      </c>
      <c r="M301" s="3">
        <v>45804</v>
      </c>
      <c r="N301" t="s">
        <v>648</v>
      </c>
      <c r="O301" t="s">
        <v>653</v>
      </c>
      <c r="P301" t="s">
        <v>688</v>
      </c>
      <c r="Q301" t="s">
        <v>702</v>
      </c>
      <c r="R301" t="s">
        <v>711</v>
      </c>
      <c r="S301" t="s">
        <v>712</v>
      </c>
      <c r="T301" t="s">
        <v>727</v>
      </c>
      <c r="U301" t="s">
        <v>1033</v>
      </c>
      <c r="V301" s="8">
        <v>862.89</v>
      </c>
      <c r="W301" s="8">
        <v>1426.03</v>
      </c>
      <c r="X301" s="8">
        <f t="shared" si="13"/>
        <v>815.10700000000008</v>
      </c>
      <c r="Y301" s="8">
        <f t="shared" si="14"/>
        <v>1620.05</v>
      </c>
      <c r="Z301" s="8" t="str">
        <f>IF(W300 &lt;= X299, "Low",IF(W300 &lt;= Y300, "Medium", "High"))</f>
        <v>Low</v>
      </c>
      <c r="AA301">
        <v>5.6000000000000001E-2</v>
      </c>
      <c r="AB301">
        <f>IF(Table1[[#This Row],[DiscountPct]]&gt;0.2,1,0)</f>
        <v>0</v>
      </c>
      <c r="AC301" s="6">
        <v>19</v>
      </c>
      <c r="AD301" s="8">
        <f>Table1[[#This Row],[UnitPrice]]*Table1[[#This Row],[Quantity]]</f>
        <v>27094.57</v>
      </c>
      <c r="AE301" s="8">
        <f>Table1[[#This Row],[UnitCost]]*Table1[[#This Row],[Quantity]]</f>
        <v>16394.91</v>
      </c>
      <c r="AF301" s="8">
        <f>Table1[[#This Row],[GrossRevenue]]-Table1[[#This Row],[CostOfGoods]]</f>
        <v>10699.66</v>
      </c>
      <c r="AG301" s="9">
        <f>IF(Table1[[#This Row],[GrossRevenue]]=0,0,Table1[[#This Row],[GrossProfit]]/Table1[[#This Row],[GrossRevenue]])</f>
        <v>0.39490052803938208</v>
      </c>
    </row>
    <row r="302" spans="1:33" x14ac:dyDescent="0.45">
      <c r="A302" t="s">
        <v>315</v>
      </c>
      <c r="B302">
        <v>1</v>
      </c>
      <c r="C302" s="3">
        <v>45204</v>
      </c>
      <c r="D302" s="6">
        <f>YEAR(Table1[[#This Row],[OrderDate]]) * 100 + MONTH(Table1[[#This Row],[OrderDate]])</f>
        <v>202310</v>
      </c>
      <c r="E302" s="6">
        <f>_xlfn.MINIFS(Table1[OrderMonthKey],Table1[Country],Table1[[#This Row],[Country]])</f>
        <v>202301</v>
      </c>
      <c r="F302" s="6">
        <f>Table1[[#This Row],[CountryFirstMonthKey]]</f>
        <v>202301</v>
      </c>
      <c r="G302" s="6">
        <f>12*(INT(Table1[[#This Row],[OrderMonthKey]]/100)-INT(Table1[[#This Row],[CohortMonthKey]]/100)) + (MOD(Table1[[#This Row],[OrderMonthKey]],100)-MOD(Table1[[#This Row],[CohortMonthKey]],100))</f>
        <v>9</v>
      </c>
      <c r="H302" s="3" t="str">
        <f>TEXT(Table1[[#This Row],[OrderDate]],"MMM-YYYY")</f>
        <v>Oct-2023</v>
      </c>
      <c r="I302" s="3" t="str">
        <f t="shared" si="12"/>
        <v>Q2-2025</v>
      </c>
      <c r="J302" s="26" t="str">
        <f>IF(Table1[[#This Row],[LeadTimeDays]]&lt;=7,"Yes","No")</f>
        <v>No</v>
      </c>
      <c r="K302" s="6">
        <f>_xlfn.DAYS(Table1[[#This Row],[CorrectedRequiredDate]],Table1[[#This Row],[OrderDate]])</f>
        <v>26</v>
      </c>
      <c r="L302" s="3">
        <f>IF(Table1[[#This Row],[RequiredDate]]&lt;Table1[[#This Row],[OrderDate]],Table1[[#This Row],[OrderDate]],Table1[[#This Row],[RequiredDate]])</f>
        <v>45230</v>
      </c>
      <c r="M302" s="3">
        <v>45230</v>
      </c>
      <c r="N302" t="s">
        <v>647</v>
      </c>
      <c r="O302" t="s">
        <v>659</v>
      </c>
      <c r="P302" t="s">
        <v>685</v>
      </c>
      <c r="Q302" t="s">
        <v>704</v>
      </c>
      <c r="R302" t="s">
        <v>708</v>
      </c>
      <c r="S302" t="s">
        <v>713</v>
      </c>
      <c r="T302" t="s">
        <v>728</v>
      </c>
      <c r="U302" t="s">
        <v>1034</v>
      </c>
      <c r="V302" s="8">
        <v>649.91</v>
      </c>
      <c r="W302" s="8">
        <v>1360.12</v>
      </c>
      <c r="X302" s="8">
        <f t="shared" si="13"/>
        <v>815.10700000000008</v>
      </c>
      <c r="Y302" s="8">
        <f t="shared" si="14"/>
        <v>1620.05</v>
      </c>
      <c r="Z302" s="8" t="str">
        <f>IF(W301 &lt;= X300, "Low",IF(W301 &lt;= Y301, "Medium", "High"))</f>
        <v>Medium</v>
      </c>
      <c r="AA302">
        <v>0.19400000000000001</v>
      </c>
      <c r="AB302">
        <f>IF(Table1[[#This Row],[DiscountPct]]&gt;0.2,1,0)</f>
        <v>0</v>
      </c>
      <c r="AC302" s="6">
        <v>9</v>
      </c>
      <c r="AD302" s="8">
        <f>Table1[[#This Row],[UnitPrice]]*Table1[[#This Row],[Quantity]]</f>
        <v>12241.079999999998</v>
      </c>
      <c r="AE302" s="8">
        <f>Table1[[#This Row],[UnitCost]]*Table1[[#This Row],[Quantity]]</f>
        <v>5849.19</v>
      </c>
      <c r="AF302" s="8">
        <f>Table1[[#This Row],[GrossRevenue]]-Table1[[#This Row],[CostOfGoods]]</f>
        <v>6391.8899999999985</v>
      </c>
      <c r="AG302" s="9">
        <f>IF(Table1[[#This Row],[GrossRevenue]]=0,0,Table1[[#This Row],[GrossProfit]]/Table1[[#This Row],[GrossRevenue]])</f>
        <v>0.52216716172102462</v>
      </c>
    </row>
    <row r="303" spans="1:33" x14ac:dyDescent="0.45">
      <c r="A303" t="s">
        <v>316</v>
      </c>
      <c r="B303">
        <v>1</v>
      </c>
      <c r="C303" s="3">
        <v>45125</v>
      </c>
      <c r="D303" s="6">
        <f>YEAR(Table1[[#This Row],[OrderDate]]) * 100 + MONTH(Table1[[#This Row],[OrderDate]])</f>
        <v>202307</v>
      </c>
      <c r="E303" s="6">
        <f>_xlfn.MINIFS(Table1[OrderMonthKey],Table1[Country],Table1[[#This Row],[Country]])</f>
        <v>202301</v>
      </c>
      <c r="F303" s="6">
        <f>Table1[[#This Row],[CountryFirstMonthKey]]</f>
        <v>202301</v>
      </c>
      <c r="G303" s="6">
        <f>12*(INT(Table1[[#This Row],[OrderMonthKey]]/100)-INT(Table1[[#This Row],[CohortMonthKey]]/100)) + (MOD(Table1[[#This Row],[OrderMonthKey]],100)-MOD(Table1[[#This Row],[CohortMonthKey]],100))</f>
        <v>6</v>
      </c>
      <c r="H303" s="3" t="str">
        <f>TEXT(Table1[[#This Row],[OrderDate]],"MMM-YYYY")</f>
        <v>Jul-2023</v>
      </c>
      <c r="I303" s="3" t="str">
        <f t="shared" si="12"/>
        <v>Q4-2023</v>
      </c>
      <c r="J303" s="26" t="str">
        <f>IF(Table1[[#This Row],[LeadTimeDays]]&lt;=7,"Yes","No")</f>
        <v>Yes</v>
      </c>
      <c r="K303" s="6">
        <f>_xlfn.DAYS(Table1[[#This Row],[CorrectedRequiredDate]],Table1[[#This Row],[OrderDate]])</f>
        <v>4</v>
      </c>
      <c r="L303" s="3">
        <f>IF(Table1[[#This Row],[RequiredDate]]&lt;Table1[[#This Row],[OrderDate]],Table1[[#This Row],[OrderDate]],Table1[[#This Row],[RequiredDate]])</f>
        <v>45129</v>
      </c>
      <c r="M303" s="3">
        <v>45129</v>
      </c>
      <c r="N303" t="s">
        <v>648</v>
      </c>
      <c r="O303" t="s">
        <v>655</v>
      </c>
      <c r="P303" t="s">
        <v>670</v>
      </c>
      <c r="Q303" t="s">
        <v>704</v>
      </c>
      <c r="R303" t="s">
        <v>711</v>
      </c>
      <c r="S303" t="s">
        <v>721</v>
      </c>
      <c r="T303" t="s">
        <v>729</v>
      </c>
      <c r="U303" t="s">
        <v>1035</v>
      </c>
      <c r="V303" s="8">
        <v>1269.55</v>
      </c>
      <c r="W303" s="8">
        <v>2071.1</v>
      </c>
      <c r="X303" s="8">
        <f t="shared" si="13"/>
        <v>815.10700000000008</v>
      </c>
      <c r="Y303" s="8">
        <f t="shared" si="14"/>
        <v>1620.05</v>
      </c>
      <c r="Z303" s="8" t="str">
        <f>IF(W302 &lt;= X301, "Low",IF(W302 &lt;= Y302, "Medium", "High"))</f>
        <v>Medium</v>
      </c>
      <c r="AA303">
        <v>0.129</v>
      </c>
      <c r="AB303">
        <f>IF(Table1[[#This Row],[DiscountPct]]&gt;0.2,1,0)</f>
        <v>0</v>
      </c>
      <c r="AC303" s="6">
        <v>22</v>
      </c>
      <c r="AD303" s="8">
        <f>Table1[[#This Row],[UnitPrice]]*Table1[[#This Row],[Quantity]]</f>
        <v>45564.2</v>
      </c>
      <c r="AE303" s="8">
        <f>Table1[[#This Row],[UnitCost]]*Table1[[#This Row],[Quantity]]</f>
        <v>27930.1</v>
      </c>
      <c r="AF303" s="8">
        <f>Table1[[#This Row],[GrossRevenue]]-Table1[[#This Row],[CostOfGoods]]</f>
        <v>17634.099999999999</v>
      </c>
      <c r="AG303" s="9">
        <f>IF(Table1[[#This Row],[GrossRevenue]]=0,0,Table1[[#This Row],[GrossProfit]]/Table1[[#This Row],[GrossRevenue]])</f>
        <v>0.38701656124764616</v>
      </c>
    </row>
    <row r="304" spans="1:33" x14ac:dyDescent="0.45">
      <c r="A304" t="s">
        <v>317</v>
      </c>
      <c r="B304">
        <v>1</v>
      </c>
      <c r="C304" s="3">
        <v>45830</v>
      </c>
      <c r="D304" s="6">
        <f>YEAR(Table1[[#This Row],[OrderDate]]) * 100 + MONTH(Table1[[#This Row],[OrderDate]])</f>
        <v>202506</v>
      </c>
      <c r="E304" s="6">
        <f>_xlfn.MINIFS(Table1[OrderMonthKey],Table1[Country],Table1[[#This Row],[Country]])</f>
        <v>202301</v>
      </c>
      <c r="F304" s="6">
        <f>Table1[[#This Row],[CountryFirstMonthKey]]</f>
        <v>202301</v>
      </c>
      <c r="G304" s="6">
        <f>12*(INT(Table1[[#This Row],[OrderMonthKey]]/100)-INT(Table1[[#This Row],[CohortMonthKey]]/100)) + (MOD(Table1[[#This Row],[OrderMonthKey]],100)-MOD(Table1[[#This Row],[CohortMonthKey]],100))</f>
        <v>29</v>
      </c>
      <c r="H304" s="3" t="str">
        <f>TEXT(Table1[[#This Row],[OrderDate]],"MMM-YYYY")</f>
        <v>Jun-2025</v>
      </c>
      <c r="I304" s="3" t="str">
        <f t="shared" si="12"/>
        <v>Q3-2023</v>
      </c>
      <c r="J304" s="26" t="str">
        <f>IF(Table1[[#This Row],[LeadTimeDays]]&lt;=7,"Yes","No")</f>
        <v>No</v>
      </c>
      <c r="K304" s="6">
        <f>_xlfn.DAYS(Table1[[#This Row],[CorrectedRequiredDate]],Table1[[#This Row],[OrderDate]])</f>
        <v>16</v>
      </c>
      <c r="L304" s="3">
        <f>IF(Table1[[#This Row],[RequiredDate]]&lt;Table1[[#This Row],[OrderDate]],Table1[[#This Row],[OrderDate]],Table1[[#This Row],[RequiredDate]])</f>
        <v>45846</v>
      </c>
      <c r="M304" s="3">
        <v>45846</v>
      </c>
      <c r="N304" t="s">
        <v>649</v>
      </c>
      <c r="O304" t="s">
        <v>658</v>
      </c>
      <c r="P304" t="s">
        <v>683</v>
      </c>
      <c r="Q304" t="s">
        <v>702</v>
      </c>
      <c r="R304" t="s">
        <v>711</v>
      </c>
      <c r="S304" t="s">
        <v>720</v>
      </c>
      <c r="T304" t="s">
        <v>730</v>
      </c>
      <c r="U304" t="s">
        <v>1036</v>
      </c>
      <c r="V304" s="8">
        <v>892.73</v>
      </c>
      <c r="W304" s="8">
        <v>979.84</v>
      </c>
      <c r="X304" s="8">
        <f t="shared" si="13"/>
        <v>815.10700000000008</v>
      </c>
      <c r="Y304" s="8">
        <f t="shared" si="14"/>
        <v>1620.05</v>
      </c>
      <c r="Z304" s="8" t="str">
        <f>IF(W303 &lt;= X302, "Low",IF(W303 &lt;= Y303, "Medium", "High"))</f>
        <v>High</v>
      </c>
      <c r="AA304">
        <v>0.17399999999999999</v>
      </c>
      <c r="AB304">
        <f>IF(Table1[[#This Row],[DiscountPct]]&gt;0.2,1,0)</f>
        <v>0</v>
      </c>
      <c r="AC304" s="6">
        <v>10</v>
      </c>
      <c r="AD304" s="8">
        <f>Table1[[#This Row],[UnitPrice]]*Table1[[#This Row],[Quantity]]</f>
        <v>9798.4</v>
      </c>
      <c r="AE304" s="8">
        <f>Table1[[#This Row],[UnitCost]]*Table1[[#This Row],[Quantity]]</f>
        <v>8927.2999999999993</v>
      </c>
      <c r="AF304" s="8">
        <f>Table1[[#This Row],[GrossRevenue]]-Table1[[#This Row],[CostOfGoods]]</f>
        <v>871.10000000000036</v>
      </c>
      <c r="AG304" s="9">
        <f>IF(Table1[[#This Row],[GrossRevenue]]=0,0,Table1[[#This Row],[GrossProfit]]/Table1[[#This Row],[GrossRevenue]])</f>
        <v>8.8902269758327934E-2</v>
      </c>
    </row>
    <row r="305" spans="1:33" hidden="1" x14ac:dyDescent="0.45">
      <c r="A305" t="s">
        <v>318</v>
      </c>
      <c r="C305" s="3">
        <v>45462</v>
      </c>
      <c r="D305" s="3">
        <f>YEAR(Table1[[#This Row],[OrderDate]]) * 100 + MONTH(Table1[[#This Row],[OrderDate]])</f>
        <v>202406</v>
      </c>
      <c r="E305" s="3">
        <f>_xlfn.MINIFS(Table1[OrderMonthKey],Table1[Country],Table1[[#This Row],[Country]])</f>
        <v>202301</v>
      </c>
      <c r="F305" s="3">
        <f>Table1[[#This Row],[CountryFirstMonthKey]]</f>
        <v>202301</v>
      </c>
      <c r="G305" s="3">
        <f>12*(INT(Table1[[#This Row],[OrderMonthKey]]/100)-INT(Table1[[#This Row],[CohortMonthKey]]/100)) + (MOD(Table1[[#This Row],[OrderMonthKey]],100)-MOD(Table1[[#This Row],[CohortMonthKey]],100))</f>
        <v>17</v>
      </c>
      <c r="H305" s="3" t="str">
        <f>TEXT(Table1[[#This Row],[OrderDate]],"MMM-YYYY")</f>
        <v>Jun-2024</v>
      </c>
      <c r="I305" s="3" t="str">
        <f t="shared" si="12"/>
        <v>Q2-2025</v>
      </c>
      <c r="J305" s="3" t="str">
        <f>IF(Table1[[#This Row],[LeadTimeDays]]&lt;=7,"Yes","No")</f>
        <v>Yes</v>
      </c>
      <c r="K305" s="3">
        <f>_xlfn.DAYS(Table1[[#This Row],[CorrectedRequiredDate]],Table1[[#This Row],[OrderDate]])</f>
        <v>1</v>
      </c>
      <c r="L305" s="3">
        <f>IF(Table1[[#This Row],[RequiredDate]]&lt;Table1[[#This Row],[OrderDate]],Table1[[#This Row],[OrderDate]],Table1[[#This Row],[RequiredDate]])</f>
        <v>45463</v>
      </c>
      <c r="M305" s="3">
        <v>45463</v>
      </c>
      <c r="N305" t="s">
        <v>646</v>
      </c>
      <c r="O305" t="s">
        <v>650</v>
      </c>
      <c r="P305" t="s">
        <v>662</v>
      </c>
      <c r="Q305" t="s">
        <v>705</v>
      </c>
      <c r="R305" t="s">
        <v>711</v>
      </c>
      <c r="S305" t="s">
        <v>713</v>
      </c>
      <c r="T305" t="s">
        <v>731</v>
      </c>
      <c r="U305" t="s">
        <v>1037</v>
      </c>
      <c r="V305" s="8">
        <v>231.63</v>
      </c>
      <c r="W305" s="8">
        <v>537.39</v>
      </c>
      <c r="X305" s="8">
        <f t="shared" si="13"/>
        <v>815.10700000000008</v>
      </c>
      <c r="Y305" s="8">
        <f t="shared" si="14"/>
        <v>1620.05</v>
      </c>
      <c r="AA305">
        <v>0.08</v>
      </c>
      <c r="AB305">
        <f>IF(Table1[[#This Row],[DiscountPct]]&gt;0.2,1,0)</f>
        <v>0</v>
      </c>
      <c r="AC305" s="6">
        <v>12</v>
      </c>
      <c r="AD305" s="8">
        <f>Table1[[#This Row],[UnitPrice]]*Table1[[#This Row],[Quantity]]</f>
        <v>6448.68</v>
      </c>
      <c r="AE305" s="8">
        <f>Table1[[#This Row],[UnitCost]]*Table1[[#This Row],[Quantity]]</f>
        <v>2779.56</v>
      </c>
      <c r="AF305" s="8">
        <f>Table1[[#This Row],[GrossRevenue]]-Table1[[#This Row],[CostOfGoods]]</f>
        <v>3669.1200000000003</v>
      </c>
      <c r="AG305" s="8">
        <f>IF(Table1[[#This Row],[GrossRevenue]]=0,0,Table1[[#This Row],[GrossProfit]]/Table1[[#This Row],[GrossRevenue]])</f>
        <v>0.56897225478702618</v>
      </c>
    </row>
    <row r="306" spans="1:33" hidden="1" x14ac:dyDescent="0.45">
      <c r="A306" t="s">
        <v>319</v>
      </c>
      <c r="C306" s="3">
        <v>45756</v>
      </c>
      <c r="D306" s="3">
        <f>YEAR(Table1[[#This Row],[OrderDate]]) * 100 + MONTH(Table1[[#This Row],[OrderDate]])</f>
        <v>202504</v>
      </c>
      <c r="E306" s="3">
        <f>_xlfn.MINIFS(Table1[OrderMonthKey],Table1[Country],Table1[[#This Row],[Country]])</f>
        <v>202301</v>
      </c>
      <c r="F306" s="3">
        <f>Table1[[#This Row],[CountryFirstMonthKey]]</f>
        <v>202301</v>
      </c>
      <c r="G306" s="3">
        <f>12*(INT(Table1[[#This Row],[OrderMonthKey]]/100)-INT(Table1[[#This Row],[CohortMonthKey]]/100)) + (MOD(Table1[[#This Row],[OrderMonthKey]],100)-MOD(Table1[[#This Row],[CohortMonthKey]],100))</f>
        <v>27</v>
      </c>
      <c r="H306" s="3" t="str">
        <f>TEXT(Table1[[#This Row],[OrderDate]],"MMM-YYYY")</f>
        <v>Apr-2025</v>
      </c>
      <c r="I306" s="3" t="str">
        <f t="shared" si="12"/>
        <v>Q2-2024</v>
      </c>
      <c r="J306" s="3" t="str">
        <f>IF(Table1[[#This Row],[LeadTimeDays]]&lt;=7,"Yes","No")</f>
        <v>Yes</v>
      </c>
      <c r="K306" s="3">
        <f>_xlfn.DAYS(Table1[[#This Row],[CorrectedRequiredDate]],Table1[[#This Row],[OrderDate]])</f>
        <v>3</v>
      </c>
      <c r="L306" s="3">
        <f>IF(Table1[[#This Row],[RequiredDate]]&lt;Table1[[#This Row],[OrderDate]],Table1[[#This Row],[OrderDate]],Table1[[#This Row],[RequiredDate]])</f>
        <v>45759</v>
      </c>
      <c r="M306" s="3">
        <v>45759</v>
      </c>
      <c r="N306" t="s">
        <v>649</v>
      </c>
      <c r="O306" t="s">
        <v>657</v>
      </c>
      <c r="P306" t="s">
        <v>679</v>
      </c>
      <c r="Q306" t="s">
        <v>705</v>
      </c>
      <c r="R306" t="s">
        <v>710</v>
      </c>
      <c r="S306" t="s">
        <v>722</v>
      </c>
      <c r="T306" t="s">
        <v>732</v>
      </c>
      <c r="U306" t="s">
        <v>1038</v>
      </c>
      <c r="V306" s="8">
        <v>86.68</v>
      </c>
      <c r="W306" s="8">
        <v>213.32</v>
      </c>
      <c r="X306" s="8">
        <f t="shared" si="13"/>
        <v>815.10700000000008</v>
      </c>
      <c r="Y306" s="8">
        <f t="shared" si="14"/>
        <v>1620.05</v>
      </c>
      <c r="AA306">
        <v>3.7999999999999999E-2</v>
      </c>
      <c r="AB306">
        <f>IF(Table1[[#This Row],[DiscountPct]]&gt;0.2,1,0)</f>
        <v>0</v>
      </c>
      <c r="AC306" s="6">
        <v>8</v>
      </c>
      <c r="AD306" s="8">
        <f>Table1[[#This Row],[UnitPrice]]*Table1[[#This Row],[Quantity]]</f>
        <v>1706.56</v>
      </c>
      <c r="AE306" s="8">
        <f>Table1[[#This Row],[UnitCost]]*Table1[[#This Row],[Quantity]]</f>
        <v>693.44</v>
      </c>
      <c r="AF306" s="8">
        <f>Table1[[#This Row],[GrossRevenue]]-Table1[[#This Row],[CostOfGoods]]</f>
        <v>1013.1199999999999</v>
      </c>
      <c r="AG306" s="8">
        <f>IF(Table1[[#This Row],[GrossRevenue]]=0,0,Table1[[#This Row],[GrossProfit]]/Table1[[#This Row],[GrossRevenue]])</f>
        <v>0.59366210388149254</v>
      </c>
    </row>
    <row r="307" spans="1:33" x14ac:dyDescent="0.45">
      <c r="A307" t="s">
        <v>320</v>
      </c>
      <c r="B307">
        <v>1</v>
      </c>
      <c r="C307" s="3">
        <v>45741</v>
      </c>
      <c r="D307" s="6">
        <f>YEAR(Table1[[#This Row],[OrderDate]]) * 100 + MONTH(Table1[[#This Row],[OrderDate]])</f>
        <v>202503</v>
      </c>
      <c r="E307" s="6">
        <f>_xlfn.MINIFS(Table1[OrderMonthKey],Table1[Country],Table1[[#This Row],[Country]])</f>
        <v>202301</v>
      </c>
      <c r="F307" s="6">
        <f>Table1[[#This Row],[CountryFirstMonthKey]]</f>
        <v>202301</v>
      </c>
      <c r="G307" s="6">
        <f>12*(INT(Table1[[#This Row],[OrderMonthKey]]/100)-INT(Table1[[#This Row],[CohortMonthKey]]/100)) + (MOD(Table1[[#This Row],[OrderMonthKey]],100)-MOD(Table1[[#This Row],[CohortMonthKey]],100))</f>
        <v>26</v>
      </c>
      <c r="H307" s="3" t="str">
        <f>TEXT(Table1[[#This Row],[OrderDate]],"MMM-YYYY")</f>
        <v>Mar-2025</v>
      </c>
      <c r="I307" s="3" t="str">
        <f t="shared" si="12"/>
        <v>Q2-2025</v>
      </c>
      <c r="J307" s="26" t="str">
        <f>IF(Table1[[#This Row],[LeadTimeDays]]&lt;=7,"Yes","No")</f>
        <v>Yes</v>
      </c>
      <c r="K307" s="6">
        <f>_xlfn.DAYS(Table1[[#This Row],[CorrectedRequiredDate]],Table1[[#This Row],[OrderDate]])</f>
        <v>1</v>
      </c>
      <c r="L307" s="3">
        <f>IF(Table1[[#This Row],[RequiredDate]]&lt;Table1[[#This Row],[OrderDate]],Table1[[#This Row],[OrderDate]],Table1[[#This Row],[RequiredDate]])</f>
        <v>45742</v>
      </c>
      <c r="M307" s="3">
        <v>45742</v>
      </c>
      <c r="N307" t="s">
        <v>646</v>
      </c>
      <c r="O307" t="s">
        <v>651</v>
      </c>
      <c r="P307" t="s">
        <v>665</v>
      </c>
      <c r="Q307" t="s">
        <v>702</v>
      </c>
      <c r="R307" t="s">
        <v>710</v>
      </c>
      <c r="S307" t="s">
        <v>715</v>
      </c>
      <c r="T307" t="s">
        <v>733</v>
      </c>
      <c r="U307" t="s">
        <v>1039</v>
      </c>
      <c r="V307" s="8">
        <v>1450.43</v>
      </c>
      <c r="W307" s="8">
        <v>1994.67</v>
      </c>
      <c r="X307" s="8">
        <f t="shared" si="13"/>
        <v>815.10700000000008</v>
      </c>
      <c r="Y307" s="8">
        <f t="shared" si="14"/>
        <v>1620.05</v>
      </c>
      <c r="Z307" s="8" t="str">
        <f>IF(W306 &lt;= X305, "Low",IF(W306 &lt;= Y306, "Medium", "High"))</f>
        <v>Low</v>
      </c>
      <c r="AA307">
        <v>0.1</v>
      </c>
      <c r="AB307">
        <f>IF(Table1[[#This Row],[DiscountPct]]&gt;0.2,1,0)</f>
        <v>0</v>
      </c>
      <c r="AC307" s="6">
        <v>24</v>
      </c>
      <c r="AD307" s="8">
        <f>Table1[[#This Row],[UnitPrice]]*Table1[[#This Row],[Quantity]]</f>
        <v>47872.08</v>
      </c>
      <c r="AE307" s="8">
        <f>Table1[[#This Row],[UnitCost]]*Table1[[#This Row],[Quantity]]</f>
        <v>34810.32</v>
      </c>
      <c r="AF307" s="8">
        <f>Table1[[#This Row],[GrossRevenue]]-Table1[[#This Row],[CostOfGoods]]</f>
        <v>13061.760000000002</v>
      </c>
      <c r="AG307" s="9">
        <f>IF(Table1[[#This Row],[GrossRevenue]]=0,0,Table1[[#This Row],[GrossProfit]]/Table1[[#This Row],[GrossRevenue]])</f>
        <v>0.27284713762176205</v>
      </c>
    </row>
    <row r="308" spans="1:33" hidden="1" x14ac:dyDescent="0.45">
      <c r="A308" t="s">
        <v>321</v>
      </c>
      <c r="C308" s="3">
        <v>45795</v>
      </c>
      <c r="D308" s="3">
        <f>YEAR(Table1[[#This Row],[OrderDate]]) * 100 + MONTH(Table1[[#This Row],[OrderDate]])</f>
        <v>202505</v>
      </c>
      <c r="E308" s="3">
        <f>_xlfn.MINIFS(Table1[OrderMonthKey],Table1[Country],Table1[[#This Row],[Country]])</f>
        <v>202301</v>
      </c>
      <c r="F308" s="3">
        <f>Table1[[#This Row],[CountryFirstMonthKey]]</f>
        <v>202301</v>
      </c>
      <c r="G308" s="3">
        <f>12*(INT(Table1[[#This Row],[OrderMonthKey]]/100)-INT(Table1[[#This Row],[CohortMonthKey]]/100)) + (MOD(Table1[[#This Row],[OrderMonthKey]],100)-MOD(Table1[[#This Row],[CohortMonthKey]],100))</f>
        <v>28</v>
      </c>
      <c r="H308" s="3" t="str">
        <f>TEXT(Table1[[#This Row],[OrderDate]],"MMM-YYYY")</f>
        <v>May-2025</v>
      </c>
      <c r="I308" s="3" t="str">
        <f t="shared" si="12"/>
        <v>Q1-2025</v>
      </c>
      <c r="J308" s="3" t="str">
        <f>IF(Table1[[#This Row],[LeadTimeDays]]&lt;=7,"Yes","No")</f>
        <v>No</v>
      </c>
      <c r="K308" s="3">
        <f>_xlfn.DAYS(Table1[[#This Row],[CorrectedRequiredDate]],Table1[[#This Row],[OrderDate]])</f>
        <v>22</v>
      </c>
      <c r="L308" s="3">
        <f>IF(Table1[[#This Row],[RequiredDate]]&lt;Table1[[#This Row],[OrderDate]],Table1[[#This Row],[OrderDate]],Table1[[#This Row],[RequiredDate]])</f>
        <v>45817</v>
      </c>
      <c r="M308" s="3">
        <v>45817</v>
      </c>
      <c r="N308" t="s">
        <v>648</v>
      </c>
      <c r="O308" t="s">
        <v>660</v>
      </c>
      <c r="P308" t="s">
        <v>700</v>
      </c>
      <c r="Q308" t="s">
        <v>704</v>
      </c>
      <c r="R308" t="s">
        <v>707</v>
      </c>
      <c r="S308" t="s">
        <v>722</v>
      </c>
      <c r="T308" t="s">
        <v>729</v>
      </c>
      <c r="U308" t="s">
        <v>1040</v>
      </c>
      <c r="V308" s="8">
        <v>382.96</v>
      </c>
      <c r="W308" s="8">
        <v>552.84</v>
      </c>
      <c r="X308" s="8">
        <f t="shared" si="13"/>
        <v>815.10700000000008</v>
      </c>
      <c r="Y308" s="8">
        <f t="shared" si="14"/>
        <v>1620.05</v>
      </c>
      <c r="AA308">
        <v>0.17599999999999999</v>
      </c>
      <c r="AB308">
        <f>IF(Table1[[#This Row],[DiscountPct]]&gt;0.2,1,0)</f>
        <v>0</v>
      </c>
      <c r="AC308" s="6">
        <v>8</v>
      </c>
      <c r="AD308" s="8">
        <f>Table1[[#This Row],[UnitPrice]]*Table1[[#This Row],[Quantity]]</f>
        <v>4422.72</v>
      </c>
      <c r="AE308" s="8">
        <f>Table1[[#This Row],[UnitCost]]*Table1[[#This Row],[Quantity]]</f>
        <v>3063.68</v>
      </c>
      <c r="AF308" s="8">
        <f>Table1[[#This Row],[GrossRevenue]]-Table1[[#This Row],[CostOfGoods]]</f>
        <v>1359.0400000000004</v>
      </c>
      <c r="AG308" s="8">
        <f>IF(Table1[[#This Row],[GrossRevenue]]=0,0,Table1[[#This Row],[GrossProfit]]/Table1[[#This Row],[GrossRevenue]])</f>
        <v>0.30728601403661104</v>
      </c>
    </row>
    <row r="309" spans="1:33" hidden="1" x14ac:dyDescent="0.45">
      <c r="A309" t="s">
        <v>322</v>
      </c>
      <c r="C309" s="3">
        <v>45679</v>
      </c>
      <c r="D309" s="3">
        <f>YEAR(Table1[[#This Row],[OrderDate]]) * 100 + MONTH(Table1[[#This Row],[OrderDate]])</f>
        <v>202501</v>
      </c>
      <c r="E309" s="3">
        <f>_xlfn.MINIFS(Table1[OrderMonthKey],Table1[Country],Table1[[#This Row],[Country]])</f>
        <v>202303</v>
      </c>
      <c r="F309" s="3">
        <f>Table1[[#This Row],[CountryFirstMonthKey]]</f>
        <v>202303</v>
      </c>
      <c r="G309" s="3">
        <f>12*(INT(Table1[[#This Row],[OrderMonthKey]]/100)-INT(Table1[[#This Row],[CohortMonthKey]]/100)) + (MOD(Table1[[#This Row],[OrderMonthKey]],100)-MOD(Table1[[#This Row],[CohortMonthKey]],100))</f>
        <v>22</v>
      </c>
      <c r="H309" s="3" t="str">
        <f>TEXT(Table1[[#This Row],[OrderDate]],"MMM-YYYY")</f>
        <v>Jan-2025</v>
      </c>
      <c r="I309" s="3" t="str">
        <f t="shared" si="12"/>
        <v>Q2-2025</v>
      </c>
      <c r="J309" s="3" t="str">
        <f>IF(Table1[[#This Row],[LeadTimeDays]]&lt;=7,"Yes","No")</f>
        <v>No</v>
      </c>
      <c r="K309" s="3">
        <f>_xlfn.DAYS(Table1[[#This Row],[CorrectedRequiredDate]],Table1[[#This Row],[OrderDate]])</f>
        <v>13</v>
      </c>
      <c r="L309" s="3">
        <f>IF(Table1[[#This Row],[RequiredDate]]&lt;Table1[[#This Row],[OrderDate]],Table1[[#This Row],[OrderDate]],Table1[[#This Row],[RequiredDate]])</f>
        <v>45692</v>
      </c>
      <c r="M309" s="3">
        <v>45692</v>
      </c>
      <c r="N309" t="s">
        <v>647</v>
      </c>
      <c r="O309" t="s">
        <v>652</v>
      </c>
      <c r="P309" t="s">
        <v>689</v>
      </c>
      <c r="Q309" t="s">
        <v>705</v>
      </c>
      <c r="R309" t="s">
        <v>710</v>
      </c>
      <c r="S309" t="s">
        <v>716</v>
      </c>
      <c r="T309" t="s">
        <v>728</v>
      </c>
      <c r="U309" t="s">
        <v>1041</v>
      </c>
      <c r="V309" s="8">
        <v>122.29</v>
      </c>
      <c r="W309" s="8">
        <v>224.95</v>
      </c>
      <c r="X309" s="8">
        <f t="shared" si="13"/>
        <v>815.10700000000008</v>
      </c>
      <c r="Y309" s="8">
        <f t="shared" si="14"/>
        <v>1620.05</v>
      </c>
      <c r="AA309">
        <v>0.153</v>
      </c>
      <c r="AB309">
        <f>IF(Table1[[#This Row],[DiscountPct]]&gt;0.2,1,0)</f>
        <v>0</v>
      </c>
      <c r="AC309" s="6">
        <v>28</v>
      </c>
      <c r="AD309" s="8">
        <f>Table1[[#This Row],[UnitPrice]]*Table1[[#This Row],[Quantity]]</f>
        <v>6298.5999999999995</v>
      </c>
      <c r="AE309" s="8">
        <f>Table1[[#This Row],[UnitCost]]*Table1[[#This Row],[Quantity]]</f>
        <v>3424.1200000000003</v>
      </c>
      <c r="AF309" s="8">
        <f>Table1[[#This Row],[GrossRevenue]]-Table1[[#This Row],[CostOfGoods]]</f>
        <v>2874.4799999999991</v>
      </c>
      <c r="AG309" s="8">
        <f>IF(Table1[[#This Row],[GrossRevenue]]=0,0,Table1[[#This Row],[GrossProfit]]/Table1[[#This Row],[GrossRevenue]])</f>
        <v>0.45636808179595456</v>
      </c>
    </row>
    <row r="310" spans="1:33" hidden="1" x14ac:dyDescent="0.45">
      <c r="A310" t="s">
        <v>323</v>
      </c>
      <c r="C310" s="3">
        <v>44936</v>
      </c>
      <c r="D310" s="3">
        <f>YEAR(Table1[[#This Row],[OrderDate]]) * 100 + MONTH(Table1[[#This Row],[OrderDate]])</f>
        <v>202301</v>
      </c>
      <c r="E310" s="3">
        <f>_xlfn.MINIFS(Table1[OrderMonthKey],Table1[Country],Table1[[#This Row],[Country]])</f>
        <v>202301</v>
      </c>
      <c r="F310" s="3">
        <f>Table1[[#This Row],[CountryFirstMonthKey]]</f>
        <v>202301</v>
      </c>
      <c r="G310" s="3">
        <f>12*(INT(Table1[[#This Row],[OrderMonthKey]]/100)-INT(Table1[[#This Row],[CohortMonthKey]]/100)) + (MOD(Table1[[#This Row],[OrderMonthKey]],100)-MOD(Table1[[#This Row],[CohortMonthKey]],100))</f>
        <v>0</v>
      </c>
      <c r="H310" s="3" t="str">
        <f>TEXT(Table1[[#This Row],[OrderDate]],"MMM-YYYY")</f>
        <v>Jan-2023</v>
      </c>
      <c r="I310" s="3" t="str">
        <f t="shared" si="12"/>
        <v>Q1-2025</v>
      </c>
      <c r="J310" s="3" t="str">
        <f>IF(Table1[[#This Row],[LeadTimeDays]]&lt;=7,"Yes","No")</f>
        <v>No</v>
      </c>
      <c r="K310" s="3">
        <f>_xlfn.DAYS(Table1[[#This Row],[CorrectedRequiredDate]],Table1[[#This Row],[OrderDate]])</f>
        <v>19</v>
      </c>
      <c r="L310" s="3">
        <f>IF(Table1[[#This Row],[RequiredDate]]&lt;Table1[[#This Row],[OrderDate]],Table1[[#This Row],[OrderDate]],Table1[[#This Row],[RequiredDate]])</f>
        <v>44955</v>
      </c>
      <c r="M310" s="3">
        <v>44955</v>
      </c>
      <c r="N310" t="s">
        <v>649</v>
      </c>
      <c r="O310" t="s">
        <v>657</v>
      </c>
      <c r="P310" t="s">
        <v>679</v>
      </c>
      <c r="Q310" t="s">
        <v>703</v>
      </c>
      <c r="R310" t="s">
        <v>711</v>
      </c>
      <c r="S310" t="s">
        <v>726</v>
      </c>
      <c r="T310" t="s">
        <v>731</v>
      </c>
      <c r="U310" t="s">
        <v>1042</v>
      </c>
      <c r="V310" s="8">
        <v>401.66</v>
      </c>
      <c r="W310" s="8">
        <v>772.09</v>
      </c>
      <c r="X310" s="8">
        <f t="shared" si="13"/>
        <v>815.10700000000008</v>
      </c>
      <c r="Y310" s="8">
        <f t="shared" si="14"/>
        <v>1620.05</v>
      </c>
      <c r="AA310">
        <v>8.8999999999999996E-2</v>
      </c>
      <c r="AB310">
        <f>IF(Table1[[#This Row],[DiscountPct]]&gt;0.2,1,0)</f>
        <v>0</v>
      </c>
      <c r="AC310" s="6">
        <v>14</v>
      </c>
      <c r="AD310" s="8">
        <f>Table1[[#This Row],[UnitPrice]]*Table1[[#This Row],[Quantity]]</f>
        <v>10809.26</v>
      </c>
      <c r="AE310" s="8">
        <f>Table1[[#This Row],[UnitCost]]*Table1[[#This Row],[Quantity]]</f>
        <v>5623.2400000000007</v>
      </c>
      <c r="AF310" s="8">
        <f>Table1[[#This Row],[GrossRevenue]]-Table1[[#This Row],[CostOfGoods]]</f>
        <v>5186.0199999999995</v>
      </c>
      <c r="AG310" s="8">
        <f>IF(Table1[[#This Row],[GrossRevenue]]=0,0,Table1[[#This Row],[GrossProfit]]/Table1[[#This Row],[GrossRevenue]])</f>
        <v>0.47977567382040948</v>
      </c>
    </row>
    <row r="311" spans="1:33" x14ac:dyDescent="0.45">
      <c r="A311" t="s">
        <v>324</v>
      </c>
      <c r="B311">
        <v>1</v>
      </c>
      <c r="C311" s="3">
        <v>45655</v>
      </c>
      <c r="D311" s="6">
        <f>YEAR(Table1[[#This Row],[OrderDate]]) * 100 + MONTH(Table1[[#This Row],[OrderDate]])</f>
        <v>202412</v>
      </c>
      <c r="E311" s="6">
        <f>_xlfn.MINIFS(Table1[OrderMonthKey],Table1[Country],Table1[[#This Row],[Country]])</f>
        <v>202301</v>
      </c>
      <c r="F311" s="6">
        <f>Table1[[#This Row],[CountryFirstMonthKey]]</f>
        <v>202301</v>
      </c>
      <c r="G311" s="6">
        <f>12*(INT(Table1[[#This Row],[OrderMonthKey]]/100)-INT(Table1[[#This Row],[CohortMonthKey]]/100)) + (MOD(Table1[[#This Row],[OrderMonthKey]],100)-MOD(Table1[[#This Row],[CohortMonthKey]],100))</f>
        <v>23</v>
      </c>
      <c r="H311" s="3" t="str">
        <f>TEXT(Table1[[#This Row],[OrderDate]],"MMM-YYYY")</f>
        <v>Dec-2024</v>
      </c>
      <c r="I311" s="3" t="str">
        <f t="shared" si="12"/>
        <v>Q1-2023</v>
      </c>
      <c r="J311" s="26" t="str">
        <f>IF(Table1[[#This Row],[LeadTimeDays]]&lt;=7,"Yes","No")</f>
        <v>No</v>
      </c>
      <c r="K311" s="6">
        <f>_xlfn.DAYS(Table1[[#This Row],[CorrectedRequiredDate]],Table1[[#This Row],[OrderDate]])</f>
        <v>14</v>
      </c>
      <c r="L311" s="3">
        <f>IF(Table1[[#This Row],[RequiredDate]]&lt;Table1[[#This Row],[OrderDate]],Table1[[#This Row],[OrderDate]],Table1[[#This Row],[RequiredDate]])</f>
        <v>45669</v>
      </c>
      <c r="M311" s="3">
        <v>45669</v>
      </c>
      <c r="N311" t="s">
        <v>649</v>
      </c>
      <c r="O311" t="s">
        <v>658</v>
      </c>
      <c r="P311" t="s">
        <v>693</v>
      </c>
      <c r="Q311" t="s">
        <v>701</v>
      </c>
      <c r="R311" t="s">
        <v>711</v>
      </c>
      <c r="S311" t="s">
        <v>717</v>
      </c>
      <c r="T311" t="s">
        <v>732</v>
      </c>
      <c r="U311" t="s">
        <v>1043</v>
      </c>
      <c r="V311" s="8">
        <v>1399.72</v>
      </c>
      <c r="W311" s="8">
        <v>3149.21</v>
      </c>
      <c r="X311" s="8">
        <f t="shared" si="13"/>
        <v>815.10700000000008</v>
      </c>
      <c r="Y311" s="8">
        <f t="shared" si="14"/>
        <v>1620.05</v>
      </c>
      <c r="Z311" s="8" t="str">
        <f>IF(W310 &lt;= X309, "Low",IF(W310 &lt;= Y310, "Medium", "High"))</f>
        <v>Low</v>
      </c>
      <c r="AA311">
        <v>0.185</v>
      </c>
      <c r="AB311">
        <f>IF(Table1[[#This Row],[DiscountPct]]&gt;0.2,1,0)</f>
        <v>0</v>
      </c>
      <c r="AC311" s="6">
        <v>12</v>
      </c>
      <c r="AD311" s="8">
        <f>Table1[[#This Row],[UnitPrice]]*Table1[[#This Row],[Quantity]]</f>
        <v>37790.520000000004</v>
      </c>
      <c r="AE311" s="8">
        <f>Table1[[#This Row],[UnitCost]]*Table1[[#This Row],[Quantity]]</f>
        <v>16796.64</v>
      </c>
      <c r="AF311" s="8">
        <f>Table1[[#This Row],[GrossRevenue]]-Table1[[#This Row],[CostOfGoods]]</f>
        <v>20993.880000000005</v>
      </c>
      <c r="AG311" s="9">
        <f>IF(Table1[[#This Row],[GrossRevenue]]=0,0,Table1[[#This Row],[GrossProfit]]/Table1[[#This Row],[GrossRevenue]])</f>
        <v>0.5555329749365715</v>
      </c>
    </row>
    <row r="312" spans="1:33" x14ac:dyDescent="0.45">
      <c r="A312" t="s">
        <v>325</v>
      </c>
      <c r="B312">
        <v>1</v>
      </c>
      <c r="C312" s="3">
        <v>45435</v>
      </c>
      <c r="D312" s="6">
        <f>YEAR(Table1[[#This Row],[OrderDate]]) * 100 + MONTH(Table1[[#This Row],[OrderDate]])</f>
        <v>202405</v>
      </c>
      <c r="E312" s="6">
        <f>_xlfn.MINIFS(Table1[OrderMonthKey],Table1[Country],Table1[[#This Row],[Country]])</f>
        <v>202301</v>
      </c>
      <c r="F312" s="6">
        <f>Table1[[#This Row],[CountryFirstMonthKey]]</f>
        <v>202301</v>
      </c>
      <c r="G312" s="6">
        <f>12*(INT(Table1[[#This Row],[OrderMonthKey]]/100)-INT(Table1[[#This Row],[CohortMonthKey]]/100)) + (MOD(Table1[[#This Row],[OrderMonthKey]],100)-MOD(Table1[[#This Row],[CohortMonthKey]],100))</f>
        <v>16</v>
      </c>
      <c r="H312" s="3" t="str">
        <f>TEXT(Table1[[#This Row],[OrderDate]],"MMM-YYYY")</f>
        <v>May-2024</v>
      </c>
      <c r="I312" s="3" t="str">
        <f t="shared" si="12"/>
        <v>Q4-2024</v>
      </c>
      <c r="J312" s="26" t="str">
        <f>IF(Table1[[#This Row],[LeadTimeDays]]&lt;=7,"Yes","No")</f>
        <v>No</v>
      </c>
      <c r="K312" s="6">
        <f>_xlfn.DAYS(Table1[[#This Row],[CorrectedRequiredDate]],Table1[[#This Row],[OrderDate]])</f>
        <v>14</v>
      </c>
      <c r="L312" s="3">
        <f>IF(Table1[[#This Row],[RequiredDate]]&lt;Table1[[#This Row],[OrderDate]],Table1[[#This Row],[OrderDate]],Table1[[#This Row],[RequiredDate]])</f>
        <v>45449</v>
      </c>
      <c r="M312" s="3">
        <v>45449</v>
      </c>
      <c r="N312" t="s">
        <v>648</v>
      </c>
      <c r="O312" t="s">
        <v>655</v>
      </c>
      <c r="P312" t="s">
        <v>692</v>
      </c>
      <c r="Q312" t="s">
        <v>703</v>
      </c>
      <c r="R312" t="s">
        <v>708</v>
      </c>
      <c r="S312" t="s">
        <v>714</v>
      </c>
      <c r="T312" t="s">
        <v>729</v>
      </c>
      <c r="U312" t="s">
        <v>1044</v>
      </c>
      <c r="V312" s="8">
        <v>51.13</v>
      </c>
      <c r="W312" s="8">
        <v>57.53</v>
      </c>
      <c r="X312" s="8">
        <f t="shared" si="13"/>
        <v>815.10700000000008</v>
      </c>
      <c r="Y312" s="8">
        <f t="shared" si="14"/>
        <v>1620.05</v>
      </c>
      <c r="Z312" s="8" t="str">
        <f>IF(W311 &lt;= X310, "Low",IF(W311 &lt;= Y311, "Medium", "High"))</f>
        <v>High</v>
      </c>
      <c r="AA312">
        <v>4.4999999999999998E-2</v>
      </c>
      <c r="AB312">
        <f>IF(Table1[[#This Row],[DiscountPct]]&gt;0.2,1,0)</f>
        <v>0</v>
      </c>
      <c r="AC312" s="6">
        <v>16</v>
      </c>
      <c r="AD312" s="8">
        <f>Table1[[#This Row],[UnitPrice]]*Table1[[#This Row],[Quantity]]</f>
        <v>920.48</v>
      </c>
      <c r="AE312" s="8">
        <f>Table1[[#This Row],[UnitCost]]*Table1[[#This Row],[Quantity]]</f>
        <v>818.08</v>
      </c>
      <c r="AF312" s="8">
        <f>Table1[[#This Row],[GrossRevenue]]-Table1[[#This Row],[CostOfGoods]]</f>
        <v>102.39999999999998</v>
      </c>
      <c r="AG312" s="9">
        <f>IF(Table1[[#This Row],[GrossRevenue]]=0,0,Table1[[#This Row],[GrossProfit]]/Table1[[#This Row],[GrossRevenue]])</f>
        <v>0.11124630627498694</v>
      </c>
    </row>
    <row r="313" spans="1:33" x14ac:dyDescent="0.45">
      <c r="A313" t="s">
        <v>326</v>
      </c>
      <c r="B313">
        <v>1</v>
      </c>
      <c r="C313" s="3">
        <v>45101</v>
      </c>
      <c r="D313" s="6">
        <f>YEAR(Table1[[#This Row],[OrderDate]]) * 100 + MONTH(Table1[[#This Row],[OrderDate]])</f>
        <v>202306</v>
      </c>
      <c r="E313" s="6">
        <f>_xlfn.MINIFS(Table1[OrderMonthKey],Table1[Country],Table1[[#This Row],[Country]])</f>
        <v>202301</v>
      </c>
      <c r="F313" s="6">
        <f>Table1[[#This Row],[CountryFirstMonthKey]]</f>
        <v>202301</v>
      </c>
      <c r="G313" s="6">
        <f>12*(INT(Table1[[#This Row],[OrderMonthKey]]/100)-INT(Table1[[#This Row],[CohortMonthKey]]/100)) + (MOD(Table1[[#This Row],[OrderMonthKey]],100)-MOD(Table1[[#This Row],[CohortMonthKey]],100))</f>
        <v>5</v>
      </c>
      <c r="H313" s="3" t="str">
        <f>TEXT(Table1[[#This Row],[OrderDate]],"MMM-YYYY")</f>
        <v>Jun-2023</v>
      </c>
      <c r="I313" s="3" t="str">
        <f t="shared" si="12"/>
        <v>Q2-2024</v>
      </c>
      <c r="J313" s="26" t="str">
        <f>IF(Table1[[#This Row],[LeadTimeDays]]&lt;=7,"Yes","No")</f>
        <v>Yes</v>
      </c>
      <c r="K313" s="6">
        <f>_xlfn.DAYS(Table1[[#This Row],[CorrectedRequiredDate]],Table1[[#This Row],[OrderDate]])</f>
        <v>0</v>
      </c>
      <c r="L313" s="3">
        <f>IF(Table1[[#This Row],[RequiredDate]]&lt;Table1[[#This Row],[OrderDate]],Table1[[#This Row],[OrderDate]],Table1[[#This Row],[RequiredDate]])</f>
        <v>45101</v>
      </c>
      <c r="M313" s="3">
        <v>45099</v>
      </c>
      <c r="N313" t="s">
        <v>648</v>
      </c>
      <c r="O313" t="s">
        <v>653</v>
      </c>
      <c r="P313" t="s">
        <v>667</v>
      </c>
      <c r="Q313" t="s">
        <v>703</v>
      </c>
      <c r="R313" t="s">
        <v>707</v>
      </c>
      <c r="S313" t="s">
        <v>724</v>
      </c>
      <c r="T313" t="s">
        <v>733</v>
      </c>
      <c r="U313" t="s">
        <v>1045</v>
      </c>
      <c r="V313" s="8">
        <v>471.42</v>
      </c>
      <c r="W313" s="8">
        <v>824.81</v>
      </c>
      <c r="X313" s="8">
        <f t="shared" si="13"/>
        <v>815.10700000000008</v>
      </c>
      <c r="Y313" s="8">
        <f t="shared" si="14"/>
        <v>1620.05</v>
      </c>
      <c r="Z313" s="8" t="str">
        <f>IF(W312 &lt;= X311, "Low",IF(W312 &lt;= Y312, "Medium", "High"))</f>
        <v>Low</v>
      </c>
      <c r="AA313">
        <v>8.7999999999999995E-2</v>
      </c>
      <c r="AB313">
        <f>IF(Table1[[#This Row],[DiscountPct]]&gt;0.2,1,0)</f>
        <v>0</v>
      </c>
      <c r="AC313" s="6">
        <v>15</v>
      </c>
      <c r="AD313" s="8">
        <f>Table1[[#This Row],[UnitPrice]]*Table1[[#This Row],[Quantity]]</f>
        <v>12372.15</v>
      </c>
      <c r="AE313" s="8">
        <f>Table1[[#This Row],[UnitCost]]*Table1[[#This Row],[Quantity]]</f>
        <v>7071.3</v>
      </c>
      <c r="AF313" s="8">
        <f>Table1[[#This Row],[GrossRevenue]]-Table1[[#This Row],[CostOfGoods]]</f>
        <v>5300.8499999999995</v>
      </c>
      <c r="AG313" s="9">
        <f>IF(Table1[[#This Row],[GrossRevenue]]=0,0,Table1[[#This Row],[GrossProfit]]/Table1[[#This Row],[GrossRevenue]])</f>
        <v>0.42845018852826711</v>
      </c>
    </row>
    <row r="314" spans="1:33" x14ac:dyDescent="0.45">
      <c r="A314" t="s">
        <v>327</v>
      </c>
      <c r="B314">
        <v>1</v>
      </c>
      <c r="C314" s="3">
        <v>45600</v>
      </c>
      <c r="D314" s="6">
        <f>YEAR(Table1[[#This Row],[OrderDate]]) * 100 + MONTH(Table1[[#This Row],[OrderDate]])</f>
        <v>202411</v>
      </c>
      <c r="E314" s="6">
        <f>_xlfn.MINIFS(Table1[OrderMonthKey],Table1[Country],Table1[[#This Row],[Country]])</f>
        <v>202301</v>
      </c>
      <c r="F314" s="6">
        <f>Table1[[#This Row],[CountryFirstMonthKey]]</f>
        <v>202301</v>
      </c>
      <c r="G314" s="6">
        <f>12*(INT(Table1[[#This Row],[OrderMonthKey]]/100)-INT(Table1[[#This Row],[CohortMonthKey]]/100)) + (MOD(Table1[[#This Row],[OrderMonthKey]],100)-MOD(Table1[[#This Row],[CohortMonthKey]],100))</f>
        <v>22</v>
      </c>
      <c r="H314" s="3" t="str">
        <f>TEXT(Table1[[#This Row],[OrderDate]],"MMM-YYYY")</f>
        <v>Nov-2024</v>
      </c>
      <c r="I314" s="3" t="str">
        <f t="shared" si="12"/>
        <v>Q2-2023</v>
      </c>
      <c r="J314" s="26" t="str">
        <f>IF(Table1[[#This Row],[LeadTimeDays]]&lt;=7,"Yes","No")</f>
        <v>Yes</v>
      </c>
      <c r="K314" s="6">
        <f>_xlfn.DAYS(Table1[[#This Row],[CorrectedRequiredDate]],Table1[[#This Row],[OrderDate]])</f>
        <v>1</v>
      </c>
      <c r="L314" s="3">
        <f>IF(Table1[[#This Row],[RequiredDate]]&lt;Table1[[#This Row],[OrderDate]],Table1[[#This Row],[OrderDate]],Table1[[#This Row],[RequiredDate]])</f>
        <v>45601</v>
      </c>
      <c r="M314" s="3">
        <v>45601</v>
      </c>
      <c r="N314" t="s">
        <v>649</v>
      </c>
      <c r="O314" t="s">
        <v>658</v>
      </c>
      <c r="P314" t="s">
        <v>683</v>
      </c>
      <c r="Q314" t="s">
        <v>701</v>
      </c>
      <c r="R314" t="s">
        <v>707</v>
      </c>
      <c r="S314" t="s">
        <v>724</v>
      </c>
      <c r="T314" t="s">
        <v>728</v>
      </c>
      <c r="U314" t="s">
        <v>1046</v>
      </c>
      <c r="V314" s="8">
        <v>840.68</v>
      </c>
      <c r="W314" s="8">
        <v>1493.53</v>
      </c>
      <c r="X314" s="8">
        <f t="shared" si="13"/>
        <v>815.10700000000008</v>
      </c>
      <c r="Y314" s="8">
        <f t="shared" si="14"/>
        <v>1620.05</v>
      </c>
      <c r="Z314" s="8" t="str">
        <f>IF(W313 &lt;= X312, "Low",IF(W313 &lt;= Y313, "Medium", "High"))</f>
        <v>Medium</v>
      </c>
      <c r="AA314">
        <v>0</v>
      </c>
      <c r="AB314">
        <f>IF(Table1[[#This Row],[DiscountPct]]&gt;0.2,1,0)</f>
        <v>0</v>
      </c>
      <c r="AC314" s="6">
        <v>27</v>
      </c>
      <c r="AD314" s="8">
        <f>Table1[[#This Row],[UnitPrice]]*Table1[[#This Row],[Quantity]]</f>
        <v>40325.31</v>
      </c>
      <c r="AE314" s="8">
        <f>Table1[[#This Row],[UnitCost]]*Table1[[#This Row],[Quantity]]</f>
        <v>22698.359999999997</v>
      </c>
      <c r="AF314" s="8">
        <f>Table1[[#This Row],[GrossRevenue]]-Table1[[#This Row],[CostOfGoods]]</f>
        <v>17626.95</v>
      </c>
      <c r="AG314" s="9">
        <f>IF(Table1[[#This Row],[GrossRevenue]]=0,0,Table1[[#This Row],[GrossProfit]]/Table1[[#This Row],[GrossRevenue]])</f>
        <v>0.43711877230454027</v>
      </c>
    </row>
    <row r="315" spans="1:33" hidden="1" x14ac:dyDescent="0.45">
      <c r="A315" t="s">
        <v>328</v>
      </c>
      <c r="C315" s="3">
        <v>45451</v>
      </c>
      <c r="D315" s="3">
        <f>YEAR(Table1[[#This Row],[OrderDate]]) * 100 + MONTH(Table1[[#This Row],[OrderDate]])</f>
        <v>202406</v>
      </c>
      <c r="E315" s="3">
        <f>_xlfn.MINIFS(Table1[OrderMonthKey],Table1[Country],Table1[[#This Row],[Country]])</f>
        <v>202301</v>
      </c>
      <c r="F315" s="3">
        <f>Table1[[#This Row],[CountryFirstMonthKey]]</f>
        <v>202301</v>
      </c>
      <c r="G315" s="3">
        <f>12*(INT(Table1[[#This Row],[OrderMonthKey]]/100)-INT(Table1[[#This Row],[CohortMonthKey]]/100)) + (MOD(Table1[[#This Row],[OrderMonthKey]],100)-MOD(Table1[[#This Row],[CohortMonthKey]],100))</f>
        <v>17</v>
      </c>
      <c r="H315" s="3" t="str">
        <f>TEXT(Table1[[#This Row],[OrderDate]],"MMM-YYYY")</f>
        <v>Jun-2024</v>
      </c>
      <c r="I315" s="3" t="str">
        <f t="shared" si="12"/>
        <v>Q4-2024</v>
      </c>
      <c r="J315" s="3" t="str">
        <f>IF(Table1[[#This Row],[LeadTimeDays]]&lt;=7,"Yes","No")</f>
        <v>No</v>
      </c>
      <c r="K315" s="3">
        <f>_xlfn.DAYS(Table1[[#This Row],[CorrectedRequiredDate]],Table1[[#This Row],[OrderDate]])</f>
        <v>16</v>
      </c>
      <c r="L315" s="3">
        <f>IF(Table1[[#This Row],[RequiredDate]]&lt;Table1[[#This Row],[OrderDate]],Table1[[#This Row],[OrderDate]],Table1[[#This Row],[RequiredDate]])</f>
        <v>45467</v>
      </c>
      <c r="M315" s="3">
        <v>45467</v>
      </c>
      <c r="N315" t="s">
        <v>646</v>
      </c>
      <c r="O315" t="s">
        <v>661</v>
      </c>
      <c r="P315" t="s">
        <v>687</v>
      </c>
      <c r="Q315" t="s">
        <v>702</v>
      </c>
      <c r="R315" t="s">
        <v>710</v>
      </c>
      <c r="S315" t="s">
        <v>722</v>
      </c>
      <c r="T315" t="s">
        <v>732</v>
      </c>
      <c r="U315" t="s">
        <v>1047</v>
      </c>
      <c r="V315" s="8">
        <v>597.85</v>
      </c>
      <c r="W315" s="8">
        <v>741.92</v>
      </c>
      <c r="X315" s="8">
        <f t="shared" si="13"/>
        <v>815.10700000000008</v>
      </c>
      <c r="Y315" s="8">
        <f t="shared" si="14"/>
        <v>1620.05</v>
      </c>
      <c r="AA315">
        <v>3.1E-2</v>
      </c>
      <c r="AB315">
        <f>IF(Table1[[#This Row],[DiscountPct]]&gt;0.2,1,0)</f>
        <v>0</v>
      </c>
      <c r="AC315" s="6">
        <v>7</v>
      </c>
      <c r="AD315" s="8">
        <f>Table1[[#This Row],[UnitPrice]]*Table1[[#This Row],[Quantity]]</f>
        <v>5193.4399999999996</v>
      </c>
      <c r="AE315" s="8">
        <f>Table1[[#This Row],[UnitCost]]*Table1[[#This Row],[Quantity]]</f>
        <v>4184.95</v>
      </c>
      <c r="AF315" s="8">
        <f>Table1[[#This Row],[GrossRevenue]]-Table1[[#This Row],[CostOfGoods]]</f>
        <v>1008.4899999999998</v>
      </c>
      <c r="AG315" s="8">
        <f>IF(Table1[[#This Row],[GrossRevenue]]=0,0,Table1[[#This Row],[GrossProfit]]/Table1[[#This Row],[GrossRevenue]])</f>
        <v>0.19418535691179639</v>
      </c>
    </row>
    <row r="316" spans="1:33" hidden="1" x14ac:dyDescent="0.45">
      <c r="A316" t="s">
        <v>329</v>
      </c>
      <c r="C316" s="3">
        <v>45809</v>
      </c>
      <c r="D316" s="3">
        <f>YEAR(Table1[[#This Row],[OrderDate]]) * 100 + MONTH(Table1[[#This Row],[OrderDate]])</f>
        <v>202506</v>
      </c>
      <c r="E316" s="3">
        <f>_xlfn.MINIFS(Table1[OrderMonthKey],Table1[Country],Table1[[#This Row],[Country]])</f>
        <v>202301</v>
      </c>
      <c r="F316" s="3">
        <f>Table1[[#This Row],[CountryFirstMonthKey]]</f>
        <v>202301</v>
      </c>
      <c r="G316" s="3">
        <f>12*(INT(Table1[[#This Row],[OrderMonthKey]]/100)-INT(Table1[[#This Row],[CohortMonthKey]]/100)) + (MOD(Table1[[#This Row],[OrderMonthKey]],100)-MOD(Table1[[#This Row],[CohortMonthKey]],100))</f>
        <v>29</v>
      </c>
      <c r="H316" s="3" t="str">
        <f>TEXT(Table1[[#This Row],[OrderDate]],"MMM-YYYY")</f>
        <v>Jun-2025</v>
      </c>
      <c r="I316" s="3" t="str">
        <f t="shared" si="12"/>
        <v>Q2-2024</v>
      </c>
      <c r="J316" s="3" t="str">
        <f>IF(Table1[[#This Row],[LeadTimeDays]]&lt;=7,"Yes","No")</f>
        <v>Yes</v>
      </c>
      <c r="K316" s="3">
        <f>_xlfn.DAYS(Table1[[#This Row],[CorrectedRequiredDate]],Table1[[#This Row],[OrderDate]])</f>
        <v>5</v>
      </c>
      <c r="L316" s="3">
        <f>IF(Table1[[#This Row],[RequiredDate]]&lt;Table1[[#This Row],[OrderDate]],Table1[[#This Row],[OrderDate]],Table1[[#This Row],[RequiredDate]])</f>
        <v>45814</v>
      </c>
      <c r="M316" s="3">
        <v>45814</v>
      </c>
      <c r="N316" t="s">
        <v>649</v>
      </c>
      <c r="O316" t="s">
        <v>657</v>
      </c>
      <c r="P316" t="s">
        <v>690</v>
      </c>
      <c r="Q316" t="s">
        <v>704</v>
      </c>
      <c r="R316" t="s">
        <v>710</v>
      </c>
      <c r="S316" t="s">
        <v>715</v>
      </c>
      <c r="T316" t="s">
        <v>727</v>
      </c>
      <c r="U316" t="s">
        <v>1048</v>
      </c>
      <c r="V316" s="8">
        <v>379.45</v>
      </c>
      <c r="W316" s="8">
        <v>742.23</v>
      </c>
      <c r="X316" s="8">
        <f t="shared" si="13"/>
        <v>815.10700000000008</v>
      </c>
      <c r="Y316" s="8">
        <f t="shared" si="14"/>
        <v>1620.05</v>
      </c>
      <c r="AA316">
        <v>0.09</v>
      </c>
      <c r="AB316">
        <f>IF(Table1[[#This Row],[DiscountPct]]&gt;0.2,1,0)</f>
        <v>0</v>
      </c>
      <c r="AC316" s="6">
        <v>13</v>
      </c>
      <c r="AD316" s="8">
        <f>Table1[[#This Row],[UnitPrice]]*Table1[[#This Row],[Quantity]]</f>
        <v>9648.99</v>
      </c>
      <c r="AE316" s="8">
        <f>Table1[[#This Row],[UnitCost]]*Table1[[#This Row],[Quantity]]</f>
        <v>4932.8499999999995</v>
      </c>
      <c r="AF316" s="8">
        <f>Table1[[#This Row],[GrossRevenue]]-Table1[[#This Row],[CostOfGoods]]</f>
        <v>4716.1400000000003</v>
      </c>
      <c r="AG316" s="8">
        <f>IF(Table1[[#This Row],[GrossRevenue]]=0,0,Table1[[#This Row],[GrossProfit]]/Table1[[#This Row],[GrossRevenue]])</f>
        <v>0.48877032725704972</v>
      </c>
    </row>
    <row r="317" spans="1:33" hidden="1" x14ac:dyDescent="0.45">
      <c r="A317" t="s">
        <v>330</v>
      </c>
      <c r="C317" s="3">
        <v>45052</v>
      </c>
      <c r="D317" s="3">
        <f>YEAR(Table1[[#This Row],[OrderDate]]) * 100 + MONTH(Table1[[#This Row],[OrderDate]])</f>
        <v>202305</v>
      </c>
      <c r="E317" s="3">
        <f>_xlfn.MINIFS(Table1[OrderMonthKey],Table1[Country],Table1[[#This Row],[Country]])</f>
        <v>202303</v>
      </c>
      <c r="F317" s="3">
        <f>Table1[[#This Row],[CountryFirstMonthKey]]</f>
        <v>202303</v>
      </c>
      <c r="G317" s="3">
        <f>12*(INT(Table1[[#This Row],[OrderMonthKey]]/100)-INT(Table1[[#This Row],[CohortMonthKey]]/100)) + (MOD(Table1[[#This Row],[OrderMonthKey]],100)-MOD(Table1[[#This Row],[CohortMonthKey]],100))</f>
        <v>2</v>
      </c>
      <c r="H317" s="3" t="str">
        <f>TEXT(Table1[[#This Row],[OrderDate]],"MMM-YYYY")</f>
        <v>May-2023</v>
      </c>
      <c r="I317" s="3" t="str">
        <f t="shared" si="12"/>
        <v>Q2-2025</v>
      </c>
      <c r="J317" s="3" t="str">
        <f>IF(Table1[[#This Row],[LeadTimeDays]]&lt;=7,"Yes","No")</f>
        <v>No</v>
      </c>
      <c r="K317" s="3">
        <f>_xlfn.DAYS(Table1[[#This Row],[CorrectedRequiredDate]],Table1[[#This Row],[OrderDate]])</f>
        <v>8</v>
      </c>
      <c r="L317" s="3">
        <f>IF(Table1[[#This Row],[RequiredDate]]&lt;Table1[[#This Row],[OrderDate]],Table1[[#This Row],[OrderDate]],Table1[[#This Row],[RequiredDate]])</f>
        <v>45060</v>
      </c>
      <c r="M317" s="3">
        <v>45060</v>
      </c>
      <c r="N317" t="s">
        <v>647</v>
      </c>
      <c r="O317" t="s">
        <v>652</v>
      </c>
      <c r="P317" t="s">
        <v>666</v>
      </c>
      <c r="Q317" t="s">
        <v>706</v>
      </c>
      <c r="R317" t="s">
        <v>709</v>
      </c>
      <c r="S317" t="s">
        <v>717</v>
      </c>
      <c r="T317" t="s">
        <v>730</v>
      </c>
      <c r="U317" t="s">
        <v>1049</v>
      </c>
      <c r="V317" s="8">
        <v>291.18</v>
      </c>
      <c r="W317" s="8">
        <v>479.54</v>
      </c>
      <c r="X317" s="8">
        <f t="shared" si="13"/>
        <v>815.10700000000008</v>
      </c>
      <c r="Y317" s="8">
        <f t="shared" si="14"/>
        <v>1620.05</v>
      </c>
      <c r="AA317">
        <v>0.14099999999999999</v>
      </c>
      <c r="AB317">
        <f>IF(Table1[[#This Row],[DiscountPct]]&gt;0.2,1,0)</f>
        <v>0</v>
      </c>
      <c r="AC317" s="6">
        <v>22</v>
      </c>
      <c r="AD317" s="8">
        <f>Table1[[#This Row],[UnitPrice]]*Table1[[#This Row],[Quantity]]</f>
        <v>10549.880000000001</v>
      </c>
      <c r="AE317" s="8">
        <f>Table1[[#This Row],[UnitCost]]*Table1[[#This Row],[Quantity]]</f>
        <v>6405.96</v>
      </c>
      <c r="AF317" s="8">
        <f>Table1[[#This Row],[GrossRevenue]]-Table1[[#This Row],[CostOfGoods]]</f>
        <v>4143.920000000001</v>
      </c>
      <c r="AG317" s="8">
        <f>IF(Table1[[#This Row],[GrossRevenue]]=0,0,Table1[[#This Row],[GrossProfit]]/Table1[[#This Row],[GrossRevenue]])</f>
        <v>0.39279309338115698</v>
      </c>
    </row>
    <row r="318" spans="1:33" x14ac:dyDescent="0.45">
      <c r="A318" t="s">
        <v>331</v>
      </c>
      <c r="B318">
        <v>1</v>
      </c>
      <c r="C318" s="3">
        <v>45244</v>
      </c>
      <c r="D318" s="6">
        <f>YEAR(Table1[[#This Row],[OrderDate]]) * 100 + MONTH(Table1[[#This Row],[OrderDate]])</f>
        <v>202311</v>
      </c>
      <c r="E318" s="6">
        <f>_xlfn.MINIFS(Table1[OrderMonthKey],Table1[Country],Table1[[#This Row],[Country]])</f>
        <v>202301</v>
      </c>
      <c r="F318" s="6">
        <f>Table1[[#This Row],[CountryFirstMonthKey]]</f>
        <v>202301</v>
      </c>
      <c r="G318" s="6">
        <f>12*(INT(Table1[[#This Row],[OrderMonthKey]]/100)-INT(Table1[[#This Row],[CohortMonthKey]]/100)) + (MOD(Table1[[#This Row],[OrderMonthKey]],100)-MOD(Table1[[#This Row],[CohortMonthKey]],100))</f>
        <v>10</v>
      </c>
      <c r="H318" s="3" t="str">
        <f>TEXT(Table1[[#This Row],[OrderDate]],"MMM-YYYY")</f>
        <v>Nov-2023</v>
      </c>
      <c r="I318" s="3" t="str">
        <f t="shared" si="12"/>
        <v>Q2-2023</v>
      </c>
      <c r="J318" s="26" t="str">
        <f>IF(Table1[[#This Row],[LeadTimeDays]]&lt;=7,"Yes","No")</f>
        <v>No</v>
      </c>
      <c r="K318" s="6">
        <f>_xlfn.DAYS(Table1[[#This Row],[CorrectedRequiredDate]],Table1[[#This Row],[OrderDate]])</f>
        <v>16</v>
      </c>
      <c r="L318" s="3">
        <f>IF(Table1[[#This Row],[RequiredDate]]&lt;Table1[[#This Row],[OrderDate]],Table1[[#This Row],[OrderDate]],Table1[[#This Row],[RequiredDate]])</f>
        <v>45260</v>
      </c>
      <c r="M318" s="3">
        <v>45260</v>
      </c>
      <c r="N318" t="s">
        <v>648</v>
      </c>
      <c r="O318" t="s">
        <v>655</v>
      </c>
      <c r="P318" t="s">
        <v>670</v>
      </c>
      <c r="Q318" t="s">
        <v>706</v>
      </c>
      <c r="R318" t="s">
        <v>711</v>
      </c>
      <c r="S318" t="s">
        <v>723</v>
      </c>
      <c r="T318" t="s">
        <v>729</v>
      </c>
      <c r="U318" t="s">
        <v>1050</v>
      </c>
      <c r="V318" s="8">
        <v>1017.92</v>
      </c>
      <c r="W318" s="8">
        <v>1175.25</v>
      </c>
      <c r="X318" s="8">
        <f t="shared" si="13"/>
        <v>815.10700000000008</v>
      </c>
      <c r="Y318" s="8">
        <f t="shared" si="14"/>
        <v>1620.05</v>
      </c>
      <c r="Z318" s="8" t="str">
        <f>IF(W317 &lt;= X316, "Low",IF(W317 &lt;= Y317, "Medium", "High"))</f>
        <v>Low</v>
      </c>
      <c r="AA318">
        <v>7.4999999999999997E-2</v>
      </c>
      <c r="AB318">
        <f>IF(Table1[[#This Row],[DiscountPct]]&gt;0.2,1,0)</f>
        <v>0</v>
      </c>
      <c r="AC318" s="6">
        <v>15</v>
      </c>
      <c r="AD318" s="8">
        <f>Table1[[#This Row],[UnitPrice]]*Table1[[#This Row],[Quantity]]</f>
        <v>17628.75</v>
      </c>
      <c r="AE318" s="8">
        <f>Table1[[#This Row],[UnitCost]]*Table1[[#This Row],[Quantity]]</f>
        <v>15268.8</v>
      </c>
      <c r="AF318" s="8">
        <f>Table1[[#This Row],[GrossRevenue]]-Table1[[#This Row],[CostOfGoods]]</f>
        <v>2359.9500000000007</v>
      </c>
      <c r="AG318" s="9">
        <f>IF(Table1[[#This Row],[GrossRevenue]]=0,0,Table1[[#This Row],[GrossProfit]]/Table1[[#This Row],[GrossRevenue]])</f>
        <v>0.13386938949159757</v>
      </c>
    </row>
    <row r="319" spans="1:33" hidden="1" x14ac:dyDescent="0.45">
      <c r="A319" t="s">
        <v>332</v>
      </c>
      <c r="C319" s="3">
        <v>45748</v>
      </c>
      <c r="D319" s="3">
        <f>YEAR(Table1[[#This Row],[OrderDate]]) * 100 + MONTH(Table1[[#This Row],[OrderDate]])</f>
        <v>202504</v>
      </c>
      <c r="E319" s="3">
        <f>_xlfn.MINIFS(Table1[OrderMonthKey],Table1[Country],Table1[[#This Row],[Country]])</f>
        <v>202301</v>
      </c>
      <c r="F319" s="3">
        <f>Table1[[#This Row],[CountryFirstMonthKey]]</f>
        <v>202301</v>
      </c>
      <c r="G319" s="3">
        <f>12*(INT(Table1[[#This Row],[OrderMonthKey]]/100)-INT(Table1[[#This Row],[CohortMonthKey]]/100)) + (MOD(Table1[[#This Row],[OrderMonthKey]],100)-MOD(Table1[[#This Row],[CohortMonthKey]],100))</f>
        <v>27</v>
      </c>
      <c r="H319" s="3" t="str">
        <f>TEXT(Table1[[#This Row],[OrderDate]],"MMM-YYYY")</f>
        <v>Apr-2025</v>
      </c>
      <c r="I319" s="3" t="str">
        <f t="shared" si="12"/>
        <v>Q4-2023</v>
      </c>
      <c r="J319" s="3" t="str">
        <f>IF(Table1[[#This Row],[LeadTimeDays]]&lt;=7,"Yes","No")</f>
        <v>No</v>
      </c>
      <c r="K319" s="3">
        <f>_xlfn.DAYS(Table1[[#This Row],[CorrectedRequiredDate]],Table1[[#This Row],[OrderDate]])</f>
        <v>26</v>
      </c>
      <c r="L319" s="3">
        <f>IF(Table1[[#This Row],[RequiredDate]]&lt;Table1[[#This Row],[OrderDate]],Table1[[#This Row],[OrderDate]],Table1[[#This Row],[RequiredDate]])</f>
        <v>45774</v>
      </c>
      <c r="M319" s="3">
        <v>45774</v>
      </c>
      <c r="N319" t="s">
        <v>648</v>
      </c>
      <c r="O319" t="s">
        <v>660</v>
      </c>
      <c r="P319" t="s">
        <v>686</v>
      </c>
      <c r="Q319" t="s">
        <v>701</v>
      </c>
      <c r="R319" t="s">
        <v>711</v>
      </c>
      <c r="S319" t="s">
        <v>714</v>
      </c>
      <c r="T319" t="s">
        <v>732</v>
      </c>
      <c r="U319" t="s">
        <v>1051</v>
      </c>
      <c r="V319" s="8">
        <v>156.55000000000001</v>
      </c>
      <c r="W319" s="8">
        <v>227.45</v>
      </c>
      <c r="X319" s="8">
        <f t="shared" si="13"/>
        <v>815.10700000000008</v>
      </c>
      <c r="Y319" s="8">
        <f t="shared" si="14"/>
        <v>1620.05</v>
      </c>
      <c r="AA319">
        <v>1.4E-2</v>
      </c>
      <c r="AB319">
        <f>IF(Table1[[#This Row],[DiscountPct]]&gt;0.2,1,0)</f>
        <v>0</v>
      </c>
      <c r="AC319" s="6">
        <v>13</v>
      </c>
      <c r="AD319" s="8">
        <f>Table1[[#This Row],[UnitPrice]]*Table1[[#This Row],[Quantity]]</f>
        <v>2956.85</v>
      </c>
      <c r="AE319" s="8">
        <f>Table1[[#This Row],[UnitCost]]*Table1[[#This Row],[Quantity]]</f>
        <v>2035.15</v>
      </c>
      <c r="AF319" s="8">
        <f>Table1[[#This Row],[GrossRevenue]]-Table1[[#This Row],[CostOfGoods]]</f>
        <v>921.69999999999982</v>
      </c>
      <c r="AG319" s="8">
        <f>IF(Table1[[#This Row],[GrossRevenue]]=0,0,Table1[[#This Row],[GrossProfit]]/Table1[[#This Row],[GrossRevenue]])</f>
        <v>0.31171686084853811</v>
      </c>
    </row>
    <row r="320" spans="1:33" hidden="1" x14ac:dyDescent="0.45">
      <c r="A320" t="s">
        <v>333</v>
      </c>
      <c r="C320" s="3">
        <v>45008</v>
      </c>
      <c r="D320" s="3">
        <f>YEAR(Table1[[#This Row],[OrderDate]]) * 100 + MONTH(Table1[[#This Row],[OrderDate]])</f>
        <v>202303</v>
      </c>
      <c r="E320" s="3">
        <f>_xlfn.MINIFS(Table1[OrderMonthKey],Table1[Country],Table1[[#This Row],[Country]])</f>
        <v>202301</v>
      </c>
      <c r="F320" s="3">
        <f>Table1[[#This Row],[CountryFirstMonthKey]]</f>
        <v>202301</v>
      </c>
      <c r="G320" s="3">
        <f>12*(INT(Table1[[#This Row],[OrderMonthKey]]/100)-INT(Table1[[#This Row],[CohortMonthKey]]/100)) + (MOD(Table1[[#This Row],[OrderMonthKey]],100)-MOD(Table1[[#This Row],[CohortMonthKey]],100))</f>
        <v>2</v>
      </c>
      <c r="H320" s="3" t="str">
        <f>TEXT(Table1[[#This Row],[OrderDate]],"MMM-YYYY")</f>
        <v>Mar-2023</v>
      </c>
      <c r="I320" s="3" t="str">
        <f t="shared" si="12"/>
        <v>Q2-2025</v>
      </c>
      <c r="J320" s="3" t="str">
        <f>IF(Table1[[#This Row],[LeadTimeDays]]&lt;=7,"Yes","No")</f>
        <v>No</v>
      </c>
      <c r="K320" s="3">
        <f>_xlfn.DAYS(Table1[[#This Row],[CorrectedRequiredDate]],Table1[[#This Row],[OrderDate]])</f>
        <v>23</v>
      </c>
      <c r="L320" s="3">
        <f>IF(Table1[[#This Row],[RequiredDate]]&lt;Table1[[#This Row],[OrderDate]],Table1[[#This Row],[OrderDate]],Table1[[#This Row],[RequiredDate]])</f>
        <v>45031</v>
      </c>
      <c r="M320" s="3">
        <v>45031</v>
      </c>
      <c r="N320" t="s">
        <v>646</v>
      </c>
      <c r="O320" t="s">
        <v>650</v>
      </c>
      <c r="P320" t="s">
        <v>675</v>
      </c>
      <c r="Q320" t="s">
        <v>705</v>
      </c>
      <c r="R320" t="s">
        <v>707</v>
      </c>
      <c r="S320" t="s">
        <v>712</v>
      </c>
      <c r="T320" t="s">
        <v>733</v>
      </c>
      <c r="U320" t="s">
        <v>1052</v>
      </c>
      <c r="V320" s="8">
        <v>875.36</v>
      </c>
      <c r="W320" s="8">
        <v>1178.6199999999999</v>
      </c>
      <c r="X320" s="8">
        <f t="shared" si="13"/>
        <v>815.10700000000008</v>
      </c>
      <c r="Y320" s="8">
        <f t="shared" si="14"/>
        <v>1620.05</v>
      </c>
      <c r="AA320">
        <v>0.151</v>
      </c>
      <c r="AB320">
        <f>IF(Table1[[#This Row],[DiscountPct]]&gt;0.2,1,0)</f>
        <v>0</v>
      </c>
      <c r="AC320" s="6">
        <v>53</v>
      </c>
      <c r="AD320" s="8">
        <f>Table1[[#This Row],[UnitPrice]]*Table1[[#This Row],[Quantity]]</f>
        <v>62466.859999999993</v>
      </c>
      <c r="AE320" s="8">
        <f>Table1[[#This Row],[UnitCost]]*Table1[[#This Row],[Quantity]]</f>
        <v>46394.080000000002</v>
      </c>
      <c r="AF320" s="8">
        <f>Table1[[#This Row],[GrossRevenue]]-Table1[[#This Row],[CostOfGoods]]</f>
        <v>16072.779999999992</v>
      </c>
      <c r="AG320" s="8">
        <f>IF(Table1[[#This Row],[GrossRevenue]]=0,0,Table1[[#This Row],[GrossProfit]]/Table1[[#This Row],[GrossRevenue]])</f>
        <v>0.25730091123517324</v>
      </c>
    </row>
    <row r="321" spans="1:33" hidden="1" x14ac:dyDescent="0.45">
      <c r="A321" t="s">
        <v>334</v>
      </c>
      <c r="C321" s="3">
        <v>45440</v>
      </c>
      <c r="D321" s="3">
        <f>YEAR(Table1[[#This Row],[OrderDate]]) * 100 + MONTH(Table1[[#This Row],[OrderDate]])</f>
        <v>202405</v>
      </c>
      <c r="E321" s="3">
        <f>_xlfn.MINIFS(Table1[OrderMonthKey],Table1[Country],Table1[[#This Row],[Country]])</f>
        <v>202301</v>
      </c>
      <c r="F321" s="3">
        <f>Table1[[#This Row],[CountryFirstMonthKey]]</f>
        <v>202301</v>
      </c>
      <c r="G321" s="3">
        <f>12*(INT(Table1[[#This Row],[OrderMonthKey]]/100)-INT(Table1[[#This Row],[CohortMonthKey]]/100)) + (MOD(Table1[[#This Row],[OrderMonthKey]],100)-MOD(Table1[[#This Row],[CohortMonthKey]],100))</f>
        <v>16</v>
      </c>
      <c r="H321" s="3" t="str">
        <f>TEXT(Table1[[#This Row],[OrderDate]],"MMM-YYYY")</f>
        <v>May-2024</v>
      </c>
      <c r="I321" s="3" t="str">
        <f t="shared" si="12"/>
        <v>Q1-2023</v>
      </c>
      <c r="J321" s="3" t="str">
        <f>IF(Table1[[#This Row],[LeadTimeDays]]&lt;=7,"Yes","No")</f>
        <v>No</v>
      </c>
      <c r="K321" s="3">
        <f>_xlfn.DAYS(Table1[[#This Row],[CorrectedRequiredDate]],Table1[[#This Row],[OrderDate]])</f>
        <v>21</v>
      </c>
      <c r="L321" s="3">
        <f>IF(Table1[[#This Row],[RequiredDate]]&lt;Table1[[#This Row],[OrderDate]],Table1[[#This Row],[OrderDate]],Table1[[#This Row],[RequiredDate]])</f>
        <v>45461</v>
      </c>
      <c r="M321" s="3">
        <v>45461</v>
      </c>
      <c r="N321" t="s">
        <v>649</v>
      </c>
      <c r="O321" t="s">
        <v>656</v>
      </c>
      <c r="P321" t="s">
        <v>698</v>
      </c>
      <c r="Q321" t="s">
        <v>705</v>
      </c>
      <c r="R321" t="s">
        <v>708</v>
      </c>
      <c r="S321" t="s">
        <v>718</v>
      </c>
      <c r="T321" t="s">
        <v>730</v>
      </c>
      <c r="U321" t="s">
        <v>1053</v>
      </c>
      <c r="V321" s="8">
        <v>986.85</v>
      </c>
      <c r="W321" s="8">
        <v>2422.1</v>
      </c>
      <c r="X321" s="8">
        <f t="shared" si="13"/>
        <v>815.10700000000008</v>
      </c>
      <c r="Y321" s="8">
        <f t="shared" si="14"/>
        <v>1620.05</v>
      </c>
      <c r="AA321">
        <v>7.5999999999999998E-2</v>
      </c>
      <c r="AB321">
        <f>IF(Table1[[#This Row],[DiscountPct]]&gt;0.2,1,0)</f>
        <v>0</v>
      </c>
      <c r="AC321" s="6">
        <v>10</v>
      </c>
      <c r="AD321" s="8">
        <f>Table1[[#This Row],[UnitPrice]]*Table1[[#This Row],[Quantity]]</f>
        <v>24221</v>
      </c>
      <c r="AE321" s="8">
        <f>Table1[[#This Row],[UnitCost]]*Table1[[#This Row],[Quantity]]</f>
        <v>9868.5</v>
      </c>
      <c r="AF321" s="8">
        <f>Table1[[#This Row],[GrossRevenue]]-Table1[[#This Row],[CostOfGoods]]</f>
        <v>14352.5</v>
      </c>
      <c r="AG321" s="8">
        <f>IF(Table1[[#This Row],[GrossRevenue]]=0,0,Table1[[#This Row],[GrossProfit]]/Table1[[#This Row],[GrossRevenue]])</f>
        <v>0.59256430370339785</v>
      </c>
    </row>
    <row r="322" spans="1:33" hidden="1" x14ac:dyDescent="0.45">
      <c r="A322" t="s">
        <v>335</v>
      </c>
      <c r="C322" s="3">
        <v>45293</v>
      </c>
      <c r="D322" s="3">
        <f>YEAR(Table1[[#This Row],[OrderDate]]) * 100 + MONTH(Table1[[#This Row],[OrderDate]])</f>
        <v>202401</v>
      </c>
      <c r="E322" s="3">
        <f>_xlfn.MINIFS(Table1[OrderMonthKey],Table1[Country],Table1[[#This Row],[Country]])</f>
        <v>202301</v>
      </c>
      <c r="F322" s="3">
        <f>Table1[[#This Row],[CountryFirstMonthKey]]</f>
        <v>202301</v>
      </c>
      <c r="G322" s="3">
        <f>12*(INT(Table1[[#This Row],[OrderMonthKey]]/100)-INT(Table1[[#This Row],[CohortMonthKey]]/100)) + (MOD(Table1[[#This Row],[OrderMonthKey]],100)-MOD(Table1[[#This Row],[CohortMonthKey]],100))</f>
        <v>12</v>
      </c>
      <c r="H322" s="3" t="str">
        <f>TEXT(Table1[[#This Row],[OrderDate]],"MMM-YYYY")</f>
        <v>Jan-2024</v>
      </c>
      <c r="I322" s="3" t="str">
        <f t="shared" ref="I322:I385" si="15">"Q" &amp; ROUNDUP(MONTH(C321)/3,0) &amp; "-" &amp; YEAR(C321)</f>
        <v>Q2-2024</v>
      </c>
      <c r="J322" s="3" t="str">
        <f>IF(Table1[[#This Row],[LeadTimeDays]]&lt;=7,"Yes","No")</f>
        <v>Yes</v>
      </c>
      <c r="K322" s="3">
        <f>_xlfn.DAYS(Table1[[#This Row],[CorrectedRequiredDate]],Table1[[#This Row],[OrderDate]])</f>
        <v>0</v>
      </c>
      <c r="L322" s="3">
        <f>IF(Table1[[#This Row],[RequiredDate]]&lt;Table1[[#This Row],[OrderDate]],Table1[[#This Row],[OrderDate]],Table1[[#This Row],[RequiredDate]])</f>
        <v>45293</v>
      </c>
      <c r="M322" s="3">
        <v>45292</v>
      </c>
      <c r="N322" t="s">
        <v>648</v>
      </c>
      <c r="O322" t="s">
        <v>660</v>
      </c>
      <c r="P322" t="s">
        <v>677</v>
      </c>
      <c r="Q322" t="s">
        <v>702</v>
      </c>
      <c r="R322" t="s">
        <v>709</v>
      </c>
      <c r="S322" t="s">
        <v>717</v>
      </c>
      <c r="T322" t="s">
        <v>729</v>
      </c>
      <c r="U322" t="s">
        <v>1054</v>
      </c>
      <c r="V322" s="8">
        <v>404.77</v>
      </c>
      <c r="W322" s="8">
        <v>433.88</v>
      </c>
      <c r="X322" s="8">
        <f t="shared" ref="X322:X385" si="16">_xlfn.PERCENTILE.INC(W:W, 0.33)</f>
        <v>815.10700000000008</v>
      </c>
      <c r="Y322" s="8">
        <f t="shared" ref="Y322:Y385" si="17">_xlfn.PERCENTILE.INC(W:W, 0.66)</f>
        <v>1620.05</v>
      </c>
      <c r="AA322">
        <v>0.215</v>
      </c>
      <c r="AB322">
        <f>IF(Table1[[#This Row],[DiscountPct]]&gt;0.2,1,0)</f>
        <v>1</v>
      </c>
      <c r="AC322" s="6">
        <v>22</v>
      </c>
      <c r="AD322" s="8">
        <f>Table1[[#This Row],[UnitPrice]]*Table1[[#This Row],[Quantity]]</f>
        <v>9545.36</v>
      </c>
      <c r="AE322" s="8">
        <f>Table1[[#This Row],[UnitCost]]*Table1[[#This Row],[Quantity]]</f>
        <v>8904.9399999999987</v>
      </c>
      <c r="AF322" s="8">
        <f>Table1[[#This Row],[GrossRevenue]]-Table1[[#This Row],[CostOfGoods]]</f>
        <v>640.42000000000189</v>
      </c>
      <c r="AG322" s="8">
        <f>IF(Table1[[#This Row],[GrossRevenue]]=0,0,Table1[[#This Row],[GrossProfit]]/Table1[[#This Row],[GrossRevenue]])</f>
        <v>6.7092283580713757E-2</v>
      </c>
    </row>
    <row r="323" spans="1:33" hidden="1" x14ac:dyDescent="0.45">
      <c r="A323" t="s">
        <v>336</v>
      </c>
      <c r="C323" s="3">
        <v>44985</v>
      </c>
      <c r="D323" s="3">
        <f>YEAR(Table1[[#This Row],[OrderDate]]) * 100 + MONTH(Table1[[#This Row],[OrderDate]])</f>
        <v>202302</v>
      </c>
      <c r="E323" s="3">
        <f>_xlfn.MINIFS(Table1[OrderMonthKey],Table1[Country],Table1[[#This Row],[Country]])</f>
        <v>202301</v>
      </c>
      <c r="F323" s="3">
        <f>Table1[[#This Row],[CountryFirstMonthKey]]</f>
        <v>202301</v>
      </c>
      <c r="G323" s="3">
        <f>12*(INT(Table1[[#This Row],[OrderMonthKey]]/100)-INT(Table1[[#This Row],[CohortMonthKey]]/100)) + (MOD(Table1[[#This Row],[OrderMonthKey]],100)-MOD(Table1[[#This Row],[CohortMonthKey]],100))</f>
        <v>1</v>
      </c>
      <c r="H323" s="3" t="str">
        <f>TEXT(Table1[[#This Row],[OrderDate]],"MMM-YYYY")</f>
        <v>Feb-2023</v>
      </c>
      <c r="I323" s="3" t="str">
        <f t="shared" si="15"/>
        <v>Q1-2024</v>
      </c>
      <c r="J323" s="3" t="str">
        <f>IF(Table1[[#This Row],[LeadTimeDays]]&lt;=7,"Yes","No")</f>
        <v>Yes</v>
      </c>
      <c r="K323" s="3">
        <f>_xlfn.DAYS(Table1[[#This Row],[CorrectedRequiredDate]],Table1[[#This Row],[OrderDate]])</f>
        <v>0</v>
      </c>
      <c r="L323" s="3">
        <f>IF(Table1[[#This Row],[RequiredDate]]&lt;Table1[[#This Row],[OrderDate]],Table1[[#This Row],[OrderDate]],Table1[[#This Row],[RequiredDate]])</f>
        <v>44985</v>
      </c>
      <c r="M323" s="3">
        <v>44984</v>
      </c>
      <c r="N323" t="s">
        <v>649</v>
      </c>
      <c r="O323" t="s">
        <v>657</v>
      </c>
      <c r="P323" t="s">
        <v>673</v>
      </c>
      <c r="Q323" t="s">
        <v>701</v>
      </c>
      <c r="R323" t="s">
        <v>707</v>
      </c>
      <c r="S323" t="s">
        <v>723</v>
      </c>
      <c r="T323" t="s">
        <v>729</v>
      </c>
      <c r="U323" t="s">
        <v>1055</v>
      </c>
      <c r="V323" s="8">
        <v>1299.81</v>
      </c>
      <c r="W323" s="8">
        <v>3149.13</v>
      </c>
      <c r="X323" s="8">
        <f t="shared" si="16"/>
        <v>815.10700000000008</v>
      </c>
      <c r="Y323" s="8">
        <f t="shared" si="17"/>
        <v>1620.05</v>
      </c>
      <c r="AA323">
        <v>0.10299999999999999</v>
      </c>
      <c r="AB323">
        <f>IF(Table1[[#This Row],[DiscountPct]]&gt;0.2,1,0)</f>
        <v>0</v>
      </c>
      <c r="AC323" s="6">
        <v>14</v>
      </c>
      <c r="AD323" s="8">
        <f>Table1[[#This Row],[UnitPrice]]*Table1[[#This Row],[Quantity]]</f>
        <v>44087.82</v>
      </c>
      <c r="AE323" s="8">
        <f>Table1[[#This Row],[UnitCost]]*Table1[[#This Row],[Quantity]]</f>
        <v>18197.34</v>
      </c>
      <c r="AF323" s="8">
        <f>Table1[[#This Row],[GrossRevenue]]-Table1[[#This Row],[CostOfGoods]]</f>
        <v>25890.48</v>
      </c>
      <c r="AG323" s="8">
        <f>IF(Table1[[#This Row],[GrossRevenue]]=0,0,Table1[[#This Row],[GrossProfit]]/Table1[[#This Row],[GrossRevenue]])</f>
        <v>0.58724790656467019</v>
      </c>
    </row>
    <row r="324" spans="1:33" x14ac:dyDescent="0.45">
      <c r="A324" t="s">
        <v>337</v>
      </c>
      <c r="B324">
        <v>1</v>
      </c>
      <c r="C324" s="3">
        <v>45340</v>
      </c>
      <c r="D324" s="6">
        <f>YEAR(Table1[[#This Row],[OrderDate]]) * 100 + MONTH(Table1[[#This Row],[OrderDate]])</f>
        <v>202402</v>
      </c>
      <c r="E324" s="6">
        <f>_xlfn.MINIFS(Table1[OrderMonthKey],Table1[Country],Table1[[#This Row],[Country]])</f>
        <v>202301</v>
      </c>
      <c r="F324" s="6">
        <f>Table1[[#This Row],[CountryFirstMonthKey]]</f>
        <v>202301</v>
      </c>
      <c r="G324" s="6">
        <f>12*(INT(Table1[[#This Row],[OrderMonthKey]]/100)-INT(Table1[[#This Row],[CohortMonthKey]]/100)) + (MOD(Table1[[#This Row],[OrderMonthKey]],100)-MOD(Table1[[#This Row],[CohortMonthKey]],100))</f>
        <v>13</v>
      </c>
      <c r="H324" s="3" t="str">
        <f>TEXT(Table1[[#This Row],[OrderDate]],"MMM-YYYY")</f>
        <v>Feb-2024</v>
      </c>
      <c r="I324" s="3" t="str">
        <f t="shared" si="15"/>
        <v>Q1-2023</v>
      </c>
      <c r="J324" s="26" t="str">
        <f>IF(Table1[[#This Row],[LeadTimeDays]]&lt;=7,"Yes","No")</f>
        <v>No</v>
      </c>
      <c r="K324" s="6">
        <f>_xlfn.DAYS(Table1[[#This Row],[CorrectedRequiredDate]],Table1[[#This Row],[OrderDate]])</f>
        <v>22</v>
      </c>
      <c r="L324" s="3">
        <f>IF(Table1[[#This Row],[RequiredDate]]&lt;Table1[[#This Row],[OrderDate]],Table1[[#This Row],[OrderDate]],Table1[[#This Row],[RequiredDate]])</f>
        <v>45362</v>
      </c>
      <c r="M324" s="3">
        <v>45362</v>
      </c>
      <c r="N324" t="s">
        <v>648</v>
      </c>
      <c r="O324" t="s">
        <v>655</v>
      </c>
      <c r="P324" t="s">
        <v>670</v>
      </c>
      <c r="Q324" t="s">
        <v>704</v>
      </c>
      <c r="R324" t="s">
        <v>708</v>
      </c>
      <c r="S324" t="s">
        <v>720</v>
      </c>
      <c r="T324" t="s">
        <v>727</v>
      </c>
      <c r="U324" t="s">
        <v>1056</v>
      </c>
      <c r="V324" s="8">
        <v>80.48</v>
      </c>
      <c r="W324" s="8">
        <v>65.650000000000006</v>
      </c>
      <c r="X324" s="8">
        <f t="shared" si="16"/>
        <v>815.10700000000008</v>
      </c>
      <c r="Y324" s="8">
        <f t="shared" si="17"/>
        <v>1620.05</v>
      </c>
      <c r="Z324" s="8" t="str">
        <f>IF(W323 &lt;= X322, "Low",IF(W323 &lt;= Y323, "Medium", "High"))</f>
        <v>High</v>
      </c>
      <c r="AA324">
        <v>0.17599999999999999</v>
      </c>
      <c r="AB324">
        <f>IF(Table1[[#This Row],[DiscountPct]]&gt;0.2,1,0)</f>
        <v>0</v>
      </c>
      <c r="AC324" s="6">
        <v>13</v>
      </c>
      <c r="AD324" s="8">
        <f>Table1[[#This Row],[UnitPrice]]*Table1[[#This Row],[Quantity]]</f>
        <v>853.45</v>
      </c>
      <c r="AE324" s="8">
        <f>Table1[[#This Row],[UnitCost]]*Table1[[#This Row],[Quantity]]</f>
        <v>1046.24</v>
      </c>
      <c r="AF324" s="8">
        <f>Table1[[#This Row],[GrossRevenue]]-Table1[[#This Row],[CostOfGoods]]</f>
        <v>-192.78999999999996</v>
      </c>
      <c r="AG324" s="9">
        <f>IF(Table1[[#This Row],[GrossRevenue]]=0,0,Table1[[#This Row],[GrossProfit]]/Table1[[#This Row],[GrossRevenue]])</f>
        <v>-0.22589489718202585</v>
      </c>
    </row>
    <row r="325" spans="1:33" x14ac:dyDescent="0.45">
      <c r="A325" t="s">
        <v>338</v>
      </c>
      <c r="B325">
        <v>1</v>
      </c>
      <c r="C325" s="3">
        <v>45544</v>
      </c>
      <c r="D325" s="6">
        <f>YEAR(Table1[[#This Row],[OrderDate]]) * 100 + MONTH(Table1[[#This Row],[OrderDate]])</f>
        <v>202409</v>
      </c>
      <c r="E325" s="6">
        <f>_xlfn.MINIFS(Table1[OrderMonthKey],Table1[Country],Table1[[#This Row],[Country]])</f>
        <v>202301</v>
      </c>
      <c r="F325" s="6">
        <f>Table1[[#This Row],[CountryFirstMonthKey]]</f>
        <v>202301</v>
      </c>
      <c r="G325" s="6">
        <f>12*(INT(Table1[[#This Row],[OrderMonthKey]]/100)-INT(Table1[[#This Row],[CohortMonthKey]]/100)) + (MOD(Table1[[#This Row],[OrderMonthKey]],100)-MOD(Table1[[#This Row],[CohortMonthKey]],100))</f>
        <v>20</v>
      </c>
      <c r="H325" s="3" t="str">
        <f>TEXT(Table1[[#This Row],[OrderDate]],"MMM-YYYY")</f>
        <v>Sep-2024</v>
      </c>
      <c r="I325" s="3" t="str">
        <f t="shared" si="15"/>
        <v>Q1-2024</v>
      </c>
      <c r="J325" s="26" t="str">
        <f>IF(Table1[[#This Row],[LeadTimeDays]]&lt;=7,"Yes","No")</f>
        <v>No</v>
      </c>
      <c r="K325" s="6">
        <f>_xlfn.DAYS(Table1[[#This Row],[CorrectedRequiredDate]],Table1[[#This Row],[OrderDate]])</f>
        <v>29</v>
      </c>
      <c r="L325" s="3">
        <f>IF(Table1[[#This Row],[RequiredDate]]&lt;Table1[[#This Row],[OrderDate]],Table1[[#This Row],[OrderDate]],Table1[[#This Row],[RequiredDate]])</f>
        <v>45573</v>
      </c>
      <c r="M325" s="3">
        <v>45573</v>
      </c>
      <c r="N325" t="s">
        <v>648</v>
      </c>
      <c r="O325" t="s">
        <v>655</v>
      </c>
      <c r="P325" t="s">
        <v>670</v>
      </c>
      <c r="Q325" t="s">
        <v>702</v>
      </c>
      <c r="R325" t="s">
        <v>711</v>
      </c>
      <c r="S325" t="s">
        <v>713</v>
      </c>
      <c r="T325" t="s">
        <v>727</v>
      </c>
      <c r="U325" t="s">
        <v>1057</v>
      </c>
      <c r="V325" s="8">
        <v>1010.33</v>
      </c>
      <c r="W325" s="8">
        <v>2492.14</v>
      </c>
      <c r="X325" s="8">
        <f t="shared" si="16"/>
        <v>815.10700000000008</v>
      </c>
      <c r="Y325" s="8">
        <f t="shared" si="17"/>
        <v>1620.05</v>
      </c>
      <c r="Z325" s="8" t="str">
        <f>IF(W324 &lt;= X323, "Low",IF(W324 &lt;= Y324, "Medium", "High"))</f>
        <v>Low</v>
      </c>
      <c r="AA325">
        <v>5.0999999999999997E-2</v>
      </c>
      <c r="AB325">
        <f>IF(Table1[[#This Row],[DiscountPct]]&gt;0.2,1,0)</f>
        <v>0</v>
      </c>
      <c r="AC325" s="6">
        <v>11</v>
      </c>
      <c r="AD325" s="8">
        <f>Table1[[#This Row],[UnitPrice]]*Table1[[#This Row],[Quantity]]</f>
        <v>27413.539999999997</v>
      </c>
      <c r="AE325" s="8">
        <f>Table1[[#This Row],[UnitCost]]*Table1[[#This Row],[Quantity]]</f>
        <v>11113.630000000001</v>
      </c>
      <c r="AF325" s="8">
        <f>Table1[[#This Row],[GrossRevenue]]-Table1[[#This Row],[CostOfGoods]]</f>
        <v>16299.909999999996</v>
      </c>
      <c r="AG325" s="9">
        <f>IF(Table1[[#This Row],[GrossRevenue]]=0,0,Table1[[#This Row],[GrossProfit]]/Table1[[#This Row],[GrossRevenue]])</f>
        <v>0.59459340165480257</v>
      </c>
    </row>
    <row r="326" spans="1:33" hidden="1" x14ac:dyDescent="0.45">
      <c r="A326" t="s">
        <v>339</v>
      </c>
      <c r="C326" s="3">
        <v>45053</v>
      </c>
      <c r="D326" s="3">
        <f>YEAR(Table1[[#This Row],[OrderDate]]) * 100 + MONTH(Table1[[#This Row],[OrderDate]])</f>
        <v>202305</v>
      </c>
      <c r="E326" s="3">
        <f>_xlfn.MINIFS(Table1[OrderMonthKey],Table1[Country],Table1[[#This Row],[Country]])</f>
        <v>202301</v>
      </c>
      <c r="F326" s="3">
        <f>Table1[[#This Row],[CountryFirstMonthKey]]</f>
        <v>202301</v>
      </c>
      <c r="G326" s="3">
        <f>12*(INT(Table1[[#This Row],[OrderMonthKey]]/100)-INT(Table1[[#This Row],[CohortMonthKey]]/100)) + (MOD(Table1[[#This Row],[OrderMonthKey]],100)-MOD(Table1[[#This Row],[CohortMonthKey]],100))</f>
        <v>4</v>
      </c>
      <c r="H326" s="3" t="str">
        <f>TEXT(Table1[[#This Row],[OrderDate]],"MMM-YYYY")</f>
        <v>May-2023</v>
      </c>
      <c r="I326" s="3" t="str">
        <f t="shared" si="15"/>
        <v>Q3-2024</v>
      </c>
      <c r="J326" s="3" t="str">
        <f>IF(Table1[[#This Row],[LeadTimeDays]]&lt;=7,"Yes","No")</f>
        <v>No</v>
      </c>
      <c r="K326" s="3">
        <f>_xlfn.DAYS(Table1[[#This Row],[CorrectedRequiredDate]],Table1[[#This Row],[OrderDate]])</f>
        <v>22</v>
      </c>
      <c r="L326" s="3">
        <f>IF(Table1[[#This Row],[RequiredDate]]&lt;Table1[[#This Row],[OrderDate]],Table1[[#This Row],[OrderDate]],Table1[[#This Row],[RequiredDate]])</f>
        <v>45075</v>
      </c>
      <c r="M326" s="3">
        <v>45075</v>
      </c>
      <c r="N326" t="s">
        <v>646</v>
      </c>
      <c r="O326" t="s">
        <v>661</v>
      </c>
      <c r="P326" t="s">
        <v>687</v>
      </c>
      <c r="Q326" t="s">
        <v>702</v>
      </c>
      <c r="R326" t="s">
        <v>710</v>
      </c>
      <c r="S326" t="s">
        <v>723</v>
      </c>
      <c r="T326" t="s">
        <v>733</v>
      </c>
      <c r="U326" t="s">
        <v>1058</v>
      </c>
      <c r="V326" s="8">
        <v>653.86</v>
      </c>
      <c r="W326" s="8">
        <v>931.84</v>
      </c>
      <c r="X326" s="8">
        <f t="shared" si="16"/>
        <v>815.10700000000008</v>
      </c>
      <c r="Y326" s="8">
        <f t="shared" si="17"/>
        <v>1620.05</v>
      </c>
      <c r="AA326">
        <v>0.121</v>
      </c>
      <c r="AB326">
        <f>IF(Table1[[#This Row],[DiscountPct]]&gt;0.2,1,0)</f>
        <v>0</v>
      </c>
      <c r="AC326" s="6">
        <v>12</v>
      </c>
      <c r="AD326" s="8">
        <f>Table1[[#This Row],[UnitPrice]]*Table1[[#This Row],[Quantity]]</f>
        <v>11182.08</v>
      </c>
      <c r="AE326" s="8">
        <f>Table1[[#This Row],[UnitCost]]*Table1[[#This Row],[Quantity]]</f>
        <v>7846.32</v>
      </c>
      <c r="AF326" s="8">
        <f>Table1[[#This Row],[GrossRevenue]]-Table1[[#This Row],[CostOfGoods]]</f>
        <v>3335.76</v>
      </c>
      <c r="AG326" s="8">
        <f>IF(Table1[[#This Row],[GrossRevenue]]=0,0,Table1[[#This Row],[GrossProfit]]/Table1[[#This Row],[GrossRevenue]])</f>
        <v>0.29831301510989011</v>
      </c>
    </row>
    <row r="327" spans="1:33" x14ac:dyDescent="0.45">
      <c r="A327" t="s">
        <v>340</v>
      </c>
      <c r="B327">
        <v>1</v>
      </c>
      <c r="C327" s="3">
        <v>45303</v>
      </c>
      <c r="D327" s="6">
        <f>YEAR(Table1[[#This Row],[OrderDate]]) * 100 + MONTH(Table1[[#This Row],[OrderDate]])</f>
        <v>202401</v>
      </c>
      <c r="E327" s="6">
        <f>_xlfn.MINIFS(Table1[OrderMonthKey],Table1[Country],Table1[[#This Row],[Country]])</f>
        <v>202302</v>
      </c>
      <c r="F327" s="6">
        <f>Table1[[#This Row],[CountryFirstMonthKey]]</f>
        <v>202302</v>
      </c>
      <c r="G327" s="6">
        <f>12*(INT(Table1[[#This Row],[OrderMonthKey]]/100)-INT(Table1[[#This Row],[CohortMonthKey]]/100)) + (MOD(Table1[[#This Row],[OrderMonthKey]],100)-MOD(Table1[[#This Row],[CohortMonthKey]],100))</f>
        <v>11</v>
      </c>
      <c r="H327" s="3" t="str">
        <f>TEXT(Table1[[#This Row],[OrderDate]],"MMM-YYYY")</f>
        <v>Jan-2024</v>
      </c>
      <c r="I327" s="3" t="str">
        <f t="shared" si="15"/>
        <v>Q2-2023</v>
      </c>
      <c r="J327" s="26" t="str">
        <f>IF(Table1[[#This Row],[LeadTimeDays]]&lt;=7,"Yes","No")</f>
        <v>No</v>
      </c>
      <c r="K327" s="6">
        <f>_xlfn.DAYS(Table1[[#This Row],[CorrectedRequiredDate]],Table1[[#This Row],[OrderDate]])</f>
        <v>17</v>
      </c>
      <c r="L327" s="3">
        <f>IF(Table1[[#This Row],[RequiredDate]]&lt;Table1[[#This Row],[OrderDate]],Table1[[#This Row],[OrderDate]],Table1[[#This Row],[RequiredDate]])</f>
        <v>45320</v>
      </c>
      <c r="M327" s="3">
        <v>45320</v>
      </c>
      <c r="N327" t="s">
        <v>647</v>
      </c>
      <c r="O327" t="s">
        <v>654</v>
      </c>
      <c r="P327" t="s">
        <v>696</v>
      </c>
      <c r="Q327" t="s">
        <v>705</v>
      </c>
      <c r="R327" t="s">
        <v>711</v>
      </c>
      <c r="S327" t="s">
        <v>717</v>
      </c>
      <c r="T327" t="s">
        <v>727</v>
      </c>
      <c r="U327" t="s">
        <v>1059</v>
      </c>
      <c r="V327" s="8">
        <v>310.02</v>
      </c>
      <c r="W327" s="8">
        <v>619.51</v>
      </c>
      <c r="X327" s="8">
        <f t="shared" si="16"/>
        <v>815.10700000000008</v>
      </c>
      <c r="Y327" s="8">
        <f t="shared" si="17"/>
        <v>1620.05</v>
      </c>
      <c r="Z327" s="8" t="str">
        <f>IF(W326 &lt;= X325, "Low",IF(W326 &lt;= Y326, "Medium", "High"))</f>
        <v>Medium</v>
      </c>
      <c r="AA327">
        <v>4.2000000000000003E-2</v>
      </c>
      <c r="AB327">
        <f>IF(Table1[[#This Row],[DiscountPct]]&gt;0.2,1,0)</f>
        <v>0</v>
      </c>
      <c r="AC327" s="6">
        <v>4</v>
      </c>
      <c r="AD327" s="8">
        <f>Table1[[#This Row],[UnitPrice]]*Table1[[#This Row],[Quantity]]</f>
        <v>2478.04</v>
      </c>
      <c r="AE327" s="8">
        <f>Table1[[#This Row],[UnitCost]]*Table1[[#This Row],[Quantity]]</f>
        <v>1240.08</v>
      </c>
      <c r="AF327" s="8">
        <f>Table1[[#This Row],[GrossRevenue]]-Table1[[#This Row],[CostOfGoods]]</f>
        <v>1237.96</v>
      </c>
      <c r="AG327" s="9">
        <f>IF(Table1[[#This Row],[GrossRevenue]]=0,0,Table1[[#This Row],[GrossProfit]]/Table1[[#This Row],[GrossRevenue]])</f>
        <v>0.49957224257881233</v>
      </c>
    </row>
    <row r="328" spans="1:33" hidden="1" x14ac:dyDescent="0.45">
      <c r="A328" t="s">
        <v>341</v>
      </c>
      <c r="C328" s="3">
        <v>45087</v>
      </c>
      <c r="D328" s="3">
        <f>YEAR(Table1[[#This Row],[OrderDate]]) * 100 + MONTH(Table1[[#This Row],[OrderDate]])</f>
        <v>202306</v>
      </c>
      <c r="E328" s="3">
        <f>_xlfn.MINIFS(Table1[OrderMonthKey],Table1[Country],Table1[[#This Row],[Country]])</f>
        <v>202301</v>
      </c>
      <c r="F328" s="3">
        <f>Table1[[#This Row],[CountryFirstMonthKey]]</f>
        <v>202301</v>
      </c>
      <c r="G328" s="3">
        <f>12*(INT(Table1[[#This Row],[OrderMonthKey]]/100)-INT(Table1[[#This Row],[CohortMonthKey]]/100)) + (MOD(Table1[[#This Row],[OrderMonthKey]],100)-MOD(Table1[[#This Row],[CohortMonthKey]],100))</f>
        <v>5</v>
      </c>
      <c r="H328" s="3" t="str">
        <f>TEXT(Table1[[#This Row],[OrderDate]],"MMM-YYYY")</f>
        <v>Jun-2023</v>
      </c>
      <c r="I328" s="3" t="str">
        <f t="shared" si="15"/>
        <v>Q1-2024</v>
      </c>
      <c r="J328" s="3" t="str">
        <f>IF(Table1[[#This Row],[LeadTimeDays]]&lt;=7,"Yes","No")</f>
        <v>No</v>
      </c>
      <c r="K328" s="3">
        <f>_xlfn.DAYS(Table1[[#This Row],[CorrectedRequiredDate]],Table1[[#This Row],[OrderDate]])</f>
        <v>8</v>
      </c>
      <c r="L328" s="3">
        <f>IF(Table1[[#This Row],[RequiredDate]]&lt;Table1[[#This Row],[OrderDate]],Table1[[#This Row],[OrderDate]],Table1[[#This Row],[RequiredDate]])</f>
        <v>45095</v>
      </c>
      <c r="M328" s="3">
        <v>45095</v>
      </c>
      <c r="N328" t="s">
        <v>646</v>
      </c>
      <c r="O328" t="s">
        <v>650</v>
      </c>
      <c r="P328" t="s">
        <v>678</v>
      </c>
      <c r="Q328" t="s">
        <v>706</v>
      </c>
      <c r="R328" t="s">
        <v>711</v>
      </c>
      <c r="S328" t="s">
        <v>722</v>
      </c>
      <c r="T328" t="s">
        <v>730</v>
      </c>
      <c r="U328" t="s">
        <v>1060</v>
      </c>
      <c r="V328" s="8">
        <v>894.23</v>
      </c>
      <c r="W328" s="8">
        <v>1421.55</v>
      </c>
      <c r="X328" s="8">
        <f t="shared" si="16"/>
        <v>815.10700000000008</v>
      </c>
      <c r="Y328" s="8">
        <f t="shared" si="17"/>
        <v>1620.05</v>
      </c>
      <c r="AA328">
        <v>0.109</v>
      </c>
      <c r="AB328">
        <f>IF(Table1[[#This Row],[DiscountPct]]&gt;0.2,1,0)</f>
        <v>0</v>
      </c>
      <c r="AC328" s="6">
        <v>3</v>
      </c>
      <c r="AD328" s="8">
        <f>Table1[[#This Row],[UnitPrice]]*Table1[[#This Row],[Quantity]]</f>
        <v>4264.6499999999996</v>
      </c>
      <c r="AE328" s="8">
        <f>Table1[[#This Row],[UnitCost]]*Table1[[#This Row],[Quantity]]</f>
        <v>2682.69</v>
      </c>
      <c r="AF328" s="8">
        <f>Table1[[#This Row],[GrossRevenue]]-Table1[[#This Row],[CostOfGoods]]</f>
        <v>1581.9599999999996</v>
      </c>
      <c r="AG328" s="8">
        <f>IF(Table1[[#This Row],[GrossRevenue]]=0,0,Table1[[#This Row],[GrossProfit]]/Table1[[#This Row],[GrossRevenue]])</f>
        <v>0.37094720551510668</v>
      </c>
    </row>
    <row r="329" spans="1:33" x14ac:dyDescent="0.45">
      <c r="A329" t="s">
        <v>342</v>
      </c>
      <c r="B329">
        <v>1</v>
      </c>
      <c r="C329" s="3">
        <v>45796</v>
      </c>
      <c r="D329" s="6">
        <f>YEAR(Table1[[#This Row],[OrderDate]]) * 100 + MONTH(Table1[[#This Row],[OrderDate]])</f>
        <v>202505</v>
      </c>
      <c r="E329" s="6">
        <f>_xlfn.MINIFS(Table1[OrderMonthKey],Table1[Country],Table1[[#This Row],[Country]])</f>
        <v>202301</v>
      </c>
      <c r="F329" s="6">
        <f>Table1[[#This Row],[CountryFirstMonthKey]]</f>
        <v>202301</v>
      </c>
      <c r="G329" s="6">
        <f>12*(INT(Table1[[#This Row],[OrderMonthKey]]/100)-INT(Table1[[#This Row],[CohortMonthKey]]/100)) + (MOD(Table1[[#This Row],[OrderMonthKey]],100)-MOD(Table1[[#This Row],[CohortMonthKey]],100))</f>
        <v>28</v>
      </c>
      <c r="H329" s="3" t="str">
        <f>TEXT(Table1[[#This Row],[OrderDate]],"MMM-YYYY")</f>
        <v>May-2025</v>
      </c>
      <c r="I329" s="3" t="str">
        <f t="shared" si="15"/>
        <v>Q2-2023</v>
      </c>
      <c r="J329" s="26" t="str">
        <f>IF(Table1[[#This Row],[LeadTimeDays]]&lt;=7,"Yes","No")</f>
        <v>Yes</v>
      </c>
      <c r="K329" s="6">
        <f>_xlfn.DAYS(Table1[[#This Row],[CorrectedRequiredDate]],Table1[[#This Row],[OrderDate]])</f>
        <v>0</v>
      </c>
      <c r="L329" s="3">
        <f>IF(Table1[[#This Row],[RequiredDate]]&lt;Table1[[#This Row],[OrderDate]],Table1[[#This Row],[OrderDate]],Table1[[#This Row],[RequiredDate]])</f>
        <v>45796</v>
      </c>
      <c r="M329" s="3">
        <v>45794</v>
      </c>
      <c r="N329" t="s">
        <v>648</v>
      </c>
      <c r="O329" t="s">
        <v>655</v>
      </c>
      <c r="P329" t="s">
        <v>670</v>
      </c>
      <c r="Q329" t="s">
        <v>705</v>
      </c>
      <c r="R329" t="s">
        <v>710</v>
      </c>
      <c r="S329" t="s">
        <v>716</v>
      </c>
      <c r="T329" t="s">
        <v>732</v>
      </c>
      <c r="U329" t="s">
        <v>1061</v>
      </c>
      <c r="V329" s="8">
        <v>383.77</v>
      </c>
      <c r="W329" s="8">
        <v>952.56</v>
      </c>
      <c r="X329" s="8">
        <f t="shared" si="16"/>
        <v>815.10700000000008</v>
      </c>
      <c r="Y329" s="8">
        <f t="shared" si="17"/>
        <v>1620.05</v>
      </c>
      <c r="Z329" s="8" t="str">
        <f>IF(W328 &lt;= X327, "Low",IF(W328 &lt;= Y328, "Medium", "High"))</f>
        <v>Medium</v>
      </c>
      <c r="AA329">
        <v>0.34599999999999997</v>
      </c>
      <c r="AB329">
        <f>IF(Table1[[#This Row],[DiscountPct]]&gt;0.2,1,0)</f>
        <v>1</v>
      </c>
      <c r="AC329" s="6">
        <v>10</v>
      </c>
      <c r="AD329" s="8">
        <f>Table1[[#This Row],[UnitPrice]]*Table1[[#This Row],[Quantity]]</f>
        <v>9525.5999999999985</v>
      </c>
      <c r="AE329" s="8">
        <f>Table1[[#This Row],[UnitCost]]*Table1[[#This Row],[Quantity]]</f>
        <v>3837.7</v>
      </c>
      <c r="AF329" s="8">
        <f>Table1[[#This Row],[GrossRevenue]]-Table1[[#This Row],[CostOfGoods]]</f>
        <v>5687.8999999999987</v>
      </c>
      <c r="AG329" s="9">
        <f>IF(Table1[[#This Row],[GrossRevenue]]=0,0,Table1[[#This Row],[GrossProfit]]/Table1[[#This Row],[GrossRevenue]])</f>
        <v>0.59711724195851179</v>
      </c>
    </row>
    <row r="330" spans="1:33" x14ac:dyDescent="0.45">
      <c r="A330" t="s">
        <v>343</v>
      </c>
      <c r="B330">
        <v>1</v>
      </c>
      <c r="C330" s="3">
        <v>45221</v>
      </c>
      <c r="D330" s="6">
        <f>YEAR(Table1[[#This Row],[OrderDate]]) * 100 + MONTH(Table1[[#This Row],[OrderDate]])</f>
        <v>202310</v>
      </c>
      <c r="E330" s="6">
        <f>_xlfn.MINIFS(Table1[OrderMonthKey],Table1[Country],Table1[[#This Row],[Country]])</f>
        <v>202301</v>
      </c>
      <c r="F330" s="6">
        <f>Table1[[#This Row],[CountryFirstMonthKey]]</f>
        <v>202301</v>
      </c>
      <c r="G330" s="6">
        <f>12*(INT(Table1[[#This Row],[OrderMonthKey]]/100)-INT(Table1[[#This Row],[CohortMonthKey]]/100)) + (MOD(Table1[[#This Row],[OrderMonthKey]],100)-MOD(Table1[[#This Row],[CohortMonthKey]],100))</f>
        <v>9</v>
      </c>
      <c r="H330" s="3" t="str">
        <f>TEXT(Table1[[#This Row],[OrderDate]],"MMM-YYYY")</f>
        <v>Oct-2023</v>
      </c>
      <c r="I330" s="3" t="str">
        <f t="shared" si="15"/>
        <v>Q2-2025</v>
      </c>
      <c r="J330" s="26" t="str">
        <f>IF(Table1[[#This Row],[LeadTimeDays]]&lt;=7,"Yes","No")</f>
        <v>No</v>
      </c>
      <c r="K330" s="6">
        <f>_xlfn.DAYS(Table1[[#This Row],[CorrectedRequiredDate]],Table1[[#This Row],[OrderDate]])</f>
        <v>25</v>
      </c>
      <c r="L330" s="3">
        <f>IF(Table1[[#This Row],[RequiredDate]]&lt;Table1[[#This Row],[OrderDate]],Table1[[#This Row],[OrderDate]],Table1[[#This Row],[RequiredDate]])</f>
        <v>45246</v>
      </c>
      <c r="M330" s="3">
        <v>45246</v>
      </c>
      <c r="N330" t="s">
        <v>648</v>
      </c>
      <c r="O330" t="s">
        <v>653</v>
      </c>
      <c r="P330" t="s">
        <v>667</v>
      </c>
      <c r="Q330" t="s">
        <v>705</v>
      </c>
      <c r="R330" t="s">
        <v>709</v>
      </c>
      <c r="S330" t="s">
        <v>714</v>
      </c>
      <c r="T330" t="s">
        <v>731</v>
      </c>
      <c r="U330" t="s">
        <v>1062</v>
      </c>
      <c r="V330" s="8">
        <v>1373.31</v>
      </c>
      <c r="W330" s="8">
        <v>3154.14</v>
      </c>
      <c r="X330" s="8">
        <f t="shared" si="16"/>
        <v>815.10700000000008</v>
      </c>
      <c r="Y330" s="8">
        <f t="shared" si="17"/>
        <v>1620.05</v>
      </c>
      <c r="Z330" s="8" t="str">
        <f>IF(W329 &lt;= X328, "Low",IF(W329 &lt;= Y329, "Medium", "High"))</f>
        <v>Medium</v>
      </c>
      <c r="AA330">
        <v>0.2</v>
      </c>
      <c r="AB330">
        <f>IF(Table1[[#This Row],[DiscountPct]]&gt;0.2,1,0)</f>
        <v>0</v>
      </c>
      <c r="AC330" s="6">
        <v>11</v>
      </c>
      <c r="AD330" s="8">
        <f>Table1[[#This Row],[UnitPrice]]*Table1[[#This Row],[Quantity]]</f>
        <v>34695.54</v>
      </c>
      <c r="AE330" s="8">
        <f>Table1[[#This Row],[UnitCost]]*Table1[[#This Row],[Quantity]]</f>
        <v>15106.41</v>
      </c>
      <c r="AF330" s="8">
        <f>Table1[[#This Row],[GrossRevenue]]-Table1[[#This Row],[CostOfGoods]]</f>
        <v>19589.13</v>
      </c>
      <c r="AG330" s="9">
        <f>IF(Table1[[#This Row],[GrossRevenue]]=0,0,Table1[[#This Row],[GrossProfit]]/Table1[[#This Row],[GrossRevenue]])</f>
        <v>0.56460081036352228</v>
      </c>
    </row>
    <row r="331" spans="1:33" hidden="1" x14ac:dyDescent="0.45">
      <c r="A331" t="s">
        <v>344</v>
      </c>
      <c r="C331" s="3">
        <v>45668</v>
      </c>
      <c r="D331" s="3">
        <f>YEAR(Table1[[#This Row],[OrderDate]]) * 100 + MONTH(Table1[[#This Row],[OrderDate]])</f>
        <v>202501</v>
      </c>
      <c r="E331" s="3">
        <f>_xlfn.MINIFS(Table1[OrderMonthKey],Table1[Country],Table1[[#This Row],[Country]])</f>
        <v>202301</v>
      </c>
      <c r="F331" s="3">
        <f>Table1[[#This Row],[CountryFirstMonthKey]]</f>
        <v>202301</v>
      </c>
      <c r="G331" s="3">
        <f>12*(INT(Table1[[#This Row],[OrderMonthKey]]/100)-INT(Table1[[#This Row],[CohortMonthKey]]/100)) + (MOD(Table1[[#This Row],[OrderMonthKey]],100)-MOD(Table1[[#This Row],[CohortMonthKey]],100))</f>
        <v>24</v>
      </c>
      <c r="H331" s="3" t="str">
        <f>TEXT(Table1[[#This Row],[OrderDate]],"MMM-YYYY")</f>
        <v>Jan-2025</v>
      </c>
      <c r="I331" s="3" t="str">
        <f t="shared" si="15"/>
        <v>Q4-2023</v>
      </c>
      <c r="J331" s="3" t="str">
        <f>IF(Table1[[#This Row],[LeadTimeDays]]&lt;=7,"Yes","No")</f>
        <v>No</v>
      </c>
      <c r="K331" s="3">
        <f>_xlfn.DAYS(Table1[[#This Row],[CorrectedRequiredDate]],Table1[[#This Row],[OrderDate]])</f>
        <v>12</v>
      </c>
      <c r="L331" s="3">
        <f>IF(Table1[[#This Row],[RequiredDate]]&lt;Table1[[#This Row],[OrderDate]],Table1[[#This Row],[OrderDate]],Table1[[#This Row],[RequiredDate]])</f>
        <v>45680</v>
      </c>
      <c r="M331" s="3">
        <v>45680</v>
      </c>
      <c r="N331" t="s">
        <v>648</v>
      </c>
      <c r="O331" t="s">
        <v>660</v>
      </c>
      <c r="P331" t="s">
        <v>697</v>
      </c>
      <c r="Q331" t="s">
        <v>704</v>
      </c>
      <c r="R331" t="s">
        <v>710</v>
      </c>
      <c r="S331" t="s">
        <v>722</v>
      </c>
      <c r="T331" t="s">
        <v>730</v>
      </c>
      <c r="U331" t="s">
        <v>1063</v>
      </c>
      <c r="V331" s="8">
        <v>100.69</v>
      </c>
      <c r="W331" s="8">
        <v>226.14</v>
      </c>
      <c r="X331" s="8">
        <f t="shared" si="16"/>
        <v>815.10700000000008</v>
      </c>
      <c r="Y331" s="8">
        <f t="shared" si="17"/>
        <v>1620.05</v>
      </c>
      <c r="AA331">
        <v>6.5000000000000002E-2</v>
      </c>
      <c r="AB331">
        <f>IF(Table1[[#This Row],[DiscountPct]]&gt;0.2,1,0)</f>
        <v>0</v>
      </c>
      <c r="AC331" s="6">
        <v>12</v>
      </c>
      <c r="AD331" s="8">
        <f>Table1[[#This Row],[UnitPrice]]*Table1[[#This Row],[Quantity]]</f>
        <v>2713.68</v>
      </c>
      <c r="AE331" s="8">
        <f>Table1[[#This Row],[UnitCost]]*Table1[[#This Row],[Quantity]]</f>
        <v>1208.28</v>
      </c>
      <c r="AF331" s="8">
        <f>Table1[[#This Row],[GrossRevenue]]-Table1[[#This Row],[CostOfGoods]]</f>
        <v>1505.3999999999999</v>
      </c>
      <c r="AG331" s="8">
        <f>IF(Table1[[#This Row],[GrossRevenue]]=0,0,Table1[[#This Row],[GrossProfit]]/Table1[[#This Row],[GrossRevenue]])</f>
        <v>0.55474484832404702</v>
      </c>
    </row>
    <row r="332" spans="1:33" x14ac:dyDescent="0.45">
      <c r="A332" t="s">
        <v>345</v>
      </c>
      <c r="B332">
        <v>1</v>
      </c>
      <c r="C332" s="3">
        <v>45914</v>
      </c>
      <c r="D332" s="6">
        <f>YEAR(Table1[[#This Row],[OrderDate]]) * 100 + MONTH(Table1[[#This Row],[OrderDate]])</f>
        <v>202509</v>
      </c>
      <c r="E332" s="6">
        <f>_xlfn.MINIFS(Table1[OrderMonthKey],Table1[Country],Table1[[#This Row],[Country]])</f>
        <v>202301</v>
      </c>
      <c r="F332" s="6">
        <f>Table1[[#This Row],[CountryFirstMonthKey]]</f>
        <v>202301</v>
      </c>
      <c r="G332" s="6">
        <f>12*(INT(Table1[[#This Row],[OrderMonthKey]]/100)-INT(Table1[[#This Row],[CohortMonthKey]]/100)) + (MOD(Table1[[#This Row],[OrderMonthKey]],100)-MOD(Table1[[#This Row],[CohortMonthKey]],100))</f>
        <v>32</v>
      </c>
      <c r="H332" s="3" t="str">
        <f>TEXT(Table1[[#This Row],[OrderDate]],"MMM-YYYY")</f>
        <v>Sep-2025</v>
      </c>
      <c r="I332" s="3" t="str">
        <f t="shared" si="15"/>
        <v>Q1-2025</v>
      </c>
      <c r="J332" s="26" t="str">
        <f>IF(Table1[[#This Row],[LeadTimeDays]]&lt;=7,"Yes","No")</f>
        <v>No</v>
      </c>
      <c r="K332" s="6">
        <f>_xlfn.DAYS(Table1[[#This Row],[CorrectedRequiredDate]],Table1[[#This Row],[OrderDate]])</f>
        <v>12</v>
      </c>
      <c r="L332" s="3">
        <f>IF(Table1[[#This Row],[RequiredDate]]&lt;Table1[[#This Row],[OrderDate]],Table1[[#This Row],[OrderDate]],Table1[[#This Row],[RequiredDate]])</f>
        <v>45926</v>
      </c>
      <c r="M332" s="3">
        <v>45926</v>
      </c>
      <c r="N332" t="s">
        <v>649</v>
      </c>
      <c r="O332" t="s">
        <v>658</v>
      </c>
      <c r="P332" t="s">
        <v>683</v>
      </c>
      <c r="Q332" t="s">
        <v>705</v>
      </c>
      <c r="R332" t="s">
        <v>711</v>
      </c>
      <c r="S332" t="s">
        <v>725</v>
      </c>
      <c r="T332" t="s">
        <v>729</v>
      </c>
      <c r="U332" t="s">
        <v>1064</v>
      </c>
      <c r="V332" s="8">
        <v>425.15</v>
      </c>
      <c r="W332" s="8">
        <v>885.92</v>
      </c>
      <c r="X332" s="8">
        <f t="shared" si="16"/>
        <v>815.10700000000008</v>
      </c>
      <c r="Y332" s="8">
        <f t="shared" si="17"/>
        <v>1620.05</v>
      </c>
      <c r="Z332" s="8" t="str">
        <f>IF(W331 &lt;= X330, "Low",IF(W331 &lt;= Y331, "Medium", "High"))</f>
        <v>Low</v>
      </c>
      <c r="AA332">
        <v>0.23899999999999999</v>
      </c>
      <c r="AB332">
        <f>IF(Table1[[#This Row],[DiscountPct]]&gt;0.2,1,0)</f>
        <v>1</v>
      </c>
      <c r="AC332" s="6">
        <v>13</v>
      </c>
      <c r="AD332" s="8">
        <f>Table1[[#This Row],[UnitPrice]]*Table1[[#This Row],[Quantity]]</f>
        <v>11516.96</v>
      </c>
      <c r="AE332" s="8">
        <f>Table1[[#This Row],[UnitCost]]*Table1[[#This Row],[Quantity]]</f>
        <v>5526.95</v>
      </c>
      <c r="AF332" s="8">
        <f>Table1[[#This Row],[GrossRevenue]]-Table1[[#This Row],[CostOfGoods]]</f>
        <v>5990.0099999999993</v>
      </c>
      <c r="AG332" s="9">
        <f>IF(Table1[[#This Row],[GrossRevenue]]=0,0,Table1[[#This Row],[GrossProfit]]/Table1[[#This Row],[GrossRevenue]])</f>
        <v>0.52010339534043704</v>
      </c>
    </row>
    <row r="333" spans="1:33" x14ac:dyDescent="0.45">
      <c r="A333" t="s">
        <v>346</v>
      </c>
      <c r="B333">
        <v>1</v>
      </c>
      <c r="C333" s="3">
        <v>45168</v>
      </c>
      <c r="D333" s="6">
        <f>YEAR(Table1[[#This Row],[OrderDate]]) * 100 + MONTH(Table1[[#This Row],[OrderDate]])</f>
        <v>202308</v>
      </c>
      <c r="E333" s="6">
        <f>_xlfn.MINIFS(Table1[OrderMonthKey],Table1[Country],Table1[[#This Row],[Country]])</f>
        <v>202302</v>
      </c>
      <c r="F333" s="6">
        <f>Table1[[#This Row],[CountryFirstMonthKey]]</f>
        <v>202302</v>
      </c>
      <c r="G333" s="6">
        <f>12*(INT(Table1[[#This Row],[OrderMonthKey]]/100)-INT(Table1[[#This Row],[CohortMonthKey]]/100)) + (MOD(Table1[[#This Row],[OrderMonthKey]],100)-MOD(Table1[[#This Row],[CohortMonthKey]],100))</f>
        <v>6</v>
      </c>
      <c r="H333" s="3" t="str">
        <f>TEXT(Table1[[#This Row],[OrderDate]],"MMM-YYYY")</f>
        <v>Aug-2023</v>
      </c>
      <c r="I333" s="3" t="str">
        <f t="shared" si="15"/>
        <v>Q3-2025</v>
      </c>
      <c r="J333" s="26" t="str">
        <f>IF(Table1[[#This Row],[LeadTimeDays]]&lt;=7,"Yes","No")</f>
        <v>Yes</v>
      </c>
      <c r="K333" s="6">
        <f>_xlfn.DAYS(Table1[[#This Row],[CorrectedRequiredDate]],Table1[[#This Row],[OrderDate]])</f>
        <v>4</v>
      </c>
      <c r="L333" s="3">
        <f>IF(Table1[[#This Row],[RequiredDate]]&lt;Table1[[#This Row],[OrderDate]],Table1[[#This Row],[OrderDate]],Table1[[#This Row],[RequiredDate]])</f>
        <v>45172</v>
      </c>
      <c r="M333" s="3">
        <v>45172</v>
      </c>
      <c r="N333" t="s">
        <v>647</v>
      </c>
      <c r="O333" t="s">
        <v>654</v>
      </c>
      <c r="P333" t="s">
        <v>680</v>
      </c>
      <c r="Q333" t="s">
        <v>705</v>
      </c>
      <c r="R333" t="s">
        <v>709</v>
      </c>
      <c r="S333" t="s">
        <v>716</v>
      </c>
      <c r="T333" t="s">
        <v>733</v>
      </c>
      <c r="U333" t="s">
        <v>1065</v>
      </c>
      <c r="V333" s="8">
        <v>1082.25</v>
      </c>
      <c r="W333" s="8">
        <v>2433.34</v>
      </c>
      <c r="X333" s="8">
        <f t="shared" si="16"/>
        <v>815.10700000000008</v>
      </c>
      <c r="Y333" s="8">
        <f t="shared" si="17"/>
        <v>1620.05</v>
      </c>
      <c r="Z333" s="8" t="str">
        <f>IF(W332 &lt;= X331, "Low",IF(W332 &lt;= Y332, "Medium", "High"))</f>
        <v>Medium</v>
      </c>
      <c r="AA333">
        <v>0.27</v>
      </c>
      <c r="AB333">
        <f>IF(Table1[[#This Row],[DiscountPct]]&gt;0.2,1,0)</f>
        <v>1</v>
      </c>
      <c r="AC333" s="6">
        <v>4</v>
      </c>
      <c r="AD333" s="8">
        <f>Table1[[#This Row],[UnitPrice]]*Table1[[#This Row],[Quantity]]</f>
        <v>9733.36</v>
      </c>
      <c r="AE333" s="8">
        <f>Table1[[#This Row],[UnitCost]]*Table1[[#This Row],[Quantity]]</f>
        <v>4329</v>
      </c>
      <c r="AF333" s="8">
        <f>Table1[[#This Row],[GrossRevenue]]-Table1[[#This Row],[CostOfGoods]]</f>
        <v>5404.3600000000006</v>
      </c>
      <c r="AG333" s="9">
        <f>IF(Table1[[#This Row],[GrossRevenue]]=0,0,Table1[[#This Row],[GrossProfit]]/Table1[[#This Row],[GrossRevenue]])</f>
        <v>0.55524094454535744</v>
      </c>
    </row>
    <row r="334" spans="1:33" x14ac:dyDescent="0.45">
      <c r="A334" t="s">
        <v>347</v>
      </c>
      <c r="B334">
        <v>1</v>
      </c>
      <c r="C334" s="3">
        <v>45245</v>
      </c>
      <c r="D334" s="6">
        <f>YEAR(Table1[[#This Row],[OrderDate]]) * 100 + MONTH(Table1[[#This Row],[OrderDate]])</f>
        <v>202311</v>
      </c>
      <c r="E334" s="6">
        <f>_xlfn.MINIFS(Table1[OrderMonthKey],Table1[Country],Table1[[#This Row],[Country]])</f>
        <v>202301</v>
      </c>
      <c r="F334" s="6">
        <f>Table1[[#This Row],[CountryFirstMonthKey]]</f>
        <v>202301</v>
      </c>
      <c r="G334" s="6">
        <f>12*(INT(Table1[[#This Row],[OrderMonthKey]]/100)-INT(Table1[[#This Row],[CohortMonthKey]]/100)) + (MOD(Table1[[#This Row],[OrderMonthKey]],100)-MOD(Table1[[#This Row],[CohortMonthKey]],100))</f>
        <v>10</v>
      </c>
      <c r="H334" s="3" t="str">
        <f>TEXT(Table1[[#This Row],[OrderDate]],"MMM-YYYY")</f>
        <v>Nov-2023</v>
      </c>
      <c r="I334" s="3" t="str">
        <f t="shared" si="15"/>
        <v>Q3-2023</v>
      </c>
      <c r="J334" s="26" t="str">
        <f>IF(Table1[[#This Row],[LeadTimeDays]]&lt;=7,"Yes","No")</f>
        <v>No</v>
      </c>
      <c r="K334" s="6">
        <f>_xlfn.DAYS(Table1[[#This Row],[CorrectedRequiredDate]],Table1[[#This Row],[OrderDate]])</f>
        <v>21</v>
      </c>
      <c r="L334" s="3">
        <f>IF(Table1[[#This Row],[RequiredDate]]&lt;Table1[[#This Row],[OrderDate]],Table1[[#This Row],[OrderDate]],Table1[[#This Row],[RequiredDate]])</f>
        <v>45266</v>
      </c>
      <c r="M334" s="3">
        <v>45266</v>
      </c>
      <c r="N334" t="s">
        <v>649</v>
      </c>
      <c r="O334" t="s">
        <v>658</v>
      </c>
      <c r="P334" t="s">
        <v>693</v>
      </c>
      <c r="Q334" t="s">
        <v>702</v>
      </c>
      <c r="R334" t="s">
        <v>711</v>
      </c>
      <c r="S334" t="s">
        <v>722</v>
      </c>
      <c r="T334" t="s">
        <v>733</v>
      </c>
      <c r="U334" t="s">
        <v>1066</v>
      </c>
      <c r="V334" s="8">
        <v>1184.99</v>
      </c>
      <c r="W334" s="8">
        <v>1154.3399999999999</v>
      </c>
      <c r="X334" s="8">
        <f t="shared" si="16"/>
        <v>815.10700000000008</v>
      </c>
      <c r="Y334" s="8">
        <f t="shared" si="17"/>
        <v>1620.05</v>
      </c>
      <c r="Z334" s="8" t="str">
        <f>IF(W333 &lt;= X332, "Low",IF(W333 &lt;= Y333, "Medium", "High"))</f>
        <v>High</v>
      </c>
      <c r="AA334">
        <v>2.8000000000000001E-2</v>
      </c>
      <c r="AB334">
        <f>IF(Table1[[#This Row],[DiscountPct]]&gt;0.2,1,0)</f>
        <v>0</v>
      </c>
      <c r="AC334" s="6">
        <v>5</v>
      </c>
      <c r="AD334" s="8">
        <f>Table1[[#This Row],[UnitPrice]]*Table1[[#This Row],[Quantity]]</f>
        <v>5771.7</v>
      </c>
      <c r="AE334" s="8">
        <f>Table1[[#This Row],[UnitCost]]*Table1[[#This Row],[Quantity]]</f>
        <v>5924.95</v>
      </c>
      <c r="AF334" s="8">
        <f>Table1[[#This Row],[GrossRevenue]]-Table1[[#This Row],[CostOfGoods]]</f>
        <v>-153.25</v>
      </c>
      <c r="AG334" s="9">
        <f>IF(Table1[[#This Row],[GrossRevenue]]=0,0,Table1[[#This Row],[GrossProfit]]/Table1[[#This Row],[GrossRevenue]])</f>
        <v>-2.6551969090562573E-2</v>
      </c>
    </row>
    <row r="335" spans="1:33" x14ac:dyDescent="0.45">
      <c r="A335" t="s">
        <v>348</v>
      </c>
      <c r="B335">
        <v>1</v>
      </c>
      <c r="C335" s="3">
        <v>45774</v>
      </c>
      <c r="D335" s="6">
        <f>YEAR(Table1[[#This Row],[OrderDate]]) * 100 + MONTH(Table1[[#This Row],[OrderDate]])</f>
        <v>202504</v>
      </c>
      <c r="E335" s="6">
        <f>_xlfn.MINIFS(Table1[OrderMonthKey],Table1[Country],Table1[[#This Row],[Country]])</f>
        <v>202302</v>
      </c>
      <c r="F335" s="6">
        <f>Table1[[#This Row],[CountryFirstMonthKey]]</f>
        <v>202302</v>
      </c>
      <c r="G335" s="6">
        <f>12*(INT(Table1[[#This Row],[OrderMonthKey]]/100)-INT(Table1[[#This Row],[CohortMonthKey]]/100)) + (MOD(Table1[[#This Row],[OrderMonthKey]],100)-MOD(Table1[[#This Row],[CohortMonthKey]],100))</f>
        <v>26</v>
      </c>
      <c r="H335" s="3" t="str">
        <f>TEXT(Table1[[#This Row],[OrderDate]],"MMM-YYYY")</f>
        <v>Apr-2025</v>
      </c>
      <c r="I335" s="3" t="str">
        <f t="shared" si="15"/>
        <v>Q4-2023</v>
      </c>
      <c r="J335" s="26" t="str">
        <f>IF(Table1[[#This Row],[LeadTimeDays]]&lt;=7,"Yes","No")</f>
        <v>No</v>
      </c>
      <c r="K335" s="6">
        <f>_xlfn.DAYS(Table1[[#This Row],[CorrectedRequiredDate]],Table1[[#This Row],[OrderDate]])</f>
        <v>30</v>
      </c>
      <c r="L335" s="3">
        <f>IF(Table1[[#This Row],[RequiredDate]]&lt;Table1[[#This Row],[OrderDate]],Table1[[#This Row],[OrderDate]],Table1[[#This Row],[RequiredDate]])</f>
        <v>45804</v>
      </c>
      <c r="M335" s="3">
        <v>45804</v>
      </c>
      <c r="N335" t="s">
        <v>647</v>
      </c>
      <c r="O335" t="s">
        <v>654</v>
      </c>
      <c r="P335" t="s">
        <v>668</v>
      </c>
      <c r="Q335" t="s">
        <v>706</v>
      </c>
      <c r="R335" t="s">
        <v>709</v>
      </c>
      <c r="S335" t="s">
        <v>722</v>
      </c>
      <c r="T335" t="s">
        <v>730</v>
      </c>
      <c r="U335" t="s">
        <v>1067</v>
      </c>
      <c r="V335" s="8">
        <v>481.32</v>
      </c>
      <c r="W335" s="8">
        <v>1135.99</v>
      </c>
      <c r="X335" s="8">
        <f t="shared" si="16"/>
        <v>815.10700000000008</v>
      </c>
      <c r="Y335" s="8">
        <f t="shared" si="17"/>
        <v>1620.05</v>
      </c>
      <c r="Z335" s="8" t="str">
        <f>IF(W334 &lt;= X333, "Low",IF(W334 &lt;= Y334, "Medium", "High"))</f>
        <v>Medium</v>
      </c>
      <c r="AA335">
        <v>0.14499999999999999</v>
      </c>
      <c r="AB335">
        <f>IF(Table1[[#This Row],[DiscountPct]]&gt;0.2,1,0)</f>
        <v>0</v>
      </c>
      <c r="AC335" s="6">
        <v>5</v>
      </c>
      <c r="AD335" s="8">
        <f>Table1[[#This Row],[UnitPrice]]*Table1[[#This Row],[Quantity]]</f>
        <v>5679.95</v>
      </c>
      <c r="AE335" s="8">
        <f>Table1[[#This Row],[UnitCost]]*Table1[[#This Row],[Quantity]]</f>
        <v>2406.6</v>
      </c>
      <c r="AF335" s="8">
        <f>Table1[[#This Row],[GrossRevenue]]-Table1[[#This Row],[CostOfGoods]]</f>
        <v>3273.35</v>
      </c>
      <c r="AG335" s="9">
        <f>IF(Table1[[#This Row],[GrossRevenue]]=0,0,Table1[[#This Row],[GrossProfit]]/Table1[[#This Row],[GrossRevenue]])</f>
        <v>0.57629908713985156</v>
      </c>
    </row>
    <row r="336" spans="1:33" hidden="1" x14ac:dyDescent="0.45">
      <c r="A336" t="s">
        <v>349</v>
      </c>
      <c r="C336" s="3">
        <v>45391</v>
      </c>
      <c r="D336" s="3">
        <f>YEAR(Table1[[#This Row],[OrderDate]]) * 100 + MONTH(Table1[[#This Row],[OrderDate]])</f>
        <v>202404</v>
      </c>
      <c r="E336" s="3">
        <f>_xlfn.MINIFS(Table1[OrderMonthKey],Table1[Country],Table1[[#This Row],[Country]])</f>
        <v>202301</v>
      </c>
      <c r="F336" s="3">
        <f>Table1[[#This Row],[CountryFirstMonthKey]]</f>
        <v>202301</v>
      </c>
      <c r="G336" s="3">
        <f>12*(INT(Table1[[#This Row],[OrderMonthKey]]/100)-INT(Table1[[#This Row],[CohortMonthKey]]/100)) + (MOD(Table1[[#This Row],[OrderMonthKey]],100)-MOD(Table1[[#This Row],[CohortMonthKey]],100))</f>
        <v>15</v>
      </c>
      <c r="H336" s="3" t="str">
        <f>TEXT(Table1[[#This Row],[OrderDate]],"MMM-YYYY")</f>
        <v>Apr-2024</v>
      </c>
      <c r="I336" s="3" t="str">
        <f t="shared" si="15"/>
        <v>Q2-2025</v>
      </c>
      <c r="J336" s="3" t="str">
        <f>IF(Table1[[#This Row],[LeadTimeDays]]&lt;=7,"Yes","No")</f>
        <v>No</v>
      </c>
      <c r="K336" s="3">
        <f>_xlfn.DAYS(Table1[[#This Row],[CorrectedRequiredDate]],Table1[[#This Row],[OrderDate]])</f>
        <v>9</v>
      </c>
      <c r="L336" s="3">
        <f>IF(Table1[[#This Row],[RequiredDate]]&lt;Table1[[#This Row],[OrderDate]],Table1[[#This Row],[OrderDate]],Table1[[#This Row],[RequiredDate]])</f>
        <v>45400</v>
      </c>
      <c r="M336" s="3">
        <v>45400</v>
      </c>
      <c r="N336" t="s">
        <v>649</v>
      </c>
      <c r="O336" t="s">
        <v>657</v>
      </c>
      <c r="P336" t="s">
        <v>679</v>
      </c>
      <c r="Q336" t="s">
        <v>704</v>
      </c>
      <c r="R336" t="s">
        <v>708</v>
      </c>
      <c r="S336" t="s">
        <v>718</v>
      </c>
      <c r="T336" t="s">
        <v>728</v>
      </c>
      <c r="U336" t="s">
        <v>1068</v>
      </c>
      <c r="V336" s="8">
        <v>1288.8499999999999</v>
      </c>
      <c r="W336" s="8">
        <v>2751.84</v>
      </c>
      <c r="X336" s="8">
        <f t="shared" si="16"/>
        <v>815.10700000000008</v>
      </c>
      <c r="Y336" s="8">
        <f t="shared" si="17"/>
        <v>1620.05</v>
      </c>
      <c r="AA336">
        <v>0.158</v>
      </c>
      <c r="AB336">
        <f>IF(Table1[[#This Row],[DiscountPct]]&gt;0.2,1,0)</f>
        <v>0</v>
      </c>
      <c r="AC336" s="6">
        <v>7</v>
      </c>
      <c r="AD336" s="8">
        <f>Table1[[#This Row],[UnitPrice]]*Table1[[#This Row],[Quantity]]</f>
        <v>19262.88</v>
      </c>
      <c r="AE336" s="8">
        <f>Table1[[#This Row],[UnitCost]]*Table1[[#This Row],[Quantity]]</f>
        <v>9021.9499999999989</v>
      </c>
      <c r="AF336" s="8">
        <f>Table1[[#This Row],[GrossRevenue]]-Table1[[#This Row],[CostOfGoods]]</f>
        <v>10240.930000000002</v>
      </c>
      <c r="AG336" s="8">
        <f>IF(Table1[[#This Row],[GrossRevenue]]=0,0,Table1[[#This Row],[GrossProfit]]/Table1[[#This Row],[GrossRevenue]])</f>
        <v>0.53164064771207642</v>
      </c>
    </row>
    <row r="337" spans="1:33" x14ac:dyDescent="0.45">
      <c r="A337" t="s">
        <v>350</v>
      </c>
      <c r="B337">
        <v>1</v>
      </c>
      <c r="C337" s="3">
        <v>45484</v>
      </c>
      <c r="D337" s="6">
        <f>YEAR(Table1[[#This Row],[OrderDate]]) * 100 + MONTH(Table1[[#This Row],[OrderDate]])</f>
        <v>202407</v>
      </c>
      <c r="E337" s="6">
        <f>_xlfn.MINIFS(Table1[OrderMonthKey],Table1[Country],Table1[[#This Row],[Country]])</f>
        <v>202301</v>
      </c>
      <c r="F337" s="6">
        <f>Table1[[#This Row],[CountryFirstMonthKey]]</f>
        <v>202301</v>
      </c>
      <c r="G337" s="6">
        <f>12*(INT(Table1[[#This Row],[OrderMonthKey]]/100)-INT(Table1[[#This Row],[CohortMonthKey]]/100)) + (MOD(Table1[[#This Row],[OrderMonthKey]],100)-MOD(Table1[[#This Row],[CohortMonthKey]],100))</f>
        <v>18</v>
      </c>
      <c r="H337" s="3" t="str">
        <f>TEXT(Table1[[#This Row],[OrderDate]],"MMM-YYYY")</f>
        <v>Jul-2024</v>
      </c>
      <c r="I337" s="3" t="str">
        <f t="shared" si="15"/>
        <v>Q2-2024</v>
      </c>
      <c r="J337" s="26" t="str">
        <f>IF(Table1[[#This Row],[LeadTimeDays]]&lt;=7,"Yes","No")</f>
        <v>No</v>
      </c>
      <c r="K337" s="6">
        <f>_xlfn.DAYS(Table1[[#This Row],[CorrectedRequiredDate]],Table1[[#This Row],[OrderDate]])</f>
        <v>20</v>
      </c>
      <c r="L337" s="3">
        <f>IF(Table1[[#This Row],[RequiredDate]]&lt;Table1[[#This Row],[OrderDate]],Table1[[#This Row],[OrderDate]],Table1[[#This Row],[RequiredDate]])</f>
        <v>45504</v>
      </c>
      <c r="M337" s="3">
        <v>45504</v>
      </c>
      <c r="N337" t="s">
        <v>647</v>
      </c>
      <c r="O337" t="s">
        <v>659</v>
      </c>
      <c r="P337" t="s">
        <v>676</v>
      </c>
      <c r="Q337" t="s">
        <v>704</v>
      </c>
      <c r="R337" t="s">
        <v>708</v>
      </c>
      <c r="S337" t="s">
        <v>715</v>
      </c>
      <c r="T337" t="s">
        <v>730</v>
      </c>
      <c r="U337" t="s">
        <v>1069</v>
      </c>
      <c r="V337" s="8">
        <v>647.26</v>
      </c>
      <c r="W337" s="8">
        <v>1374.72</v>
      </c>
      <c r="X337" s="8">
        <f t="shared" si="16"/>
        <v>815.10700000000008</v>
      </c>
      <c r="Y337" s="8">
        <f t="shared" si="17"/>
        <v>1620.05</v>
      </c>
      <c r="Z337" s="8" t="str">
        <f>IF(W336 &lt;= X335, "Low",IF(W336 &lt;= Y336, "Medium", "High"))</f>
        <v>High</v>
      </c>
      <c r="AA337">
        <v>6.6000000000000003E-2</v>
      </c>
      <c r="AB337">
        <f>IF(Table1[[#This Row],[DiscountPct]]&gt;0.2,1,0)</f>
        <v>0</v>
      </c>
      <c r="AC337" s="6">
        <v>22</v>
      </c>
      <c r="AD337" s="8">
        <f>Table1[[#This Row],[UnitPrice]]*Table1[[#This Row],[Quantity]]</f>
        <v>30243.84</v>
      </c>
      <c r="AE337" s="8">
        <f>Table1[[#This Row],[UnitCost]]*Table1[[#This Row],[Quantity]]</f>
        <v>14239.72</v>
      </c>
      <c r="AF337" s="8">
        <f>Table1[[#This Row],[GrossRevenue]]-Table1[[#This Row],[CostOfGoods]]</f>
        <v>16004.12</v>
      </c>
      <c r="AG337" s="9">
        <f>IF(Table1[[#This Row],[GrossRevenue]]=0,0,Table1[[#This Row],[GrossProfit]]/Table1[[#This Row],[GrossRevenue]])</f>
        <v>0.5291695763500931</v>
      </c>
    </row>
    <row r="338" spans="1:33" x14ac:dyDescent="0.45">
      <c r="A338" t="s">
        <v>351</v>
      </c>
      <c r="B338">
        <v>1</v>
      </c>
      <c r="C338" s="3">
        <v>45340</v>
      </c>
      <c r="D338" s="6">
        <f>YEAR(Table1[[#This Row],[OrderDate]]) * 100 + MONTH(Table1[[#This Row],[OrderDate]])</f>
        <v>202402</v>
      </c>
      <c r="E338" s="6">
        <f>_xlfn.MINIFS(Table1[OrderMonthKey],Table1[Country],Table1[[#This Row],[Country]])</f>
        <v>202301</v>
      </c>
      <c r="F338" s="6">
        <f>Table1[[#This Row],[CountryFirstMonthKey]]</f>
        <v>202301</v>
      </c>
      <c r="G338" s="6">
        <f>12*(INT(Table1[[#This Row],[OrderMonthKey]]/100)-INT(Table1[[#This Row],[CohortMonthKey]]/100)) + (MOD(Table1[[#This Row],[OrderMonthKey]],100)-MOD(Table1[[#This Row],[CohortMonthKey]],100))</f>
        <v>13</v>
      </c>
      <c r="H338" s="3" t="str">
        <f>TEXT(Table1[[#This Row],[OrderDate]],"MMM-YYYY")</f>
        <v>Feb-2024</v>
      </c>
      <c r="I338" s="3" t="str">
        <f t="shared" si="15"/>
        <v>Q3-2024</v>
      </c>
      <c r="J338" s="26" t="str">
        <f>IF(Table1[[#This Row],[LeadTimeDays]]&lt;=7,"Yes","No")</f>
        <v>No</v>
      </c>
      <c r="K338" s="6">
        <f>_xlfn.DAYS(Table1[[#This Row],[CorrectedRequiredDate]],Table1[[#This Row],[OrderDate]])</f>
        <v>14</v>
      </c>
      <c r="L338" s="3">
        <f>IF(Table1[[#This Row],[RequiredDate]]&lt;Table1[[#This Row],[OrderDate]],Table1[[#This Row],[OrderDate]],Table1[[#This Row],[RequiredDate]])</f>
        <v>45354</v>
      </c>
      <c r="M338" s="3">
        <v>45354</v>
      </c>
      <c r="N338" t="s">
        <v>648</v>
      </c>
      <c r="O338" t="s">
        <v>655</v>
      </c>
      <c r="P338" t="s">
        <v>1421</v>
      </c>
      <c r="Q338" t="s">
        <v>706</v>
      </c>
      <c r="R338" t="s">
        <v>710</v>
      </c>
      <c r="S338" t="s">
        <v>720</v>
      </c>
      <c r="T338" t="s">
        <v>728</v>
      </c>
      <c r="U338" t="s">
        <v>1070</v>
      </c>
      <c r="V338" s="8">
        <v>624.23</v>
      </c>
      <c r="W338" s="8">
        <v>1318.37</v>
      </c>
      <c r="X338" s="8">
        <f t="shared" si="16"/>
        <v>815.10700000000008</v>
      </c>
      <c r="Y338" s="8">
        <f t="shared" si="17"/>
        <v>1620.05</v>
      </c>
      <c r="Z338" s="8" t="str">
        <f>IF(W337 &lt;= X336, "Low",IF(W337 &lt;= Y337, "Medium", "High"))</f>
        <v>Medium</v>
      </c>
      <c r="AA338">
        <v>0.21</v>
      </c>
      <c r="AB338">
        <f>IF(Table1[[#This Row],[DiscountPct]]&gt;0.2,1,0)</f>
        <v>1</v>
      </c>
      <c r="AC338" s="6">
        <v>37</v>
      </c>
      <c r="AD338" s="8">
        <f>Table1[[#This Row],[UnitPrice]]*Table1[[#This Row],[Quantity]]</f>
        <v>48779.689999999995</v>
      </c>
      <c r="AE338" s="8">
        <f>Table1[[#This Row],[UnitCost]]*Table1[[#This Row],[Quantity]]</f>
        <v>23096.510000000002</v>
      </c>
      <c r="AF338" s="8">
        <f>Table1[[#This Row],[GrossRevenue]]-Table1[[#This Row],[CostOfGoods]]</f>
        <v>25683.179999999993</v>
      </c>
      <c r="AG338" s="9">
        <f>IF(Table1[[#This Row],[GrossRevenue]]=0,0,Table1[[#This Row],[GrossProfit]]/Table1[[#This Row],[GrossRevenue]])</f>
        <v>0.52651380113321744</v>
      </c>
    </row>
    <row r="339" spans="1:33" x14ac:dyDescent="0.45">
      <c r="A339" t="s">
        <v>352</v>
      </c>
      <c r="B339">
        <v>1</v>
      </c>
      <c r="C339" s="3">
        <v>45132</v>
      </c>
      <c r="D339" s="6">
        <f>YEAR(Table1[[#This Row],[OrderDate]]) * 100 + MONTH(Table1[[#This Row],[OrderDate]])</f>
        <v>202307</v>
      </c>
      <c r="E339" s="6">
        <f>_xlfn.MINIFS(Table1[OrderMonthKey],Table1[Country],Table1[[#This Row],[Country]])</f>
        <v>202301</v>
      </c>
      <c r="F339" s="6">
        <f>Table1[[#This Row],[CountryFirstMonthKey]]</f>
        <v>202301</v>
      </c>
      <c r="G339" s="6">
        <f>12*(INT(Table1[[#This Row],[OrderMonthKey]]/100)-INT(Table1[[#This Row],[CohortMonthKey]]/100)) + (MOD(Table1[[#This Row],[OrderMonthKey]],100)-MOD(Table1[[#This Row],[CohortMonthKey]],100))</f>
        <v>6</v>
      </c>
      <c r="H339" s="3" t="str">
        <f>TEXT(Table1[[#This Row],[OrderDate]],"MMM-YYYY")</f>
        <v>Jul-2023</v>
      </c>
      <c r="I339" s="3" t="str">
        <f t="shared" si="15"/>
        <v>Q1-2024</v>
      </c>
      <c r="J339" s="26" t="str">
        <f>IF(Table1[[#This Row],[LeadTimeDays]]&lt;=7,"Yes","No")</f>
        <v>No</v>
      </c>
      <c r="K339" s="6">
        <f>_xlfn.DAYS(Table1[[#This Row],[CorrectedRequiredDate]],Table1[[#This Row],[OrderDate]])</f>
        <v>16</v>
      </c>
      <c r="L339" s="3">
        <f>IF(Table1[[#This Row],[RequiredDate]]&lt;Table1[[#This Row],[OrderDate]],Table1[[#This Row],[OrderDate]],Table1[[#This Row],[RequiredDate]])</f>
        <v>45148</v>
      </c>
      <c r="M339" s="3">
        <v>45148</v>
      </c>
      <c r="N339" t="s">
        <v>646</v>
      </c>
      <c r="O339" t="s">
        <v>651</v>
      </c>
      <c r="P339" t="s">
        <v>663</v>
      </c>
      <c r="Q339" t="s">
        <v>701</v>
      </c>
      <c r="R339" t="s">
        <v>710</v>
      </c>
      <c r="S339" t="s">
        <v>714</v>
      </c>
      <c r="T339" t="s">
        <v>733</v>
      </c>
      <c r="U339" t="s">
        <v>1071</v>
      </c>
      <c r="V339" s="8">
        <v>506.83</v>
      </c>
      <c r="W339" s="8">
        <v>441.74</v>
      </c>
      <c r="X339" s="8">
        <f t="shared" si="16"/>
        <v>815.10700000000008</v>
      </c>
      <c r="Y339" s="8">
        <f t="shared" si="17"/>
        <v>1620.05</v>
      </c>
      <c r="Z339" s="8" t="str">
        <f>IF(W338 &lt;= X337, "Low",IF(W338 &lt;= Y338, "Medium", "High"))</f>
        <v>Medium</v>
      </c>
      <c r="AA339">
        <v>0.24</v>
      </c>
      <c r="AB339">
        <f>IF(Table1[[#This Row],[DiscountPct]]&gt;0.2,1,0)</f>
        <v>1</v>
      </c>
      <c r="AC339" s="6">
        <v>9</v>
      </c>
      <c r="AD339" s="8">
        <f>Table1[[#This Row],[UnitPrice]]*Table1[[#This Row],[Quantity]]</f>
        <v>3975.66</v>
      </c>
      <c r="AE339" s="8">
        <f>Table1[[#This Row],[UnitCost]]*Table1[[#This Row],[Quantity]]</f>
        <v>4561.47</v>
      </c>
      <c r="AF339" s="8">
        <f>Table1[[#This Row],[GrossRevenue]]-Table1[[#This Row],[CostOfGoods]]</f>
        <v>-585.8100000000004</v>
      </c>
      <c r="AG339" s="9">
        <f>IF(Table1[[#This Row],[GrossRevenue]]=0,0,Table1[[#This Row],[GrossProfit]]/Table1[[#This Row],[GrossRevenue]])</f>
        <v>-0.14734911939149736</v>
      </c>
    </row>
    <row r="340" spans="1:33" hidden="1" x14ac:dyDescent="0.45">
      <c r="A340" t="s">
        <v>353</v>
      </c>
      <c r="C340" s="3">
        <v>45121</v>
      </c>
      <c r="D340" s="3">
        <f>YEAR(Table1[[#This Row],[OrderDate]]) * 100 + MONTH(Table1[[#This Row],[OrderDate]])</f>
        <v>202307</v>
      </c>
      <c r="E340" s="3">
        <f>_xlfn.MINIFS(Table1[OrderMonthKey],Table1[Country],Table1[[#This Row],[Country]])</f>
        <v>202301</v>
      </c>
      <c r="F340" s="3">
        <f>Table1[[#This Row],[CountryFirstMonthKey]]</f>
        <v>202301</v>
      </c>
      <c r="G340" s="3">
        <f>12*(INT(Table1[[#This Row],[OrderMonthKey]]/100)-INT(Table1[[#This Row],[CohortMonthKey]]/100)) + (MOD(Table1[[#This Row],[OrderMonthKey]],100)-MOD(Table1[[#This Row],[CohortMonthKey]],100))</f>
        <v>6</v>
      </c>
      <c r="H340" s="3" t="str">
        <f>TEXT(Table1[[#This Row],[OrderDate]],"MMM-YYYY")</f>
        <v>Jul-2023</v>
      </c>
      <c r="I340" s="3" t="str">
        <f t="shared" si="15"/>
        <v>Q3-2023</v>
      </c>
      <c r="J340" s="3" t="str">
        <f>IF(Table1[[#This Row],[LeadTimeDays]]&lt;=7,"Yes","No")</f>
        <v>Yes</v>
      </c>
      <c r="K340" s="3">
        <f>_xlfn.DAYS(Table1[[#This Row],[CorrectedRequiredDate]],Table1[[#This Row],[OrderDate]])</f>
        <v>7</v>
      </c>
      <c r="L340" s="3">
        <f>IF(Table1[[#This Row],[RequiredDate]]&lt;Table1[[#This Row],[OrderDate]],Table1[[#This Row],[OrderDate]],Table1[[#This Row],[RequiredDate]])</f>
        <v>45128</v>
      </c>
      <c r="M340" s="3">
        <v>45128</v>
      </c>
      <c r="N340" t="s">
        <v>646</v>
      </c>
      <c r="O340" t="s">
        <v>661</v>
      </c>
      <c r="P340" t="s">
        <v>687</v>
      </c>
      <c r="Q340" t="s">
        <v>706</v>
      </c>
      <c r="R340" t="s">
        <v>709</v>
      </c>
      <c r="T340" t="s">
        <v>732</v>
      </c>
      <c r="U340" t="s">
        <v>1072</v>
      </c>
      <c r="V340" s="8">
        <v>620.74</v>
      </c>
      <c r="W340" s="8">
        <v>1330.07</v>
      </c>
      <c r="X340" s="8">
        <f t="shared" si="16"/>
        <v>815.10700000000008</v>
      </c>
      <c r="Y340" s="8">
        <f t="shared" si="17"/>
        <v>1620.05</v>
      </c>
      <c r="AA340">
        <v>0.29899999999999999</v>
      </c>
      <c r="AB340">
        <f>IF(Table1[[#This Row],[DiscountPct]]&gt;0.2,1,0)</f>
        <v>1</v>
      </c>
      <c r="AC340" s="6">
        <v>28</v>
      </c>
      <c r="AD340" s="8">
        <f>Table1[[#This Row],[UnitPrice]]*Table1[[#This Row],[Quantity]]</f>
        <v>37241.96</v>
      </c>
      <c r="AE340" s="8">
        <f>Table1[[#This Row],[UnitCost]]*Table1[[#This Row],[Quantity]]</f>
        <v>17380.72</v>
      </c>
      <c r="AF340" s="8">
        <f>Table1[[#This Row],[GrossRevenue]]-Table1[[#This Row],[CostOfGoods]]</f>
        <v>19861.239999999998</v>
      </c>
      <c r="AG340" s="8">
        <f>IF(Table1[[#This Row],[GrossRevenue]]=0,0,Table1[[#This Row],[GrossProfit]]/Table1[[#This Row],[GrossRevenue]])</f>
        <v>0.53330275850143216</v>
      </c>
    </row>
    <row r="341" spans="1:33" hidden="1" x14ac:dyDescent="0.45">
      <c r="A341" t="s">
        <v>354</v>
      </c>
      <c r="C341" s="3">
        <v>45131</v>
      </c>
      <c r="D341" s="3">
        <f>YEAR(Table1[[#This Row],[OrderDate]]) * 100 + MONTH(Table1[[#This Row],[OrderDate]])</f>
        <v>202307</v>
      </c>
      <c r="E341" s="3">
        <f>_xlfn.MINIFS(Table1[OrderMonthKey],Table1[Country],Table1[[#This Row],[Country]])</f>
        <v>202301</v>
      </c>
      <c r="F341" s="3">
        <f>Table1[[#This Row],[CountryFirstMonthKey]]</f>
        <v>202301</v>
      </c>
      <c r="G341" s="3">
        <f>12*(INT(Table1[[#This Row],[OrderMonthKey]]/100)-INT(Table1[[#This Row],[CohortMonthKey]]/100)) + (MOD(Table1[[#This Row],[OrderMonthKey]],100)-MOD(Table1[[#This Row],[CohortMonthKey]],100))</f>
        <v>6</v>
      </c>
      <c r="H341" s="3" t="str">
        <f>TEXT(Table1[[#This Row],[OrderDate]],"MMM-YYYY")</f>
        <v>Jul-2023</v>
      </c>
      <c r="I341" s="3" t="str">
        <f t="shared" si="15"/>
        <v>Q3-2023</v>
      </c>
      <c r="J341" s="3" t="str">
        <f>IF(Table1[[#This Row],[LeadTimeDays]]&lt;=7,"Yes","No")</f>
        <v>No</v>
      </c>
      <c r="K341" s="3">
        <f>_xlfn.DAYS(Table1[[#This Row],[CorrectedRequiredDate]],Table1[[#This Row],[OrderDate]])</f>
        <v>26</v>
      </c>
      <c r="L341" s="3">
        <f>IF(Table1[[#This Row],[RequiredDate]]&lt;Table1[[#This Row],[OrderDate]],Table1[[#This Row],[OrderDate]],Table1[[#This Row],[RequiredDate]])</f>
        <v>45157</v>
      </c>
      <c r="M341" s="3">
        <v>45157</v>
      </c>
      <c r="N341" t="s">
        <v>646</v>
      </c>
      <c r="O341" t="s">
        <v>650</v>
      </c>
      <c r="P341" t="s">
        <v>664</v>
      </c>
      <c r="Q341" t="s">
        <v>706</v>
      </c>
      <c r="R341" t="s">
        <v>710</v>
      </c>
      <c r="S341" t="s">
        <v>724</v>
      </c>
      <c r="T341" t="s">
        <v>733</v>
      </c>
      <c r="U341" t="s">
        <v>1073</v>
      </c>
      <c r="V341" s="8">
        <v>661.45</v>
      </c>
      <c r="W341" s="8">
        <v>1634.86</v>
      </c>
      <c r="X341" s="8">
        <f t="shared" si="16"/>
        <v>815.10700000000008</v>
      </c>
      <c r="Y341" s="8">
        <f t="shared" si="17"/>
        <v>1620.05</v>
      </c>
      <c r="AA341">
        <v>0.56499999999999995</v>
      </c>
      <c r="AB341">
        <f>IF(Table1[[#This Row],[DiscountPct]]&gt;0.2,1,0)</f>
        <v>1</v>
      </c>
      <c r="AC341" s="6">
        <v>24</v>
      </c>
      <c r="AD341" s="8">
        <f>Table1[[#This Row],[UnitPrice]]*Table1[[#This Row],[Quantity]]</f>
        <v>39236.639999999999</v>
      </c>
      <c r="AE341" s="8">
        <f>Table1[[#This Row],[UnitCost]]*Table1[[#This Row],[Quantity]]</f>
        <v>15874.800000000001</v>
      </c>
      <c r="AF341" s="8">
        <f>Table1[[#This Row],[GrossRevenue]]-Table1[[#This Row],[CostOfGoods]]</f>
        <v>23361.839999999997</v>
      </c>
      <c r="AG341" s="8">
        <f>IF(Table1[[#This Row],[GrossRevenue]]=0,0,Table1[[#This Row],[GrossProfit]]/Table1[[#This Row],[GrossRevenue]])</f>
        <v>0.59540878118003981</v>
      </c>
    </row>
    <row r="342" spans="1:33" hidden="1" x14ac:dyDescent="0.45">
      <c r="A342" t="s">
        <v>355</v>
      </c>
      <c r="C342" s="3">
        <v>45029</v>
      </c>
      <c r="D342" s="3">
        <f>YEAR(Table1[[#This Row],[OrderDate]]) * 100 + MONTH(Table1[[#This Row],[OrderDate]])</f>
        <v>202304</v>
      </c>
      <c r="E342" s="3">
        <f>_xlfn.MINIFS(Table1[OrderMonthKey],Table1[Country],Table1[[#This Row],[Country]])</f>
        <v>202301</v>
      </c>
      <c r="F342" s="3">
        <f>Table1[[#This Row],[CountryFirstMonthKey]]</f>
        <v>202301</v>
      </c>
      <c r="G342" s="3">
        <f>12*(INT(Table1[[#This Row],[OrderMonthKey]]/100)-INT(Table1[[#This Row],[CohortMonthKey]]/100)) + (MOD(Table1[[#This Row],[OrderMonthKey]],100)-MOD(Table1[[#This Row],[CohortMonthKey]],100))</f>
        <v>3</v>
      </c>
      <c r="H342" s="3" t="str">
        <f>TEXT(Table1[[#This Row],[OrderDate]],"MMM-YYYY")</f>
        <v>Apr-2023</v>
      </c>
      <c r="I342" s="3" t="str">
        <f t="shared" si="15"/>
        <v>Q3-2023</v>
      </c>
      <c r="J342" s="3" t="str">
        <f>IF(Table1[[#This Row],[LeadTimeDays]]&lt;=7,"Yes","No")</f>
        <v>Yes</v>
      </c>
      <c r="K342" s="3">
        <f>_xlfn.DAYS(Table1[[#This Row],[CorrectedRequiredDate]],Table1[[#This Row],[OrderDate]])</f>
        <v>0</v>
      </c>
      <c r="L342" s="3">
        <f>IF(Table1[[#This Row],[RequiredDate]]&lt;Table1[[#This Row],[OrderDate]],Table1[[#This Row],[OrderDate]],Table1[[#This Row],[RequiredDate]])</f>
        <v>45029</v>
      </c>
      <c r="M342" s="3">
        <v>45027</v>
      </c>
      <c r="N342" t="s">
        <v>648</v>
      </c>
      <c r="O342" t="s">
        <v>660</v>
      </c>
      <c r="P342" t="s">
        <v>686</v>
      </c>
      <c r="Q342" t="s">
        <v>702</v>
      </c>
      <c r="R342" t="s">
        <v>709</v>
      </c>
      <c r="S342" t="s">
        <v>715</v>
      </c>
      <c r="T342" t="s">
        <v>729</v>
      </c>
      <c r="U342" t="s">
        <v>1074</v>
      </c>
      <c r="V342" s="8">
        <v>32.1</v>
      </c>
      <c r="W342" s="8">
        <v>70.599999999999994</v>
      </c>
      <c r="X342" s="8">
        <f t="shared" si="16"/>
        <v>815.10700000000008</v>
      </c>
      <c r="Y342" s="8">
        <f t="shared" si="17"/>
        <v>1620.05</v>
      </c>
      <c r="AA342">
        <v>0.28199999999999997</v>
      </c>
      <c r="AB342">
        <f>IF(Table1[[#This Row],[DiscountPct]]&gt;0.2,1,0)</f>
        <v>1</v>
      </c>
      <c r="AC342" s="6">
        <v>22</v>
      </c>
      <c r="AD342" s="8">
        <f>Table1[[#This Row],[UnitPrice]]*Table1[[#This Row],[Quantity]]</f>
        <v>1553.1999999999998</v>
      </c>
      <c r="AE342" s="8">
        <f>Table1[[#This Row],[UnitCost]]*Table1[[#This Row],[Quantity]]</f>
        <v>706.2</v>
      </c>
      <c r="AF342" s="8">
        <f>Table1[[#This Row],[GrossRevenue]]-Table1[[#This Row],[CostOfGoods]]</f>
        <v>846.99999999999977</v>
      </c>
      <c r="AG342" s="8">
        <f>IF(Table1[[#This Row],[GrossRevenue]]=0,0,Table1[[#This Row],[GrossProfit]]/Table1[[#This Row],[GrossRevenue]])</f>
        <v>0.54532577903682711</v>
      </c>
    </row>
    <row r="343" spans="1:33" hidden="1" x14ac:dyDescent="0.45">
      <c r="A343" t="s">
        <v>356</v>
      </c>
      <c r="C343" s="3">
        <v>45594</v>
      </c>
      <c r="D343" s="3">
        <f>YEAR(Table1[[#This Row],[OrderDate]]) * 100 + MONTH(Table1[[#This Row],[OrderDate]])</f>
        <v>202410</v>
      </c>
      <c r="E343" s="3">
        <f>_xlfn.MINIFS(Table1[OrderMonthKey],Table1[Country],Table1[[#This Row],[Country]])</f>
        <v>202301</v>
      </c>
      <c r="F343" s="3">
        <f>Table1[[#This Row],[CountryFirstMonthKey]]</f>
        <v>202301</v>
      </c>
      <c r="G343" s="3">
        <f>12*(INT(Table1[[#This Row],[OrderMonthKey]]/100)-INT(Table1[[#This Row],[CohortMonthKey]]/100)) + (MOD(Table1[[#This Row],[OrderMonthKey]],100)-MOD(Table1[[#This Row],[CohortMonthKey]],100))</f>
        <v>21</v>
      </c>
      <c r="H343" s="3" t="str">
        <f>TEXT(Table1[[#This Row],[OrderDate]],"MMM-YYYY")</f>
        <v>Oct-2024</v>
      </c>
      <c r="I343" s="3" t="str">
        <f t="shared" si="15"/>
        <v>Q2-2023</v>
      </c>
      <c r="J343" s="3" t="str">
        <f>IF(Table1[[#This Row],[LeadTimeDays]]&lt;=7,"Yes","No")</f>
        <v>Yes</v>
      </c>
      <c r="K343" s="3">
        <f>_xlfn.DAYS(Table1[[#This Row],[CorrectedRequiredDate]],Table1[[#This Row],[OrderDate]])</f>
        <v>6</v>
      </c>
      <c r="L343" s="3">
        <f>IF(Table1[[#This Row],[RequiredDate]]&lt;Table1[[#This Row],[OrderDate]],Table1[[#This Row],[OrderDate]],Table1[[#This Row],[RequiredDate]])</f>
        <v>45600</v>
      </c>
      <c r="M343" s="3">
        <v>45600</v>
      </c>
      <c r="N343" t="s">
        <v>646</v>
      </c>
      <c r="O343" t="s">
        <v>650</v>
      </c>
      <c r="P343" t="s">
        <v>664</v>
      </c>
      <c r="Q343" t="s">
        <v>701</v>
      </c>
      <c r="R343" t="s">
        <v>710</v>
      </c>
      <c r="S343" t="s">
        <v>724</v>
      </c>
      <c r="T343" t="s">
        <v>728</v>
      </c>
      <c r="U343" t="s">
        <v>1075</v>
      </c>
      <c r="V343" s="8">
        <v>805.81</v>
      </c>
      <c r="W343" s="8">
        <v>1823.04</v>
      </c>
      <c r="X343" s="8">
        <f t="shared" si="16"/>
        <v>815.10700000000008</v>
      </c>
      <c r="Y343" s="8">
        <f t="shared" si="17"/>
        <v>1620.05</v>
      </c>
      <c r="AA343">
        <v>0</v>
      </c>
      <c r="AB343">
        <f>IF(Table1[[#This Row],[DiscountPct]]&gt;0.2,1,0)</f>
        <v>0</v>
      </c>
      <c r="AC343" s="6">
        <v>11</v>
      </c>
      <c r="AD343" s="8">
        <f>Table1[[#This Row],[UnitPrice]]*Table1[[#This Row],[Quantity]]</f>
        <v>20053.439999999999</v>
      </c>
      <c r="AE343" s="8">
        <f>Table1[[#This Row],[UnitCost]]*Table1[[#This Row],[Quantity]]</f>
        <v>8863.91</v>
      </c>
      <c r="AF343" s="8">
        <f>Table1[[#This Row],[GrossRevenue]]-Table1[[#This Row],[CostOfGoods]]</f>
        <v>11189.529999999999</v>
      </c>
      <c r="AG343" s="8">
        <f>IF(Table1[[#This Row],[GrossRevenue]]=0,0,Table1[[#This Row],[GrossProfit]]/Table1[[#This Row],[GrossRevenue]])</f>
        <v>0.55798556257679477</v>
      </c>
    </row>
    <row r="344" spans="1:33" x14ac:dyDescent="0.45">
      <c r="A344" t="s">
        <v>357</v>
      </c>
      <c r="B344">
        <v>1</v>
      </c>
      <c r="C344" s="3">
        <v>45339</v>
      </c>
      <c r="D344" s="6">
        <f>YEAR(Table1[[#This Row],[OrderDate]]) * 100 + MONTH(Table1[[#This Row],[OrderDate]])</f>
        <v>202402</v>
      </c>
      <c r="E344" s="6">
        <f>_xlfn.MINIFS(Table1[OrderMonthKey],Table1[Country],Table1[[#This Row],[Country]])</f>
        <v>202302</v>
      </c>
      <c r="F344" s="6">
        <f>Table1[[#This Row],[CountryFirstMonthKey]]</f>
        <v>202302</v>
      </c>
      <c r="G344" s="6">
        <f>12*(INT(Table1[[#This Row],[OrderMonthKey]]/100)-INT(Table1[[#This Row],[CohortMonthKey]]/100)) + (MOD(Table1[[#This Row],[OrderMonthKey]],100)-MOD(Table1[[#This Row],[CohortMonthKey]],100))</f>
        <v>12</v>
      </c>
      <c r="H344" s="3" t="str">
        <f>TEXT(Table1[[#This Row],[OrderDate]],"MMM-YYYY")</f>
        <v>Feb-2024</v>
      </c>
      <c r="I344" s="3" t="str">
        <f t="shared" si="15"/>
        <v>Q4-2024</v>
      </c>
      <c r="J344" s="26" t="str">
        <f>IF(Table1[[#This Row],[LeadTimeDays]]&lt;=7,"Yes","No")</f>
        <v>No</v>
      </c>
      <c r="K344" s="6">
        <f>_xlfn.DAYS(Table1[[#This Row],[CorrectedRequiredDate]],Table1[[#This Row],[OrderDate]])</f>
        <v>16</v>
      </c>
      <c r="L344" s="3">
        <f>IF(Table1[[#This Row],[RequiredDate]]&lt;Table1[[#This Row],[OrderDate]],Table1[[#This Row],[OrderDate]],Table1[[#This Row],[RequiredDate]])</f>
        <v>45355</v>
      </c>
      <c r="M344" s="3">
        <v>45355</v>
      </c>
      <c r="N344" t="s">
        <v>647</v>
      </c>
      <c r="O344" t="s">
        <v>654</v>
      </c>
      <c r="P344" t="s">
        <v>680</v>
      </c>
      <c r="Q344" t="s">
        <v>705</v>
      </c>
      <c r="R344" t="s">
        <v>709</v>
      </c>
      <c r="S344" t="s">
        <v>721</v>
      </c>
      <c r="T344" t="s">
        <v>730</v>
      </c>
      <c r="U344" t="s">
        <v>1076</v>
      </c>
      <c r="V344" s="8">
        <v>1231.8</v>
      </c>
      <c r="W344" s="8">
        <v>2015.99</v>
      </c>
      <c r="X344" s="8">
        <f t="shared" si="16"/>
        <v>815.10700000000008</v>
      </c>
      <c r="Y344" s="8">
        <f t="shared" si="17"/>
        <v>1620.05</v>
      </c>
      <c r="Z344" s="8" t="str">
        <f>IF(W343 &lt;= X342, "Low",IF(W343 &lt;= Y343, "Medium", "High"))</f>
        <v>High</v>
      </c>
      <c r="AA344">
        <v>0.26100000000000001</v>
      </c>
      <c r="AB344">
        <f>IF(Table1[[#This Row],[DiscountPct]]&gt;0.2,1,0)</f>
        <v>1</v>
      </c>
      <c r="AC344" s="6">
        <v>6</v>
      </c>
      <c r="AD344" s="8">
        <f>Table1[[#This Row],[UnitPrice]]*Table1[[#This Row],[Quantity]]</f>
        <v>12095.94</v>
      </c>
      <c r="AE344" s="8">
        <f>Table1[[#This Row],[UnitCost]]*Table1[[#This Row],[Quantity]]</f>
        <v>7390.7999999999993</v>
      </c>
      <c r="AF344" s="8">
        <f>Table1[[#This Row],[GrossRevenue]]-Table1[[#This Row],[CostOfGoods]]</f>
        <v>4705.1400000000012</v>
      </c>
      <c r="AG344" s="9">
        <f>IF(Table1[[#This Row],[GrossRevenue]]=0,0,Table1[[#This Row],[GrossProfit]]/Table1[[#This Row],[GrossRevenue]])</f>
        <v>0.38898506441004183</v>
      </c>
    </row>
    <row r="345" spans="1:33" hidden="1" x14ac:dyDescent="0.45">
      <c r="A345" t="s">
        <v>358</v>
      </c>
      <c r="C345" s="3">
        <v>45486</v>
      </c>
      <c r="D345" s="3">
        <f>YEAR(Table1[[#This Row],[OrderDate]]) * 100 + MONTH(Table1[[#This Row],[OrderDate]])</f>
        <v>202407</v>
      </c>
      <c r="E345" s="3">
        <f>_xlfn.MINIFS(Table1[OrderMonthKey],Table1[Country],Table1[[#This Row],[Country]])</f>
        <v>202303</v>
      </c>
      <c r="F345" s="3">
        <f>Table1[[#This Row],[CountryFirstMonthKey]]</f>
        <v>202303</v>
      </c>
      <c r="G345" s="3">
        <f>12*(INT(Table1[[#This Row],[OrderMonthKey]]/100)-INT(Table1[[#This Row],[CohortMonthKey]]/100)) + (MOD(Table1[[#This Row],[OrderMonthKey]],100)-MOD(Table1[[#This Row],[CohortMonthKey]],100))</f>
        <v>16</v>
      </c>
      <c r="H345" s="3" t="str">
        <f>TEXT(Table1[[#This Row],[OrderDate]],"MMM-YYYY")</f>
        <v>Jul-2024</v>
      </c>
      <c r="I345" s="3" t="str">
        <f t="shared" si="15"/>
        <v>Q1-2024</v>
      </c>
      <c r="J345" s="3" t="str">
        <f>IF(Table1[[#This Row],[LeadTimeDays]]&lt;=7,"Yes","No")</f>
        <v>Yes</v>
      </c>
      <c r="K345" s="3">
        <f>_xlfn.DAYS(Table1[[#This Row],[CorrectedRequiredDate]],Table1[[#This Row],[OrderDate]])</f>
        <v>0</v>
      </c>
      <c r="L345" s="3">
        <f>IF(Table1[[#This Row],[RequiredDate]]&lt;Table1[[#This Row],[OrderDate]],Table1[[#This Row],[OrderDate]],Table1[[#This Row],[RequiredDate]])</f>
        <v>45486</v>
      </c>
      <c r="M345" s="3">
        <v>45485</v>
      </c>
      <c r="N345" t="s">
        <v>647</v>
      </c>
      <c r="O345" t="s">
        <v>652</v>
      </c>
      <c r="P345" t="s">
        <v>694</v>
      </c>
      <c r="Q345" t="s">
        <v>705</v>
      </c>
      <c r="R345" t="s">
        <v>709</v>
      </c>
      <c r="S345" t="s">
        <v>721</v>
      </c>
      <c r="T345" t="s">
        <v>729</v>
      </c>
      <c r="U345" t="s">
        <v>1077</v>
      </c>
      <c r="V345" s="8">
        <v>105.13</v>
      </c>
      <c r="W345" s="8">
        <v>244.13</v>
      </c>
      <c r="X345" s="8">
        <f t="shared" si="16"/>
        <v>815.10700000000008</v>
      </c>
      <c r="Y345" s="8">
        <f t="shared" si="17"/>
        <v>1620.05</v>
      </c>
      <c r="AA345">
        <v>7.0999999999999994E-2</v>
      </c>
      <c r="AB345">
        <f>IF(Table1[[#This Row],[DiscountPct]]&gt;0.2,1,0)</f>
        <v>0</v>
      </c>
      <c r="AC345" s="6">
        <v>14</v>
      </c>
      <c r="AD345" s="8">
        <f>Table1[[#This Row],[UnitPrice]]*Table1[[#This Row],[Quantity]]</f>
        <v>3417.8199999999997</v>
      </c>
      <c r="AE345" s="8">
        <f>Table1[[#This Row],[UnitCost]]*Table1[[#This Row],[Quantity]]</f>
        <v>1471.82</v>
      </c>
      <c r="AF345" s="8">
        <f>Table1[[#This Row],[GrossRevenue]]-Table1[[#This Row],[CostOfGoods]]</f>
        <v>1945.9999999999998</v>
      </c>
      <c r="AG345" s="8">
        <f>IF(Table1[[#This Row],[GrossRevenue]]=0,0,Table1[[#This Row],[GrossProfit]]/Table1[[#This Row],[GrossRevenue]])</f>
        <v>0.56936877892925897</v>
      </c>
    </row>
    <row r="346" spans="1:33" hidden="1" x14ac:dyDescent="0.45">
      <c r="A346" t="s">
        <v>359</v>
      </c>
      <c r="C346" s="3">
        <v>45261</v>
      </c>
      <c r="D346" s="3">
        <f>YEAR(Table1[[#This Row],[OrderDate]]) * 100 + MONTH(Table1[[#This Row],[OrderDate]])</f>
        <v>202312</v>
      </c>
      <c r="E346" s="3">
        <f>_xlfn.MINIFS(Table1[OrderMonthKey],Table1[Country],Table1[[#This Row],[Country]])</f>
        <v>202303</v>
      </c>
      <c r="F346" s="3">
        <f>Table1[[#This Row],[CountryFirstMonthKey]]</f>
        <v>202303</v>
      </c>
      <c r="G346" s="3">
        <f>12*(INT(Table1[[#This Row],[OrderMonthKey]]/100)-INT(Table1[[#This Row],[CohortMonthKey]]/100)) + (MOD(Table1[[#This Row],[OrderMonthKey]],100)-MOD(Table1[[#This Row],[CohortMonthKey]],100))</f>
        <v>9</v>
      </c>
      <c r="H346" s="3" t="str">
        <f>TEXT(Table1[[#This Row],[OrderDate]],"MMM-YYYY")</f>
        <v>Dec-2023</v>
      </c>
      <c r="I346" s="3" t="str">
        <f t="shared" si="15"/>
        <v>Q3-2024</v>
      </c>
      <c r="J346" s="3" t="str">
        <f>IF(Table1[[#This Row],[LeadTimeDays]]&lt;=7,"Yes","No")</f>
        <v>No</v>
      </c>
      <c r="K346" s="3">
        <f>_xlfn.DAYS(Table1[[#This Row],[CorrectedRequiredDate]],Table1[[#This Row],[OrderDate]])</f>
        <v>17</v>
      </c>
      <c r="L346" s="3">
        <f>IF(Table1[[#This Row],[RequiredDate]]&lt;Table1[[#This Row],[OrderDate]],Table1[[#This Row],[OrderDate]],Table1[[#This Row],[RequiredDate]])</f>
        <v>45278</v>
      </c>
      <c r="M346" s="3">
        <v>45278</v>
      </c>
      <c r="N346" t="s">
        <v>647</v>
      </c>
      <c r="O346" t="s">
        <v>652</v>
      </c>
      <c r="P346" t="s">
        <v>694</v>
      </c>
      <c r="Q346" t="s">
        <v>705</v>
      </c>
      <c r="R346" t="s">
        <v>711</v>
      </c>
      <c r="S346" t="s">
        <v>725</v>
      </c>
      <c r="T346" t="s">
        <v>731</v>
      </c>
      <c r="U346" t="s">
        <v>1078</v>
      </c>
      <c r="V346" s="8">
        <v>1495.79</v>
      </c>
      <c r="W346" s="8">
        <v>2783.12</v>
      </c>
      <c r="X346" s="8">
        <f t="shared" si="16"/>
        <v>815.10700000000008</v>
      </c>
      <c r="Y346" s="8">
        <f t="shared" si="17"/>
        <v>1620.05</v>
      </c>
      <c r="AA346">
        <v>0.02</v>
      </c>
      <c r="AB346">
        <f>IF(Table1[[#This Row],[DiscountPct]]&gt;0.2,1,0)</f>
        <v>0</v>
      </c>
      <c r="AC346" s="6">
        <v>5</v>
      </c>
      <c r="AD346" s="8">
        <f>Table1[[#This Row],[UnitPrice]]*Table1[[#This Row],[Quantity]]</f>
        <v>13915.599999999999</v>
      </c>
      <c r="AE346" s="8">
        <f>Table1[[#This Row],[UnitCost]]*Table1[[#This Row],[Quantity]]</f>
        <v>7478.95</v>
      </c>
      <c r="AF346" s="8">
        <f>Table1[[#This Row],[GrossRevenue]]-Table1[[#This Row],[CostOfGoods]]</f>
        <v>6436.6499999999987</v>
      </c>
      <c r="AG346" s="8">
        <f>IF(Table1[[#This Row],[GrossRevenue]]=0,0,Table1[[#This Row],[GrossProfit]]/Table1[[#This Row],[GrossRevenue]])</f>
        <v>0.4625492253298456</v>
      </c>
    </row>
    <row r="347" spans="1:33" x14ac:dyDescent="0.45">
      <c r="A347" t="s">
        <v>360</v>
      </c>
      <c r="B347">
        <v>1</v>
      </c>
      <c r="C347" s="3">
        <v>45498</v>
      </c>
      <c r="D347" s="6">
        <f>YEAR(Table1[[#This Row],[OrderDate]]) * 100 + MONTH(Table1[[#This Row],[OrderDate]])</f>
        <v>202407</v>
      </c>
      <c r="E347" s="6">
        <f>_xlfn.MINIFS(Table1[OrderMonthKey],Table1[Country],Table1[[#This Row],[Country]])</f>
        <v>202301</v>
      </c>
      <c r="F347" s="6">
        <f>Table1[[#This Row],[CountryFirstMonthKey]]</f>
        <v>202301</v>
      </c>
      <c r="G347" s="6">
        <f>12*(INT(Table1[[#This Row],[OrderMonthKey]]/100)-INT(Table1[[#This Row],[CohortMonthKey]]/100)) + (MOD(Table1[[#This Row],[OrderMonthKey]],100)-MOD(Table1[[#This Row],[CohortMonthKey]],100))</f>
        <v>18</v>
      </c>
      <c r="H347" s="3" t="str">
        <f>TEXT(Table1[[#This Row],[OrderDate]],"MMM-YYYY")</f>
        <v>Jul-2024</v>
      </c>
      <c r="I347" s="3" t="str">
        <f t="shared" si="15"/>
        <v>Q4-2023</v>
      </c>
      <c r="J347" s="26" t="str">
        <f>IF(Table1[[#This Row],[LeadTimeDays]]&lt;=7,"Yes","No")</f>
        <v>No</v>
      </c>
      <c r="K347" s="6">
        <f>_xlfn.DAYS(Table1[[#This Row],[CorrectedRequiredDate]],Table1[[#This Row],[OrderDate]])</f>
        <v>8</v>
      </c>
      <c r="L347" s="3">
        <f>IF(Table1[[#This Row],[RequiredDate]]&lt;Table1[[#This Row],[OrderDate]],Table1[[#This Row],[OrderDate]],Table1[[#This Row],[RequiredDate]])</f>
        <v>45506</v>
      </c>
      <c r="M347" s="3">
        <v>45506</v>
      </c>
      <c r="N347" t="s">
        <v>648</v>
      </c>
      <c r="O347" t="s">
        <v>653</v>
      </c>
      <c r="P347" t="s">
        <v>681</v>
      </c>
      <c r="Q347" t="s">
        <v>704</v>
      </c>
      <c r="R347" t="s">
        <v>711</v>
      </c>
      <c r="S347" t="s">
        <v>713</v>
      </c>
      <c r="T347" t="s">
        <v>733</v>
      </c>
      <c r="U347" t="s">
        <v>1079</v>
      </c>
      <c r="V347" s="8">
        <v>986.81</v>
      </c>
      <c r="W347" s="8">
        <v>2050.31</v>
      </c>
      <c r="X347" s="8">
        <f t="shared" si="16"/>
        <v>815.10700000000008</v>
      </c>
      <c r="Y347" s="8">
        <f t="shared" si="17"/>
        <v>1620.05</v>
      </c>
      <c r="Z347" s="8" t="str">
        <f>IF(W346 &lt;= X345, "Low",IF(W346 &lt;= Y346, "Medium", "High"))</f>
        <v>High</v>
      </c>
      <c r="AA347">
        <v>0.10299999999999999</v>
      </c>
      <c r="AB347">
        <f>IF(Table1[[#This Row],[DiscountPct]]&gt;0.2,1,0)</f>
        <v>0</v>
      </c>
      <c r="AC347" s="6">
        <v>43</v>
      </c>
      <c r="AD347" s="8">
        <f>Table1[[#This Row],[UnitPrice]]*Table1[[#This Row],[Quantity]]</f>
        <v>88163.33</v>
      </c>
      <c r="AE347" s="8">
        <f>Table1[[#This Row],[UnitCost]]*Table1[[#This Row],[Quantity]]</f>
        <v>42432.829999999994</v>
      </c>
      <c r="AF347" s="8">
        <f>Table1[[#This Row],[GrossRevenue]]-Table1[[#This Row],[CostOfGoods]]</f>
        <v>45730.500000000007</v>
      </c>
      <c r="AG347" s="9">
        <f>IF(Table1[[#This Row],[GrossRevenue]]=0,0,Table1[[#This Row],[GrossProfit]]/Table1[[#This Row],[GrossRevenue]])</f>
        <v>0.51870204993391256</v>
      </c>
    </row>
    <row r="348" spans="1:33" x14ac:dyDescent="0.45">
      <c r="A348" t="s">
        <v>361</v>
      </c>
      <c r="B348">
        <v>1</v>
      </c>
      <c r="C348" s="3">
        <v>45050</v>
      </c>
      <c r="D348" s="6">
        <f>YEAR(Table1[[#This Row],[OrderDate]]) * 100 + MONTH(Table1[[#This Row],[OrderDate]])</f>
        <v>202305</v>
      </c>
      <c r="E348" s="6">
        <f>_xlfn.MINIFS(Table1[OrderMonthKey],Table1[Country],Table1[[#This Row],[Country]])</f>
        <v>202301</v>
      </c>
      <c r="F348" s="6">
        <f>Table1[[#This Row],[CountryFirstMonthKey]]</f>
        <v>202301</v>
      </c>
      <c r="G348" s="6">
        <f>12*(INT(Table1[[#This Row],[OrderMonthKey]]/100)-INT(Table1[[#This Row],[CohortMonthKey]]/100)) + (MOD(Table1[[#This Row],[OrderMonthKey]],100)-MOD(Table1[[#This Row],[CohortMonthKey]],100))</f>
        <v>4</v>
      </c>
      <c r="H348" s="3" t="str">
        <f>TEXT(Table1[[#This Row],[OrderDate]],"MMM-YYYY")</f>
        <v>May-2023</v>
      </c>
      <c r="I348" s="3" t="str">
        <f t="shared" si="15"/>
        <v>Q3-2024</v>
      </c>
      <c r="J348" s="26" t="str">
        <f>IF(Table1[[#This Row],[LeadTimeDays]]&lt;=7,"Yes","No")</f>
        <v>No</v>
      </c>
      <c r="K348" s="6">
        <f>_xlfn.DAYS(Table1[[#This Row],[CorrectedRequiredDate]],Table1[[#This Row],[OrderDate]])</f>
        <v>12</v>
      </c>
      <c r="L348" s="3">
        <f>IF(Table1[[#This Row],[RequiredDate]]&lt;Table1[[#This Row],[OrderDate]],Table1[[#This Row],[OrderDate]],Table1[[#This Row],[RequiredDate]])</f>
        <v>45062</v>
      </c>
      <c r="M348" s="3">
        <v>45062</v>
      </c>
      <c r="N348" t="s">
        <v>646</v>
      </c>
      <c r="O348" t="s">
        <v>651</v>
      </c>
      <c r="P348" t="s">
        <v>669</v>
      </c>
      <c r="Q348" t="s">
        <v>705</v>
      </c>
      <c r="R348" t="s">
        <v>709</v>
      </c>
      <c r="S348" t="s">
        <v>713</v>
      </c>
      <c r="T348" t="s">
        <v>730</v>
      </c>
      <c r="U348" t="s">
        <v>1080</v>
      </c>
      <c r="V348" s="8">
        <v>77.739999999999995</v>
      </c>
      <c r="W348" s="8">
        <v>147.12</v>
      </c>
      <c r="X348" s="8">
        <f t="shared" si="16"/>
        <v>815.10700000000008</v>
      </c>
      <c r="Y348" s="8">
        <f t="shared" si="17"/>
        <v>1620.05</v>
      </c>
      <c r="Z348" s="8" t="str">
        <f>IF(W347 &lt;= X346, "Low",IF(W347 &lt;= Y347, "Medium", "High"))</f>
        <v>High</v>
      </c>
      <c r="AA348">
        <v>0</v>
      </c>
      <c r="AB348">
        <f>IF(Table1[[#This Row],[DiscountPct]]&gt;0.2,1,0)</f>
        <v>0</v>
      </c>
      <c r="AC348" s="6">
        <v>15</v>
      </c>
      <c r="AD348" s="8">
        <f>Table1[[#This Row],[UnitPrice]]*Table1[[#This Row],[Quantity]]</f>
        <v>2206.8000000000002</v>
      </c>
      <c r="AE348" s="8">
        <f>Table1[[#This Row],[UnitCost]]*Table1[[#This Row],[Quantity]]</f>
        <v>1166.0999999999999</v>
      </c>
      <c r="AF348" s="8">
        <f>Table1[[#This Row],[GrossRevenue]]-Table1[[#This Row],[CostOfGoods]]</f>
        <v>1040.7000000000003</v>
      </c>
      <c r="AG348" s="9">
        <f>IF(Table1[[#This Row],[GrossRevenue]]=0,0,Table1[[#This Row],[GrossProfit]]/Table1[[#This Row],[GrossRevenue]])</f>
        <v>0.47158781946710177</v>
      </c>
    </row>
    <row r="349" spans="1:33" x14ac:dyDescent="0.45">
      <c r="A349" t="s">
        <v>362</v>
      </c>
      <c r="B349">
        <v>1</v>
      </c>
      <c r="C349" s="3">
        <v>45281</v>
      </c>
      <c r="D349" s="6">
        <f>YEAR(Table1[[#This Row],[OrderDate]]) * 100 + MONTH(Table1[[#This Row],[OrderDate]])</f>
        <v>202312</v>
      </c>
      <c r="E349" s="6">
        <f>_xlfn.MINIFS(Table1[OrderMonthKey],Table1[Country],Table1[[#This Row],[Country]])</f>
        <v>202301</v>
      </c>
      <c r="F349" s="6">
        <f>Table1[[#This Row],[CountryFirstMonthKey]]</f>
        <v>202301</v>
      </c>
      <c r="G349" s="6">
        <f>12*(INT(Table1[[#This Row],[OrderMonthKey]]/100)-INT(Table1[[#This Row],[CohortMonthKey]]/100)) + (MOD(Table1[[#This Row],[OrderMonthKey]],100)-MOD(Table1[[#This Row],[CohortMonthKey]],100))</f>
        <v>11</v>
      </c>
      <c r="H349" s="3" t="str">
        <f>TEXT(Table1[[#This Row],[OrderDate]],"MMM-YYYY")</f>
        <v>Dec-2023</v>
      </c>
      <c r="I349" s="3" t="str">
        <f t="shared" si="15"/>
        <v>Q2-2023</v>
      </c>
      <c r="J349" s="26" t="str">
        <f>IF(Table1[[#This Row],[LeadTimeDays]]&lt;=7,"Yes","No")</f>
        <v>No</v>
      </c>
      <c r="K349" s="6">
        <f>_xlfn.DAYS(Table1[[#This Row],[CorrectedRequiredDate]],Table1[[#This Row],[OrderDate]])</f>
        <v>16</v>
      </c>
      <c r="L349" s="3">
        <f>IF(Table1[[#This Row],[RequiredDate]]&lt;Table1[[#This Row],[OrderDate]],Table1[[#This Row],[OrderDate]],Table1[[#This Row],[RequiredDate]])</f>
        <v>45297</v>
      </c>
      <c r="M349" s="3">
        <v>45297</v>
      </c>
      <c r="N349" t="s">
        <v>646</v>
      </c>
      <c r="O349" t="s">
        <v>651</v>
      </c>
      <c r="P349" t="s">
        <v>665</v>
      </c>
      <c r="Q349" t="s">
        <v>701</v>
      </c>
      <c r="R349" t="s">
        <v>709</v>
      </c>
      <c r="S349" t="s">
        <v>723</v>
      </c>
      <c r="T349" t="s">
        <v>727</v>
      </c>
      <c r="U349" t="s">
        <v>1081</v>
      </c>
      <c r="V349" s="8">
        <v>932.61</v>
      </c>
      <c r="W349" s="8">
        <v>1982.98</v>
      </c>
      <c r="X349" s="8">
        <f t="shared" si="16"/>
        <v>815.10700000000008</v>
      </c>
      <c r="Y349" s="8">
        <f t="shared" si="17"/>
        <v>1620.05</v>
      </c>
      <c r="Z349" s="8" t="str">
        <f>IF(W348 &lt;= X347, "Low",IF(W348 &lt;= Y348, "Medium", "High"))</f>
        <v>Low</v>
      </c>
      <c r="AA349">
        <v>0.14399999999999999</v>
      </c>
      <c r="AB349">
        <f>IF(Table1[[#This Row],[DiscountPct]]&gt;0.2,1,0)</f>
        <v>0</v>
      </c>
      <c r="AC349" s="6">
        <v>16</v>
      </c>
      <c r="AD349" s="8">
        <f>Table1[[#This Row],[UnitPrice]]*Table1[[#This Row],[Quantity]]</f>
        <v>31727.68</v>
      </c>
      <c r="AE349" s="8">
        <f>Table1[[#This Row],[UnitCost]]*Table1[[#This Row],[Quantity]]</f>
        <v>14921.76</v>
      </c>
      <c r="AF349" s="8">
        <f>Table1[[#This Row],[GrossRevenue]]-Table1[[#This Row],[CostOfGoods]]</f>
        <v>16805.919999999998</v>
      </c>
      <c r="AG349" s="9">
        <f>IF(Table1[[#This Row],[GrossRevenue]]=0,0,Table1[[#This Row],[GrossProfit]]/Table1[[#This Row],[GrossRevenue]])</f>
        <v>0.52969268474719855</v>
      </c>
    </row>
    <row r="350" spans="1:33" x14ac:dyDescent="0.45">
      <c r="A350" t="s">
        <v>363</v>
      </c>
      <c r="B350">
        <v>1</v>
      </c>
      <c r="C350" s="3">
        <v>45825</v>
      </c>
      <c r="D350" s="6">
        <f>YEAR(Table1[[#This Row],[OrderDate]]) * 100 + MONTH(Table1[[#This Row],[OrderDate]])</f>
        <v>202506</v>
      </c>
      <c r="E350" s="6">
        <f>_xlfn.MINIFS(Table1[OrderMonthKey],Table1[Country],Table1[[#This Row],[Country]])</f>
        <v>202302</v>
      </c>
      <c r="F350" s="6">
        <f>Table1[[#This Row],[CountryFirstMonthKey]]</f>
        <v>202302</v>
      </c>
      <c r="G350" s="6">
        <f>12*(INT(Table1[[#This Row],[OrderMonthKey]]/100)-INT(Table1[[#This Row],[CohortMonthKey]]/100)) + (MOD(Table1[[#This Row],[OrderMonthKey]],100)-MOD(Table1[[#This Row],[CohortMonthKey]],100))</f>
        <v>28</v>
      </c>
      <c r="H350" s="3" t="str">
        <f>TEXT(Table1[[#This Row],[OrderDate]],"MMM-YYYY")</f>
        <v>Jun-2025</v>
      </c>
      <c r="I350" s="3" t="str">
        <f t="shared" si="15"/>
        <v>Q4-2023</v>
      </c>
      <c r="J350" s="26" t="str">
        <f>IF(Table1[[#This Row],[LeadTimeDays]]&lt;=7,"Yes","No")</f>
        <v>No</v>
      </c>
      <c r="K350" s="6">
        <f>_xlfn.DAYS(Table1[[#This Row],[CorrectedRequiredDate]],Table1[[#This Row],[OrderDate]])</f>
        <v>18</v>
      </c>
      <c r="L350" s="3">
        <f>IF(Table1[[#This Row],[RequiredDate]]&lt;Table1[[#This Row],[OrderDate]],Table1[[#This Row],[OrderDate]],Table1[[#This Row],[RequiredDate]])</f>
        <v>45843</v>
      </c>
      <c r="M350" s="3">
        <v>45843</v>
      </c>
      <c r="N350" t="s">
        <v>647</v>
      </c>
      <c r="O350" t="s">
        <v>654</v>
      </c>
      <c r="P350" t="s">
        <v>680</v>
      </c>
      <c r="Q350" t="s">
        <v>704</v>
      </c>
      <c r="R350" t="s">
        <v>709</v>
      </c>
      <c r="S350" t="s">
        <v>716</v>
      </c>
      <c r="T350" t="s">
        <v>731</v>
      </c>
      <c r="U350" t="s">
        <v>1082</v>
      </c>
      <c r="V350" s="8">
        <v>982.93</v>
      </c>
      <c r="W350" s="8">
        <v>2299.3000000000002</v>
      </c>
      <c r="X350" s="8">
        <f t="shared" si="16"/>
        <v>815.10700000000008</v>
      </c>
      <c r="Y350" s="8">
        <f t="shared" si="17"/>
        <v>1620.05</v>
      </c>
      <c r="Z350" s="8" t="str">
        <f>IF(W349 &lt;= X348, "Low",IF(W349 &lt;= Y349, "Medium", "High"))</f>
        <v>High</v>
      </c>
      <c r="AA350">
        <v>0.113</v>
      </c>
      <c r="AB350">
        <f>IF(Table1[[#This Row],[DiscountPct]]&gt;0.2,1,0)</f>
        <v>0</v>
      </c>
      <c r="AC350" s="6">
        <v>6</v>
      </c>
      <c r="AD350" s="8">
        <f>Table1[[#This Row],[UnitPrice]]*Table1[[#This Row],[Quantity]]</f>
        <v>13795.800000000001</v>
      </c>
      <c r="AE350" s="8">
        <f>Table1[[#This Row],[UnitCost]]*Table1[[#This Row],[Quantity]]</f>
        <v>5897.58</v>
      </c>
      <c r="AF350" s="8">
        <f>Table1[[#This Row],[GrossRevenue]]-Table1[[#This Row],[CostOfGoods]]</f>
        <v>7898.2200000000012</v>
      </c>
      <c r="AG350" s="9">
        <f>IF(Table1[[#This Row],[GrossRevenue]]=0,0,Table1[[#This Row],[GrossProfit]]/Table1[[#This Row],[GrossRevenue]])</f>
        <v>0.57250902448571306</v>
      </c>
    </row>
    <row r="351" spans="1:33" x14ac:dyDescent="0.45">
      <c r="A351" t="s">
        <v>364</v>
      </c>
      <c r="B351">
        <v>1</v>
      </c>
      <c r="C351" s="3">
        <v>44980</v>
      </c>
      <c r="D351" s="6">
        <f>YEAR(Table1[[#This Row],[OrderDate]]) * 100 + MONTH(Table1[[#This Row],[OrderDate]])</f>
        <v>202302</v>
      </c>
      <c r="E351" s="6">
        <f>_xlfn.MINIFS(Table1[OrderMonthKey],Table1[Country],Table1[[#This Row],[Country]])</f>
        <v>202301</v>
      </c>
      <c r="F351" s="6">
        <f>Table1[[#This Row],[CountryFirstMonthKey]]</f>
        <v>202301</v>
      </c>
      <c r="G351" s="6">
        <f>12*(INT(Table1[[#This Row],[OrderMonthKey]]/100)-INT(Table1[[#This Row],[CohortMonthKey]]/100)) + (MOD(Table1[[#This Row],[OrderMonthKey]],100)-MOD(Table1[[#This Row],[CohortMonthKey]],100))</f>
        <v>1</v>
      </c>
      <c r="H351" s="3" t="str">
        <f>TEXT(Table1[[#This Row],[OrderDate]],"MMM-YYYY")</f>
        <v>Feb-2023</v>
      </c>
      <c r="I351" s="3" t="str">
        <f t="shared" si="15"/>
        <v>Q2-2025</v>
      </c>
      <c r="J351" s="26" t="str">
        <f>IF(Table1[[#This Row],[LeadTimeDays]]&lt;=7,"Yes","No")</f>
        <v>No</v>
      </c>
      <c r="K351" s="6">
        <f>_xlfn.DAYS(Table1[[#This Row],[CorrectedRequiredDate]],Table1[[#This Row],[OrderDate]])</f>
        <v>13</v>
      </c>
      <c r="L351" s="3">
        <f>IF(Table1[[#This Row],[RequiredDate]]&lt;Table1[[#This Row],[OrderDate]],Table1[[#This Row],[OrderDate]],Table1[[#This Row],[RequiredDate]])</f>
        <v>44993</v>
      </c>
      <c r="M351" s="3">
        <v>44993</v>
      </c>
      <c r="N351" t="s">
        <v>649</v>
      </c>
      <c r="O351" t="s">
        <v>658</v>
      </c>
      <c r="P351" t="s">
        <v>693</v>
      </c>
      <c r="Q351" t="s">
        <v>705</v>
      </c>
      <c r="R351" t="s">
        <v>711</v>
      </c>
      <c r="S351" t="s">
        <v>712</v>
      </c>
      <c r="T351" t="s">
        <v>728</v>
      </c>
      <c r="U351" t="s">
        <v>1083</v>
      </c>
      <c r="V351" s="8">
        <v>307.37</v>
      </c>
      <c r="W351" s="8">
        <v>462.61</v>
      </c>
      <c r="X351" s="8">
        <f t="shared" si="16"/>
        <v>815.10700000000008</v>
      </c>
      <c r="Y351" s="8">
        <f t="shared" si="17"/>
        <v>1620.05</v>
      </c>
      <c r="Z351" s="8" t="str">
        <f>IF(W350 &lt;= X349, "Low",IF(W350 &lt;= Y350, "Medium", "High"))</f>
        <v>High</v>
      </c>
      <c r="AA351">
        <v>0.188</v>
      </c>
      <c r="AB351">
        <f>IF(Table1[[#This Row],[DiscountPct]]&gt;0.2,1,0)</f>
        <v>0</v>
      </c>
      <c r="AC351" s="6">
        <v>11</v>
      </c>
      <c r="AD351" s="8">
        <f>Table1[[#This Row],[UnitPrice]]*Table1[[#This Row],[Quantity]]</f>
        <v>5088.71</v>
      </c>
      <c r="AE351" s="8">
        <f>Table1[[#This Row],[UnitCost]]*Table1[[#This Row],[Quantity]]</f>
        <v>3381.07</v>
      </c>
      <c r="AF351" s="8">
        <f>Table1[[#This Row],[GrossRevenue]]-Table1[[#This Row],[CostOfGoods]]</f>
        <v>1707.6399999999999</v>
      </c>
      <c r="AG351" s="9">
        <f>IF(Table1[[#This Row],[GrossRevenue]]=0,0,Table1[[#This Row],[GrossProfit]]/Table1[[#This Row],[GrossRevenue]])</f>
        <v>0.33557424180194978</v>
      </c>
    </row>
    <row r="352" spans="1:33" hidden="1" x14ac:dyDescent="0.45">
      <c r="A352" t="s">
        <v>365</v>
      </c>
      <c r="C352" s="3">
        <v>45262</v>
      </c>
      <c r="D352" s="3">
        <f>YEAR(Table1[[#This Row],[OrderDate]]) * 100 + MONTH(Table1[[#This Row],[OrderDate]])</f>
        <v>202312</v>
      </c>
      <c r="E352" s="3">
        <f>_xlfn.MINIFS(Table1[OrderMonthKey],Table1[Country],Table1[[#This Row],[Country]])</f>
        <v>202301</v>
      </c>
      <c r="F352" s="3">
        <f>Table1[[#This Row],[CountryFirstMonthKey]]</f>
        <v>202301</v>
      </c>
      <c r="G352" s="3">
        <f>12*(INT(Table1[[#This Row],[OrderMonthKey]]/100)-INT(Table1[[#This Row],[CohortMonthKey]]/100)) + (MOD(Table1[[#This Row],[OrderMonthKey]],100)-MOD(Table1[[#This Row],[CohortMonthKey]],100))</f>
        <v>11</v>
      </c>
      <c r="H352" s="3" t="str">
        <f>TEXT(Table1[[#This Row],[OrderDate]],"MMM-YYYY")</f>
        <v>Dec-2023</v>
      </c>
      <c r="I352" s="3" t="str">
        <f t="shared" si="15"/>
        <v>Q1-2023</v>
      </c>
      <c r="J352" s="3" t="str">
        <f>IF(Table1[[#This Row],[LeadTimeDays]]&lt;=7,"Yes","No")</f>
        <v>No</v>
      </c>
      <c r="K352" s="3">
        <f>_xlfn.DAYS(Table1[[#This Row],[CorrectedRequiredDate]],Table1[[#This Row],[OrderDate]])</f>
        <v>14</v>
      </c>
      <c r="L352" s="3">
        <f>IF(Table1[[#This Row],[RequiredDate]]&lt;Table1[[#This Row],[OrderDate]],Table1[[#This Row],[OrderDate]],Table1[[#This Row],[RequiredDate]])</f>
        <v>45276</v>
      </c>
      <c r="M352" s="3">
        <v>45276</v>
      </c>
      <c r="N352" t="s">
        <v>649</v>
      </c>
      <c r="O352" t="s">
        <v>656</v>
      </c>
      <c r="P352" t="s">
        <v>698</v>
      </c>
      <c r="Q352" t="s">
        <v>702</v>
      </c>
      <c r="R352" t="s">
        <v>711</v>
      </c>
      <c r="S352" t="s">
        <v>725</v>
      </c>
      <c r="T352" t="s">
        <v>732</v>
      </c>
      <c r="U352" t="s">
        <v>1084</v>
      </c>
      <c r="V352" s="8">
        <v>879.08</v>
      </c>
      <c r="W352" s="8">
        <v>1093.3900000000001</v>
      </c>
      <c r="X352" s="8">
        <f t="shared" si="16"/>
        <v>815.10700000000008</v>
      </c>
      <c r="Y352" s="8">
        <f t="shared" si="17"/>
        <v>1620.05</v>
      </c>
      <c r="AA352">
        <v>0.113</v>
      </c>
      <c r="AB352">
        <f>IF(Table1[[#This Row],[DiscountPct]]&gt;0.2,1,0)</f>
        <v>0</v>
      </c>
      <c r="AC352" s="6">
        <v>17</v>
      </c>
      <c r="AD352" s="8">
        <f>Table1[[#This Row],[UnitPrice]]*Table1[[#This Row],[Quantity]]</f>
        <v>18587.63</v>
      </c>
      <c r="AE352" s="8">
        <f>Table1[[#This Row],[UnitCost]]*Table1[[#This Row],[Quantity]]</f>
        <v>14944.36</v>
      </c>
      <c r="AF352" s="8">
        <f>Table1[[#This Row],[GrossRevenue]]-Table1[[#This Row],[CostOfGoods]]</f>
        <v>3643.2700000000004</v>
      </c>
      <c r="AG352" s="8">
        <f>IF(Table1[[#This Row],[GrossRevenue]]=0,0,Table1[[#This Row],[GrossProfit]]/Table1[[#This Row],[GrossRevenue]])</f>
        <v>0.19600508510229653</v>
      </c>
    </row>
    <row r="353" spans="1:33" x14ac:dyDescent="0.45">
      <c r="A353" t="s">
        <v>366</v>
      </c>
      <c r="B353">
        <v>1</v>
      </c>
      <c r="C353" s="3">
        <v>45121</v>
      </c>
      <c r="D353" s="6">
        <f>YEAR(Table1[[#This Row],[OrderDate]]) * 100 + MONTH(Table1[[#This Row],[OrderDate]])</f>
        <v>202307</v>
      </c>
      <c r="E353" s="6">
        <f>_xlfn.MINIFS(Table1[OrderMonthKey],Table1[Country],Table1[[#This Row],[Country]])</f>
        <v>202301</v>
      </c>
      <c r="F353" s="6">
        <f>Table1[[#This Row],[CountryFirstMonthKey]]</f>
        <v>202301</v>
      </c>
      <c r="G353" s="6">
        <f>12*(INT(Table1[[#This Row],[OrderMonthKey]]/100)-INT(Table1[[#This Row],[CohortMonthKey]]/100)) + (MOD(Table1[[#This Row],[OrderMonthKey]],100)-MOD(Table1[[#This Row],[CohortMonthKey]],100))</f>
        <v>6</v>
      </c>
      <c r="H353" s="3" t="str">
        <f>TEXT(Table1[[#This Row],[OrderDate]],"MMM-YYYY")</f>
        <v>Jul-2023</v>
      </c>
      <c r="I353" s="3" t="str">
        <f t="shared" si="15"/>
        <v>Q4-2023</v>
      </c>
      <c r="J353" s="26" t="str">
        <f>IF(Table1[[#This Row],[LeadTimeDays]]&lt;=7,"Yes","No")</f>
        <v>Yes</v>
      </c>
      <c r="K353" s="6">
        <f>_xlfn.DAYS(Table1[[#This Row],[CorrectedRequiredDate]],Table1[[#This Row],[OrderDate]])</f>
        <v>0</v>
      </c>
      <c r="L353" s="3">
        <f>IF(Table1[[#This Row],[RequiredDate]]&lt;Table1[[#This Row],[OrderDate]],Table1[[#This Row],[OrderDate]],Table1[[#This Row],[RequiredDate]])</f>
        <v>45121</v>
      </c>
      <c r="M353" s="3">
        <v>45121</v>
      </c>
      <c r="N353" t="s">
        <v>646</v>
      </c>
      <c r="O353" t="s">
        <v>651</v>
      </c>
      <c r="P353" t="s">
        <v>665</v>
      </c>
      <c r="Q353" t="s">
        <v>702</v>
      </c>
      <c r="R353" t="s">
        <v>707</v>
      </c>
      <c r="S353" t="s">
        <v>714</v>
      </c>
      <c r="T353" t="s">
        <v>733</v>
      </c>
      <c r="U353" t="s">
        <v>1085</v>
      </c>
      <c r="V353" s="8">
        <v>956.38</v>
      </c>
      <c r="W353" s="8">
        <v>1454.22</v>
      </c>
      <c r="X353" s="8">
        <f t="shared" si="16"/>
        <v>815.10700000000008</v>
      </c>
      <c r="Y353" s="8">
        <f t="shared" si="17"/>
        <v>1620.05</v>
      </c>
      <c r="Z353" s="8" t="str">
        <f>IF(W352 &lt;= X351, "Low",IF(W352 &lt;= Y352, "Medium", "High"))</f>
        <v>Medium</v>
      </c>
      <c r="AA353">
        <v>3.9E-2</v>
      </c>
      <c r="AB353">
        <f>IF(Table1[[#This Row],[DiscountPct]]&gt;0.2,1,0)</f>
        <v>0</v>
      </c>
      <c r="AC353" s="6">
        <v>19</v>
      </c>
      <c r="AD353" s="8">
        <f>Table1[[#This Row],[UnitPrice]]*Table1[[#This Row],[Quantity]]</f>
        <v>27630.18</v>
      </c>
      <c r="AE353" s="8">
        <f>Table1[[#This Row],[UnitCost]]*Table1[[#This Row],[Quantity]]</f>
        <v>18171.22</v>
      </c>
      <c r="AF353" s="8">
        <f>Table1[[#This Row],[GrossRevenue]]-Table1[[#This Row],[CostOfGoods]]</f>
        <v>9458.9599999999991</v>
      </c>
      <c r="AG353" s="9">
        <f>IF(Table1[[#This Row],[GrossRevenue]]=0,0,Table1[[#This Row],[GrossProfit]]/Table1[[#This Row],[GrossRevenue]])</f>
        <v>0.34234159893276117</v>
      </c>
    </row>
    <row r="354" spans="1:33" hidden="1" x14ac:dyDescent="0.45">
      <c r="A354" t="s">
        <v>367</v>
      </c>
      <c r="C354" s="3">
        <v>45512</v>
      </c>
      <c r="D354" s="3">
        <f>YEAR(Table1[[#This Row],[OrderDate]]) * 100 + MONTH(Table1[[#This Row],[OrderDate]])</f>
        <v>202408</v>
      </c>
      <c r="E354" s="3">
        <f>_xlfn.MINIFS(Table1[OrderMonthKey],Table1[Country],Table1[[#This Row],[Country]])</f>
        <v>202303</v>
      </c>
      <c r="F354" s="3">
        <f>Table1[[#This Row],[CountryFirstMonthKey]]</f>
        <v>202303</v>
      </c>
      <c r="G354" s="3">
        <f>12*(INT(Table1[[#This Row],[OrderMonthKey]]/100)-INT(Table1[[#This Row],[CohortMonthKey]]/100)) + (MOD(Table1[[#This Row],[OrderMonthKey]],100)-MOD(Table1[[#This Row],[CohortMonthKey]],100))</f>
        <v>17</v>
      </c>
      <c r="H354" s="3" t="str">
        <f>TEXT(Table1[[#This Row],[OrderDate]],"MMM-YYYY")</f>
        <v>Aug-2024</v>
      </c>
      <c r="I354" s="3" t="str">
        <f t="shared" si="15"/>
        <v>Q3-2023</v>
      </c>
      <c r="J354" s="3" t="str">
        <f>IF(Table1[[#This Row],[LeadTimeDays]]&lt;=7,"Yes","No")</f>
        <v>No</v>
      </c>
      <c r="K354" s="3">
        <f>_xlfn.DAYS(Table1[[#This Row],[CorrectedRequiredDate]],Table1[[#This Row],[OrderDate]])</f>
        <v>12</v>
      </c>
      <c r="L354" s="3">
        <f>IF(Table1[[#This Row],[RequiredDate]]&lt;Table1[[#This Row],[OrderDate]],Table1[[#This Row],[OrderDate]],Table1[[#This Row],[RequiredDate]])</f>
        <v>45524</v>
      </c>
      <c r="M354" s="3">
        <v>45524</v>
      </c>
      <c r="N354" t="s">
        <v>647</v>
      </c>
      <c r="O354" t="s">
        <v>652</v>
      </c>
      <c r="P354" t="s">
        <v>666</v>
      </c>
      <c r="Q354" t="s">
        <v>705</v>
      </c>
      <c r="R354" t="s">
        <v>707</v>
      </c>
      <c r="S354" t="s">
        <v>722</v>
      </c>
      <c r="T354" t="s">
        <v>729</v>
      </c>
      <c r="U354" t="s">
        <v>1086</v>
      </c>
      <c r="V354" s="8">
        <v>1233.3599999999999</v>
      </c>
      <c r="W354" s="8">
        <v>2120.4</v>
      </c>
      <c r="X354" s="8">
        <f t="shared" si="16"/>
        <v>815.10700000000008</v>
      </c>
      <c r="Y354" s="8">
        <f t="shared" si="17"/>
        <v>1620.05</v>
      </c>
      <c r="AA354">
        <v>0.17899999999999999</v>
      </c>
      <c r="AB354">
        <f>IF(Table1[[#This Row],[DiscountPct]]&gt;0.2,1,0)</f>
        <v>0</v>
      </c>
      <c r="AC354" s="6">
        <v>20</v>
      </c>
      <c r="AD354" s="8">
        <f>Table1[[#This Row],[UnitPrice]]*Table1[[#This Row],[Quantity]]</f>
        <v>42408</v>
      </c>
      <c r="AE354" s="8">
        <f>Table1[[#This Row],[UnitCost]]*Table1[[#This Row],[Quantity]]</f>
        <v>24667.199999999997</v>
      </c>
      <c r="AF354" s="8">
        <f>Table1[[#This Row],[GrossRevenue]]-Table1[[#This Row],[CostOfGoods]]</f>
        <v>17740.800000000003</v>
      </c>
      <c r="AG354" s="8">
        <f>IF(Table1[[#This Row],[GrossRevenue]]=0,0,Table1[[#This Row],[GrossProfit]]/Table1[[#This Row],[GrossRevenue]])</f>
        <v>0.41833616298811555</v>
      </c>
    </row>
    <row r="355" spans="1:33" x14ac:dyDescent="0.45">
      <c r="A355" t="s">
        <v>368</v>
      </c>
      <c r="B355">
        <v>1</v>
      </c>
      <c r="C355" s="3">
        <v>45603</v>
      </c>
      <c r="D355" s="6">
        <f>YEAR(Table1[[#This Row],[OrderDate]]) * 100 + MONTH(Table1[[#This Row],[OrderDate]])</f>
        <v>202411</v>
      </c>
      <c r="E355" s="6">
        <f>_xlfn.MINIFS(Table1[OrderMonthKey],Table1[Country],Table1[[#This Row],[Country]])</f>
        <v>202301</v>
      </c>
      <c r="F355" s="6">
        <f>Table1[[#This Row],[CountryFirstMonthKey]]</f>
        <v>202301</v>
      </c>
      <c r="G355" s="6">
        <f>12*(INT(Table1[[#This Row],[OrderMonthKey]]/100)-INT(Table1[[#This Row],[CohortMonthKey]]/100)) + (MOD(Table1[[#This Row],[OrderMonthKey]],100)-MOD(Table1[[#This Row],[CohortMonthKey]],100))</f>
        <v>22</v>
      </c>
      <c r="H355" s="3" t="str">
        <f>TEXT(Table1[[#This Row],[OrderDate]],"MMM-YYYY")</f>
        <v>Nov-2024</v>
      </c>
      <c r="I355" s="3" t="str">
        <f t="shared" si="15"/>
        <v>Q3-2024</v>
      </c>
      <c r="J355" s="26" t="str">
        <f>IF(Table1[[#This Row],[LeadTimeDays]]&lt;=7,"Yes","No")</f>
        <v>No</v>
      </c>
      <c r="K355" s="6">
        <f>_xlfn.DAYS(Table1[[#This Row],[CorrectedRequiredDate]],Table1[[#This Row],[OrderDate]])</f>
        <v>19</v>
      </c>
      <c r="L355" s="3">
        <f>IF(Table1[[#This Row],[RequiredDate]]&lt;Table1[[#This Row],[OrderDate]],Table1[[#This Row],[OrderDate]],Table1[[#This Row],[RequiredDate]])</f>
        <v>45622</v>
      </c>
      <c r="M355" s="3">
        <v>45622</v>
      </c>
      <c r="N355" t="s">
        <v>648</v>
      </c>
      <c r="O355" t="s">
        <v>655</v>
      </c>
      <c r="P355" t="s">
        <v>692</v>
      </c>
      <c r="Q355" t="s">
        <v>703</v>
      </c>
      <c r="R355" t="s">
        <v>710</v>
      </c>
      <c r="S355" t="s">
        <v>713</v>
      </c>
      <c r="T355" t="s">
        <v>728</v>
      </c>
      <c r="U355" t="s">
        <v>1087</v>
      </c>
      <c r="V355" s="8">
        <v>55.35</v>
      </c>
      <c r="W355" s="8">
        <v>128.68</v>
      </c>
      <c r="X355" s="8">
        <f t="shared" si="16"/>
        <v>815.10700000000008</v>
      </c>
      <c r="Y355" s="8">
        <f t="shared" si="17"/>
        <v>1620.05</v>
      </c>
      <c r="Z355" s="8" t="str">
        <f>IF(W354 &lt;= X353, "Low",IF(W354 &lt;= Y354, "Medium", "High"))</f>
        <v>High</v>
      </c>
      <c r="AA355">
        <v>0.128</v>
      </c>
      <c r="AB355">
        <f>IF(Table1[[#This Row],[DiscountPct]]&gt;0.2,1,0)</f>
        <v>0</v>
      </c>
      <c r="AC355" s="6">
        <v>10</v>
      </c>
      <c r="AD355" s="8">
        <f>Table1[[#This Row],[UnitPrice]]*Table1[[#This Row],[Quantity]]</f>
        <v>1286.8000000000002</v>
      </c>
      <c r="AE355" s="8">
        <f>Table1[[#This Row],[UnitCost]]*Table1[[#This Row],[Quantity]]</f>
        <v>553.5</v>
      </c>
      <c r="AF355" s="8">
        <f>Table1[[#This Row],[GrossRevenue]]-Table1[[#This Row],[CostOfGoods]]</f>
        <v>733.30000000000018</v>
      </c>
      <c r="AG355" s="9">
        <f>IF(Table1[[#This Row],[GrossRevenue]]=0,0,Table1[[#This Row],[GrossProfit]]/Table1[[#This Row],[GrossRevenue]])</f>
        <v>0.56986322660864164</v>
      </c>
    </row>
    <row r="356" spans="1:33" x14ac:dyDescent="0.45">
      <c r="A356" t="s">
        <v>369</v>
      </c>
      <c r="B356">
        <v>1</v>
      </c>
      <c r="C356" s="3">
        <v>45292</v>
      </c>
      <c r="D356" s="6">
        <f>YEAR(Table1[[#This Row],[OrderDate]]) * 100 + MONTH(Table1[[#This Row],[OrderDate]])</f>
        <v>202401</v>
      </c>
      <c r="E356" s="6">
        <f>_xlfn.MINIFS(Table1[OrderMonthKey],Table1[Country],Table1[[#This Row],[Country]])</f>
        <v>202301</v>
      </c>
      <c r="F356" s="6">
        <f>Table1[[#This Row],[CountryFirstMonthKey]]</f>
        <v>202301</v>
      </c>
      <c r="G356" s="6">
        <f>12*(INT(Table1[[#This Row],[OrderMonthKey]]/100)-INT(Table1[[#This Row],[CohortMonthKey]]/100)) + (MOD(Table1[[#This Row],[OrderMonthKey]],100)-MOD(Table1[[#This Row],[CohortMonthKey]],100))</f>
        <v>12</v>
      </c>
      <c r="H356" s="3" t="str">
        <f>TEXT(Table1[[#This Row],[OrderDate]],"MMM-YYYY")</f>
        <v>Jan-2024</v>
      </c>
      <c r="I356" s="3" t="str">
        <f t="shared" si="15"/>
        <v>Q4-2024</v>
      </c>
      <c r="J356" s="26" t="str">
        <f>IF(Table1[[#This Row],[LeadTimeDays]]&lt;=7,"Yes","No")</f>
        <v>No</v>
      </c>
      <c r="K356" s="6">
        <f>_xlfn.DAYS(Table1[[#This Row],[CorrectedRequiredDate]],Table1[[#This Row],[OrderDate]])</f>
        <v>26</v>
      </c>
      <c r="L356" s="3">
        <f>IF(Table1[[#This Row],[RequiredDate]]&lt;Table1[[#This Row],[OrderDate]],Table1[[#This Row],[OrderDate]],Table1[[#This Row],[RequiredDate]])</f>
        <v>45318</v>
      </c>
      <c r="M356" s="3">
        <v>45318</v>
      </c>
      <c r="N356" t="s">
        <v>649</v>
      </c>
      <c r="O356" t="s">
        <v>658</v>
      </c>
      <c r="P356" t="s">
        <v>693</v>
      </c>
      <c r="Q356" t="s">
        <v>702</v>
      </c>
      <c r="R356" t="s">
        <v>710</v>
      </c>
      <c r="S356" t="s">
        <v>726</v>
      </c>
      <c r="T356" t="s">
        <v>733</v>
      </c>
      <c r="U356" t="s">
        <v>1088</v>
      </c>
      <c r="V356" s="8">
        <v>657.45</v>
      </c>
      <c r="W356" s="8">
        <v>1325.96</v>
      </c>
      <c r="X356" s="8">
        <f t="shared" si="16"/>
        <v>815.10700000000008</v>
      </c>
      <c r="Y356" s="8">
        <f t="shared" si="17"/>
        <v>1620.05</v>
      </c>
      <c r="Z356" s="8" t="str">
        <f>IF(W355 &lt;= X354, "Low",IF(W355 &lt;= Y355, "Medium", "High"))</f>
        <v>Low</v>
      </c>
      <c r="AA356">
        <v>0.16700000000000001</v>
      </c>
      <c r="AB356">
        <f>IF(Table1[[#This Row],[DiscountPct]]&gt;0.2,1,0)</f>
        <v>0</v>
      </c>
      <c r="AC356" s="6">
        <v>21</v>
      </c>
      <c r="AD356" s="8">
        <f>Table1[[#This Row],[UnitPrice]]*Table1[[#This Row],[Quantity]]</f>
        <v>27845.16</v>
      </c>
      <c r="AE356" s="8">
        <f>Table1[[#This Row],[UnitCost]]*Table1[[#This Row],[Quantity]]</f>
        <v>13806.45</v>
      </c>
      <c r="AF356" s="8">
        <f>Table1[[#This Row],[GrossRevenue]]-Table1[[#This Row],[CostOfGoods]]</f>
        <v>14038.71</v>
      </c>
      <c r="AG356" s="9">
        <f>IF(Table1[[#This Row],[GrossRevenue]]=0,0,Table1[[#This Row],[GrossProfit]]/Table1[[#This Row],[GrossRevenue]])</f>
        <v>0.50417056321457654</v>
      </c>
    </row>
    <row r="357" spans="1:33" x14ac:dyDescent="0.45">
      <c r="A357" t="s">
        <v>370</v>
      </c>
      <c r="B357">
        <v>1</v>
      </c>
      <c r="C357" s="3">
        <v>45883</v>
      </c>
      <c r="D357" s="6">
        <f>YEAR(Table1[[#This Row],[OrderDate]]) * 100 + MONTH(Table1[[#This Row],[OrderDate]])</f>
        <v>202508</v>
      </c>
      <c r="E357" s="6">
        <f>_xlfn.MINIFS(Table1[OrderMonthKey],Table1[Country],Table1[[#This Row],[Country]])</f>
        <v>202301</v>
      </c>
      <c r="F357" s="6">
        <f>Table1[[#This Row],[CountryFirstMonthKey]]</f>
        <v>202301</v>
      </c>
      <c r="G357" s="6">
        <f>12*(INT(Table1[[#This Row],[OrderMonthKey]]/100)-INT(Table1[[#This Row],[CohortMonthKey]]/100)) + (MOD(Table1[[#This Row],[OrderMonthKey]],100)-MOD(Table1[[#This Row],[CohortMonthKey]],100))</f>
        <v>31</v>
      </c>
      <c r="H357" s="3" t="str">
        <f>TEXT(Table1[[#This Row],[OrderDate]],"MMM-YYYY")</f>
        <v>Aug-2025</v>
      </c>
      <c r="I357" s="3" t="str">
        <f t="shared" si="15"/>
        <v>Q1-2024</v>
      </c>
      <c r="J357" s="26" t="str">
        <f>IF(Table1[[#This Row],[LeadTimeDays]]&lt;=7,"Yes","No")</f>
        <v>No</v>
      </c>
      <c r="K357" s="6">
        <f>_xlfn.DAYS(Table1[[#This Row],[CorrectedRequiredDate]],Table1[[#This Row],[OrderDate]])</f>
        <v>28</v>
      </c>
      <c r="L357" s="3">
        <f>IF(Table1[[#This Row],[RequiredDate]]&lt;Table1[[#This Row],[OrderDate]],Table1[[#This Row],[OrderDate]],Table1[[#This Row],[RequiredDate]])</f>
        <v>45911</v>
      </c>
      <c r="M357" s="3">
        <v>45911</v>
      </c>
      <c r="N357" t="s">
        <v>648</v>
      </c>
      <c r="O357" t="s">
        <v>655</v>
      </c>
      <c r="P357" t="s">
        <v>670</v>
      </c>
      <c r="Q357" t="s">
        <v>703</v>
      </c>
      <c r="R357" t="s">
        <v>711</v>
      </c>
      <c r="S357" t="s">
        <v>721</v>
      </c>
      <c r="T357" t="s">
        <v>728</v>
      </c>
      <c r="U357" t="s">
        <v>1089</v>
      </c>
      <c r="V357" s="8">
        <v>1203.02</v>
      </c>
      <c r="W357" s="8">
        <v>2439.33</v>
      </c>
      <c r="X357" s="8">
        <f t="shared" si="16"/>
        <v>815.10700000000008</v>
      </c>
      <c r="Y357" s="8">
        <f t="shared" si="17"/>
        <v>1620.05</v>
      </c>
      <c r="Z357" s="8" t="str">
        <f>IF(W356 &lt;= X355, "Low",IF(W356 &lt;= Y356, "Medium", "High"))</f>
        <v>Medium</v>
      </c>
      <c r="AA357">
        <v>0</v>
      </c>
      <c r="AB357">
        <f>IF(Table1[[#This Row],[DiscountPct]]&gt;0.2,1,0)</f>
        <v>0</v>
      </c>
      <c r="AC357" s="6">
        <v>18</v>
      </c>
      <c r="AD357" s="8">
        <f>Table1[[#This Row],[UnitPrice]]*Table1[[#This Row],[Quantity]]</f>
        <v>43907.94</v>
      </c>
      <c r="AE357" s="8">
        <f>Table1[[#This Row],[UnitCost]]*Table1[[#This Row],[Quantity]]</f>
        <v>21654.36</v>
      </c>
      <c r="AF357" s="8">
        <f>Table1[[#This Row],[GrossRevenue]]-Table1[[#This Row],[CostOfGoods]]</f>
        <v>22253.58</v>
      </c>
      <c r="AG357" s="9">
        <f>IF(Table1[[#This Row],[GrossRevenue]]=0,0,Table1[[#This Row],[GrossProfit]]/Table1[[#This Row],[GrossRevenue]])</f>
        <v>0.50682359500354612</v>
      </c>
    </row>
    <row r="358" spans="1:33" x14ac:dyDescent="0.45">
      <c r="A358" t="s">
        <v>371</v>
      </c>
      <c r="B358">
        <v>1</v>
      </c>
      <c r="C358" s="3">
        <v>45385</v>
      </c>
      <c r="D358" s="6">
        <f>YEAR(Table1[[#This Row],[OrderDate]]) * 100 + MONTH(Table1[[#This Row],[OrderDate]])</f>
        <v>202404</v>
      </c>
      <c r="E358" s="6">
        <f>_xlfn.MINIFS(Table1[OrderMonthKey],Table1[Country],Table1[[#This Row],[Country]])</f>
        <v>202301</v>
      </c>
      <c r="F358" s="6">
        <f>Table1[[#This Row],[CountryFirstMonthKey]]</f>
        <v>202301</v>
      </c>
      <c r="G358" s="6">
        <f>12*(INT(Table1[[#This Row],[OrderMonthKey]]/100)-INT(Table1[[#This Row],[CohortMonthKey]]/100)) + (MOD(Table1[[#This Row],[OrderMonthKey]],100)-MOD(Table1[[#This Row],[CohortMonthKey]],100))</f>
        <v>15</v>
      </c>
      <c r="H358" s="3" t="str">
        <f>TEXT(Table1[[#This Row],[OrderDate]],"MMM-YYYY")</f>
        <v>Apr-2024</v>
      </c>
      <c r="I358" s="3" t="str">
        <f t="shared" si="15"/>
        <v>Q3-2025</v>
      </c>
      <c r="J358" s="26" t="str">
        <f>IF(Table1[[#This Row],[LeadTimeDays]]&lt;=7,"Yes","No")</f>
        <v>No</v>
      </c>
      <c r="K358" s="6">
        <f>_xlfn.DAYS(Table1[[#This Row],[CorrectedRequiredDate]],Table1[[#This Row],[OrderDate]])</f>
        <v>18</v>
      </c>
      <c r="L358" s="3">
        <f>IF(Table1[[#This Row],[RequiredDate]]&lt;Table1[[#This Row],[OrderDate]],Table1[[#This Row],[OrderDate]],Table1[[#This Row],[RequiredDate]])</f>
        <v>45403</v>
      </c>
      <c r="M358" s="3">
        <v>45403</v>
      </c>
      <c r="N358" t="s">
        <v>648</v>
      </c>
      <c r="O358" t="s">
        <v>655</v>
      </c>
      <c r="P358" t="s">
        <v>672</v>
      </c>
      <c r="Q358" t="s">
        <v>705</v>
      </c>
      <c r="R358" t="s">
        <v>710</v>
      </c>
      <c r="S358" t="s">
        <v>717</v>
      </c>
      <c r="T358" t="s">
        <v>729</v>
      </c>
      <c r="U358" t="s">
        <v>1090</v>
      </c>
      <c r="V358" s="8">
        <v>1176.69</v>
      </c>
      <c r="W358" s="8">
        <v>2201.54</v>
      </c>
      <c r="X358" s="8">
        <f t="shared" si="16"/>
        <v>815.10700000000008</v>
      </c>
      <c r="Y358" s="8">
        <f t="shared" si="17"/>
        <v>1620.05</v>
      </c>
      <c r="Z358" s="8" t="str">
        <f>IF(W357 &lt;= X356, "Low",IF(W357 &lt;= Y357, "Medium", "High"))</f>
        <v>High</v>
      </c>
      <c r="AA358">
        <v>0.17</v>
      </c>
      <c r="AB358">
        <f>IF(Table1[[#This Row],[DiscountPct]]&gt;0.2,1,0)</f>
        <v>0</v>
      </c>
      <c r="AC358" s="6">
        <v>27</v>
      </c>
      <c r="AD358" s="8">
        <f>Table1[[#This Row],[UnitPrice]]*Table1[[#This Row],[Quantity]]</f>
        <v>59441.58</v>
      </c>
      <c r="AE358" s="8">
        <f>Table1[[#This Row],[UnitCost]]*Table1[[#This Row],[Quantity]]</f>
        <v>31770.63</v>
      </c>
      <c r="AF358" s="8">
        <f>Table1[[#This Row],[GrossRevenue]]-Table1[[#This Row],[CostOfGoods]]</f>
        <v>27670.95</v>
      </c>
      <c r="AG358" s="9">
        <f>IF(Table1[[#This Row],[GrossRevenue]]=0,0,Table1[[#This Row],[GrossProfit]]/Table1[[#This Row],[GrossRevenue]])</f>
        <v>0.46551504855691922</v>
      </c>
    </row>
    <row r="359" spans="1:33" x14ac:dyDescent="0.45">
      <c r="A359" t="s">
        <v>372</v>
      </c>
      <c r="B359">
        <v>1</v>
      </c>
      <c r="C359" s="3">
        <v>45621</v>
      </c>
      <c r="D359" s="6">
        <f>YEAR(Table1[[#This Row],[OrderDate]]) * 100 + MONTH(Table1[[#This Row],[OrderDate]])</f>
        <v>202411</v>
      </c>
      <c r="E359" s="6">
        <f>_xlfn.MINIFS(Table1[OrderMonthKey],Table1[Country],Table1[[#This Row],[Country]])</f>
        <v>202301</v>
      </c>
      <c r="F359" s="6">
        <f>Table1[[#This Row],[CountryFirstMonthKey]]</f>
        <v>202301</v>
      </c>
      <c r="G359" s="6">
        <f>12*(INT(Table1[[#This Row],[OrderMonthKey]]/100)-INT(Table1[[#This Row],[CohortMonthKey]]/100)) + (MOD(Table1[[#This Row],[OrderMonthKey]],100)-MOD(Table1[[#This Row],[CohortMonthKey]],100))</f>
        <v>22</v>
      </c>
      <c r="H359" s="3" t="str">
        <f>TEXT(Table1[[#This Row],[OrderDate]],"MMM-YYYY")</f>
        <v>Nov-2024</v>
      </c>
      <c r="I359" s="3" t="str">
        <f t="shared" si="15"/>
        <v>Q2-2024</v>
      </c>
      <c r="J359" s="26" t="str">
        <f>IF(Table1[[#This Row],[LeadTimeDays]]&lt;=7,"Yes","No")</f>
        <v>No</v>
      </c>
      <c r="K359" s="6">
        <f>_xlfn.DAYS(Table1[[#This Row],[CorrectedRequiredDate]],Table1[[#This Row],[OrderDate]])</f>
        <v>12</v>
      </c>
      <c r="L359" s="3">
        <f>IF(Table1[[#This Row],[RequiredDate]]&lt;Table1[[#This Row],[OrderDate]],Table1[[#This Row],[OrderDate]],Table1[[#This Row],[RequiredDate]])</f>
        <v>45633</v>
      </c>
      <c r="M359" s="3">
        <v>45633</v>
      </c>
      <c r="N359" t="s">
        <v>647</v>
      </c>
      <c r="O359" t="s">
        <v>659</v>
      </c>
      <c r="P359" t="s">
        <v>685</v>
      </c>
      <c r="Q359" t="s">
        <v>701</v>
      </c>
      <c r="R359" t="s">
        <v>710</v>
      </c>
      <c r="S359" t="s">
        <v>720</v>
      </c>
      <c r="T359" t="s">
        <v>733</v>
      </c>
      <c r="U359" t="s">
        <v>1091</v>
      </c>
      <c r="V359" s="8">
        <v>769.9</v>
      </c>
      <c r="W359" s="8">
        <v>814.36</v>
      </c>
      <c r="X359" s="8">
        <f t="shared" si="16"/>
        <v>815.10700000000008</v>
      </c>
      <c r="Y359" s="8">
        <f t="shared" si="17"/>
        <v>1620.05</v>
      </c>
      <c r="Z359" s="8" t="str">
        <f>IF(W358 &lt;= X357, "Low",IF(W358 &lt;= Y358, "Medium", "High"))</f>
        <v>High</v>
      </c>
      <c r="AA359">
        <v>0</v>
      </c>
      <c r="AB359">
        <f>IF(Table1[[#This Row],[DiscountPct]]&gt;0.2,1,0)</f>
        <v>0</v>
      </c>
      <c r="AC359" s="6">
        <v>5</v>
      </c>
      <c r="AD359" s="8">
        <f>Table1[[#This Row],[UnitPrice]]*Table1[[#This Row],[Quantity]]</f>
        <v>4071.8</v>
      </c>
      <c r="AE359" s="8">
        <f>Table1[[#This Row],[UnitCost]]*Table1[[#This Row],[Quantity]]</f>
        <v>3849.5</v>
      </c>
      <c r="AF359" s="8">
        <f>Table1[[#This Row],[GrossRevenue]]-Table1[[#This Row],[CostOfGoods]]</f>
        <v>222.30000000000018</v>
      </c>
      <c r="AG359" s="9">
        <f>IF(Table1[[#This Row],[GrossRevenue]]=0,0,Table1[[#This Row],[GrossProfit]]/Table1[[#This Row],[GrossRevenue]])</f>
        <v>5.4595019401738831E-2</v>
      </c>
    </row>
    <row r="360" spans="1:33" hidden="1" x14ac:dyDescent="0.45">
      <c r="A360" t="s">
        <v>373</v>
      </c>
      <c r="C360" s="3">
        <v>45309</v>
      </c>
      <c r="D360" s="3">
        <f>YEAR(Table1[[#This Row],[OrderDate]]) * 100 + MONTH(Table1[[#This Row],[OrderDate]])</f>
        <v>202401</v>
      </c>
      <c r="E360" s="3">
        <f>_xlfn.MINIFS(Table1[OrderMonthKey],Table1[Country],Table1[[#This Row],[Country]])</f>
        <v>202301</v>
      </c>
      <c r="F360" s="3">
        <f>Table1[[#This Row],[CountryFirstMonthKey]]</f>
        <v>202301</v>
      </c>
      <c r="G360" s="3">
        <f>12*(INT(Table1[[#This Row],[OrderMonthKey]]/100)-INT(Table1[[#This Row],[CohortMonthKey]]/100)) + (MOD(Table1[[#This Row],[OrderMonthKey]],100)-MOD(Table1[[#This Row],[CohortMonthKey]],100))</f>
        <v>12</v>
      </c>
      <c r="H360" s="3" t="str">
        <f>TEXT(Table1[[#This Row],[OrderDate]],"MMM-YYYY")</f>
        <v>Jan-2024</v>
      </c>
      <c r="I360" s="3" t="str">
        <f t="shared" si="15"/>
        <v>Q4-2024</v>
      </c>
      <c r="J360" s="3" t="str">
        <f>IF(Table1[[#This Row],[LeadTimeDays]]&lt;=7,"Yes","No")</f>
        <v>No</v>
      </c>
      <c r="K360" s="3">
        <f>_xlfn.DAYS(Table1[[#This Row],[CorrectedRequiredDate]],Table1[[#This Row],[OrderDate]])</f>
        <v>16</v>
      </c>
      <c r="L360" s="3">
        <f>IF(Table1[[#This Row],[RequiredDate]]&lt;Table1[[#This Row],[OrderDate]],Table1[[#This Row],[OrderDate]],Table1[[#This Row],[RequiredDate]])</f>
        <v>45325</v>
      </c>
      <c r="M360" s="3">
        <v>45325</v>
      </c>
      <c r="N360" t="s">
        <v>646</v>
      </c>
      <c r="O360" t="s">
        <v>661</v>
      </c>
      <c r="P360" t="s">
        <v>695</v>
      </c>
      <c r="Q360" t="s">
        <v>703</v>
      </c>
      <c r="R360" t="s">
        <v>710</v>
      </c>
      <c r="S360" t="s">
        <v>716</v>
      </c>
      <c r="T360" t="s">
        <v>728</v>
      </c>
      <c r="U360" t="s">
        <v>1092</v>
      </c>
      <c r="V360" s="8">
        <v>666.23</v>
      </c>
      <c r="W360" s="8">
        <v>1382.91</v>
      </c>
      <c r="X360" s="8">
        <f t="shared" si="16"/>
        <v>815.10700000000008</v>
      </c>
      <c r="Y360" s="8">
        <f t="shared" si="17"/>
        <v>1620.05</v>
      </c>
      <c r="AA360">
        <v>0.17599999999999999</v>
      </c>
      <c r="AB360">
        <f>IF(Table1[[#This Row],[DiscountPct]]&gt;0.2,1,0)</f>
        <v>0</v>
      </c>
      <c r="AC360" s="6">
        <v>13</v>
      </c>
      <c r="AD360" s="8">
        <f>Table1[[#This Row],[UnitPrice]]*Table1[[#This Row],[Quantity]]</f>
        <v>17977.830000000002</v>
      </c>
      <c r="AE360" s="8">
        <f>Table1[[#This Row],[UnitCost]]*Table1[[#This Row],[Quantity]]</f>
        <v>8660.99</v>
      </c>
      <c r="AF360" s="8">
        <f>Table1[[#This Row],[GrossRevenue]]-Table1[[#This Row],[CostOfGoods]]</f>
        <v>9316.840000000002</v>
      </c>
      <c r="AG360" s="8">
        <f>IF(Table1[[#This Row],[GrossRevenue]]=0,0,Table1[[#This Row],[GrossProfit]]/Table1[[#This Row],[GrossRevenue]])</f>
        <v>0.5182405217982371</v>
      </c>
    </row>
    <row r="361" spans="1:33" x14ac:dyDescent="0.45">
      <c r="A361" t="s">
        <v>374</v>
      </c>
      <c r="B361">
        <v>1</v>
      </c>
      <c r="C361" s="3">
        <v>45466</v>
      </c>
      <c r="D361" s="6">
        <f>YEAR(Table1[[#This Row],[OrderDate]]) * 100 + MONTH(Table1[[#This Row],[OrderDate]])</f>
        <v>202406</v>
      </c>
      <c r="E361" s="6">
        <f>_xlfn.MINIFS(Table1[OrderMonthKey],Table1[Country],Table1[[#This Row],[Country]])</f>
        <v>202301</v>
      </c>
      <c r="F361" s="6">
        <f>Table1[[#This Row],[CountryFirstMonthKey]]</f>
        <v>202301</v>
      </c>
      <c r="G361" s="6">
        <f>12*(INT(Table1[[#This Row],[OrderMonthKey]]/100)-INT(Table1[[#This Row],[CohortMonthKey]]/100)) + (MOD(Table1[[#This Row],[OrderMonthKey]],100)-MOD(Table1[[#This Row],[CohortMonthKey]],100))</f>
        <v>17</v>
      </c>
      <c r="H361" s="3" t="str">
        <f>TEXT(Table1[[#This Row],[OrderDate]],"MMM-YYYY")</f>
        <v>Jun-2024</v>
      </c>
      <c r="I361" s="3" t="str">
        <f t="shared" si="15"/>
        <v>Q1-2024</v>
      </c>
      <c r="J361" s="26" t="str">
        <f>IF(Table1[[#This Row],[LeadTimeDays]]&lt;=7,"Yes","No")</f>
        <v>Yes</v>
      </c>
      <c r="K361" s="6">
        <f>_xlfn.DAYS(Table1[[#This Row],[CorrectedRequiredDate]],Table1[[#This Row],[OrderDate]])</f>
        <v>2</v>
      </c>
      <c r="L361" s="3">
        <f>IF(Table1[[#This Row],[RequiredDate]]&lt;Table1[[#This Row],[OrderDate]],Table1[[#This Row],[OrderDate]],Table1[[#This Row],[RequiredDate]])</f>
        <v>45468</v>
      </c>
      <c r="M361" s="3">
        <v>45468</v>
      </c>
      <c r="N361" t="s">
        <v>649</v>
      </c>
      <c r="O361" t="s">
        <v>658</v>
      </c>
      <c r="P361" t="s">
        <v>674</v>
      </c>
      <c r="Q361" t="s">
        <v>705</v>
      </c>
      <c r="R361" t="s">
        <v>709</v>
      </c>
      <c r="S361" t="s">
        <v>716</v>
      </c>
      <c r="T361" t="s">
        <v>733</v>
      </c>
      <c r="U361" t="s">
        <v>1093</v>
      </c>
      <c r="V361" s="8">
        <v>951.44</v>
      </c>
      <c r="W361" s="8">
        <v>1646.43</v>
      </c>
      <c r="X361" s="8">
        <f t="shared" si="16"/>
        <v>815.10700000000008</v>
      </c>
      <c r="Y361" s="8">
        <f t="shared" si="17"/>
        <v>1620.05</v>
      </c>
      <c r="Z361" s="8" t="str">
        <f>IF(W360 &lt;= X359, "Low",IF(W360 &lt;= Y360, "Medium", "High"))</f>
        <v>Medium</v>
      </c>
      <c r="AA361">
        <v>0.11</v>
      </c>
      <c r="AB361">
        <f>IF(Table1[[#This Row],[DiscountPct]]&gt;0.2,1,0)</f>
        <v>0</v>
      </c>
      <c r="AC361" s="6">
        <v>24</v>
      </c>
      <c r="AD361" s="8">
        <f>Table1[[#This Row],[UnitPrice]]*Table1[[#This Row],[Quantity]]</f>
        <v>39514.32</v>
      </c>
      <c r="AE361" s="8">
        <f>Table1[[#This Row],[UnitCost]]*Table1[[#This Row],[Quantity]]</f>
        <v>22834.560000000001</v>
      </c>
      <c r="AF361" s="8">
        <f>Table1[[#This Row],[GrossRevenue]]-Table1[[#This Row],[CostOfGoods]]</f>
        <v>16679.759999999998</v>
      </c>
      <c r="AG361" s="9">
        <f>IF(Table1[[#This Row],[GrossRevenue]]=0,0,Table1[[#This Row],[GrossProfit]]/Table1[[#This Row],[GrossRevenue]])</f>
        <v>0.4221193734322139</v>
      </c>
    </row>
    <row r="362" spans="1:33" x14ac:dyDescent="0.45">
      <c r="A362" t="s">
        <v>375</v>
      </c>
      <c r="B362">
        <v>1</v>
      </c>
      <c r="C362" s="3">
        <v>45833</v>
      </c>
      <c r="D362" s="6">
        <f>YEAR(Table1[[#This Row],[OrderDate]]) * 100 + MONTH(Table1[[#This Row],[OrderDate]])</f>
        <v>202506</v>
      </c>
      <c r="E362" s="6">
        <f>_xlfn.MINIFS(Table1[OrderMonthKey],Table1[Country],Table1[[#This Row],[Country]])</f>
        <v>202301</v>
      </c>
      <c r="F362" s="6">
        <f>Table1[[#This Row],[CountryFirstMonthKey]]</f>
        <v>202301</v>
      </c>
      <c r="G362" s="6">
        <f>12*(INT(Table1[[#This Row],[OrderMonthKey]]/100)-INT(Table1[[#This Row],[CohortMonthKey]]/100)) + (MOD(Table1[[#This Row],[OrderMonthKey]],100)-MOD(Table1[[#This Row],[CohortMonthKey]],100))</f>
        <v>29</v>
      </c>
      <c r="H362" s="3" t="str">
        <f>TEXT(Table1[[#This Row],[OrderDate]],"MMM-YYYY")</f>
        <v>Jun-2025</v>
      </c>
      <c r="I362" s="3" t="str">
        <f t="shared" si="15"/>
        <v>Q2-2024</v>
      </c>
      <c r="J362" s="26" t="str">
        <f>IF(Table1[[#This Row],[LeadTimeDays]]&lt;=7,"Yes","No")</f>
        <v>No</v>
      </c>
      <c r="K362" s="6">
        <f>_xlfn.DAYS(Table1[[#This Row],[CorrectedRequiredDate]],Table1[[#This Row],[OrderDate]])</f>
        <v>15</v>
      </c>
      <c r="L362" s="3">
        <f>IF(Table1[[#This Row],[RequiredDate]]&lt;Table1[[#This Row],[OrderDate]],Table1[[#This Row],[OrderDate]],Table1[[#This Row],[RequiredDate]])</f>
        <v>45848</v>
      </c>
      <c r="M362" s="3">
        <v>45848</v>
      </c>
      <c r="N362" t="s">
        <v>649</v>
      </c>
      <c r="O362" t="s">
        <v>658</v>
      </c>
      <c r="P362" t="s">
        <v>674</v>
      </c>
      <c r="Q362" t="s">
        <v>703</v>
      </c>
      <c r="R362" t="s">
        <v>709</v>
      </c>
      <c r="S362" t="s">
        <v>726</v>
      </c>
      <c r="T362" t="s">
        <v>730</v>
      </c>
      <c r="U362" t="s">
        <v>1094</v>
      </c>
      <c r="V362" s="8">
        <v>546.83000000000004</v>
      </c>
      <c r="W362" s="8">
        <v>400.84</v>
      </c>
      <c r="X362" s="8">
        <f t="shared" si="16"/>
        <v>815.10700000000008</v>
      </c>
      <c r="Y362" s="8">
        <f t="shared" si="17"/>
        <v>1620.05</v>
      </c>
      <c r="Z362" s="8" t="str">
        <f>IF(W361 &lt;= X360, "Low",IF(W361 &lt;= Y361, "Medium", "High"))</f>
        <v>High</v>
      </c>
      <c r="AA362">
        <v>7.8E-2</v>
      </c>
      <c r="AB362">
        <f>IF(Table1[[#This Row],[DiscountPct]]&gt;0.2,1,0)</f>
        <v>0</v>
      </c>
      <c r="AC362" s="6">
        <v>13</v>
      </c>
      <c r="AD362" s="8">
        <f>Table1[[#This Row],[UnitPrice]]*Table1[[#This Row],[Quantity]]</f>
        <v>5210.92</v>
      </c>
      <c r="AE362" s="8">
        <f>Table1[[#This Row],[UnitCost]]*Table1[[#This Row],[Quantity]]</f>
        <v>7108.7900000000009</v>
      </c>
      <c r="AF362" s="8">
        <f>Table1[[#This Row],[GrossRevenue]]-Table1[[#This Row],[CostOfGoods]]</f>
        <v>-1897.8700000000008</v>
      </c>
      <c r="AG362" s="9">
        <f>IF(Table1[[#This Row],[GrossRevenue]]=0,0,Table1[[#This Row],[GrossProfit]]/Table1[[#This Row],[GrossRevenue]])</f>
        <v>-0.36421015866679984</v>
      </c>
    </row>
    <row r="363" spans="1:33" x14ac:dyDescent="0.45">
      <c r="A363" t="s">
        <v>376</v>
      </c>
      <c r="B363">
        <v>1</v>
      </c>
      <c r="C363" s="3">
        <v>45108</v>
      </c>
      <c r="D363" s="6">
        <f>YEAR(Table1[[#This Row],[OrderDate]]) * 100 + MONTH(Table1[[#This Row],[OrderDate]])</f>
        <v>202307</v>
      </c>
      <c r="E363" s="6">
        <f>_xlfn.MINIFS(Table1[OrderMonthKey],Table1[Country],Table1[[#This Row],[Country]])</f>
        <v>202301</v>
      </c>
      <c r="F363" s="6">
        <f>Table1[[#This Row],[CountryFirstMonthKey]]</f>
        <v>202301</v>
      </c>
      <c r="G363" s="6">
        <f>12*(INT(Table1[[#This Row],[OrderMonthKey]]/100)-INT(Table1[[#This Row],[CohortMonthKey]]/100)) + (MOD(Table1[[#This Row],[OrderMonthKey]],100)-MOD(Table1[[#This Row],[CohortMonthKey]],100))</f>
        <v>6</v>
      </c>
      <c r="H363" s="3" t="str">
        <f>TEXT(Table1[[#This Row],[OrderDate]],"MMM-YYYY")</f>
        <v>Jul-2023</v>
      </c>
      <c r="I363" s="3" t="str">
        <f t="shared" si="15"/>
        <v>Q2-2025</v>
      </c>
      <c r="J363" s="26" t="str">
        <f>IF(Table1[[#This Row],[LeadTimeDays]]&lt;=7,"Yes","No")</f>
        <v>Yes</v>
      </c>
      <c r="K363" s="6">
        <f>_xlfn.DAYS(Table1[[#This Row],[CorrectedRequiredDate]],Table1[[#This Row],[OrderDate]])</f>
        <v>7</v>
      </c>
      <c r="L363" s="3">
        <f>IF(Table1[[#This Row],[RequiredDate]]&lt;Table1[[#This Row],[OrderDate]],Table1[[#This Row],[OrderDate]],Table1[[#This Row],[RequiredDate]])</f>
        <v>45115</v>
      </c>
      <c r="M363" s="3">
        <v>45115</v>
      </c>
      <c r="N363" t="s">
        <v>646</v>
      </c>
      <c r="O363" t="s">
        <v>651</v>
      </c>
      <c r="P363" t="s">
        <v>663</v>
      </c>
      <c r="Q363" t="s">
        <v>701</v>
      </c>
      <c r="R363" t="s">
        <v>707</v>
      </c>
      <c r="S363" t="s">
        <v>720</v>
      </c>
      <c r="T363" t="s">
        <v>731</v>
      </c>
      <c r="U363" t="s">
        <v>1095</v>
      </c>
      <c r="V363" s="8">
        <v>834.26</v>
      </c>
      <c r="W363" s="8">
        <v>1780.56</v>
      </c>
      <c r="X363" s="8">
        <f t="shared" si="16"/>
        <v>815.10700000000008</v>
      </c>
      <c r="Y363" s="8">
        <f t="shared" si="17"/>
        <v>1620.05</v>
      </c>
      <c r="Z363" s="8" t="str">
        <f>IF(W362 &lt;= X361, "Low",IF(W362 &lt;= Y362, "Medium", "High"))</f>
        <v>Low</v>
      </c>
      <c r="AA363">
        <v>1.4E-2</v>
      </c>
      <c r="AB363">
        <f>IF(Table1[[#This Row],[DiscountPct]]&gt;0.2,1,0)</f>
        <v>0</v>
      </c>
      <c r="AC363" s="6">
        <v>47</v>
      </c>
      <c r="AD363" s="8">
        <f>Table1[[#This Row],[UnitPrice]]*Table1[[#This Row],[Quantity]]</f>
        <v>83686.319999999992</v>
      </c>
      <c r="AE363" s="8">
        <f>Table1[[#This Row],[UnitCost]]*Table1[[#This Row],[Quantity]]</f>
        <v>39210.22</v>
      </c>
      <c r="AF363" s="8">
        <f>Table1[[#This Row],[GrossRevenue]]-Table1[[#This Row],[CostOfGoods]]</f>
        <v>44476.099999999991</v>
      </c>
      <c r="AG363" s="9">
        <f>IF(Table1[[#This Row],[GrossRevenue]]=0,0,Table1[[#This Row],[GrossProfit]]/Table1[[#This Row],[GrossRevenue]])</f>
        <v>0.53146201195129616</v>
      </c>
    </row>
    <row r="364" spans="1:33" x14ac:dyDescent="0.45">
      <c r="A364" t="s">
        <v>377</v>
      </c>
      <c r="B364">
        <v>1</v>
      </c>
      <c r="C364" s="3">
        <v>45360</v>
      </c>
      <c r="D364" s="6">
        <f>YEAR(Table1[[#This Row],[OrderDate]]) * 100 + MONTH(Table1[[#This Row],[OrderDate]])</f>
        <v>202403</v>
      </c>
      <c r="E364" s="6">
        <f>_xlfn.MINIFS(Table1[OrderMonthKey],Table1[Country],Table1[[#This Row],[Country]])</f>
        <v>202301</v>
      </c>
      <c r="F364" s="6">
        <f>Table1[[#This Row],[CountryFirstMonthKey]]</f>
        <v>202301</v>
      </c>
      <c r="G364" s="6">
        <f>12*(INT(Table1[[#This Row],[OrderMonthKey]]/100)-INT(Table1[[#This Row],[CohortMonthKey]]/100)) + (MOD(Table1[[#This Row],[OrderMonthKey]],100)-MOD(Table1[[#This Row],[CohortMonthKey]],100))</f>
        <v>14</v>
      </c>
      <c r="H364" s="3" t="str">
        <f>TEXT(Table1[[#This Row],[OrderDate]],"MMM-YYYY")</f>
        <v>Mar-2024</v>
      </c>
      <c r="I364" s="3" t="str">
        <f t="shared" si="15"/>
        <v>Q3-2023</v>
      </c>
      <c r="J364" s="26" t="str">
        <f>IF(Table1[[#This Row],[LeadTimeDays]]&lt;=7,"Yes","No")</f>
        <v>No</v>
      </c>
      <c r="K364" s="6">
        <f>_xlfn.DAYS(Table1[[#This Row],[CorrectedRequiredDate]],Table1[[#This Row],[OrderDate]])</f>
        <v>17</v>
      </c>
      <c r="L364" s="3">
        <f>IF(Table1[[#This Row],[RequiredDate]]&lt;Table1[[#This Row],[OrderDate]],Table1[[#This Row],[OrderDate]],Table1[[#This Row],[RequiredDate]])</f>
        <v>45377</v>
      </c>
      <c r="M364" s="3">
        <v>45377</v>
      </c>
      <c r="N364" t="s">
        <v>647</v>
      </c>
      <c r="O364" t="s">
        <v>659</v>
      </c>
      <c r="P364" t="s">
        <v>676</v>
      </c>
      <c r="Q364" t="s">
        <v>706</v>
      </c>
      <c r="R364" t="s">
        <v>708</v>
      </c>
      <c r="S364" t="s">
        <v>723</v>
      </c>
      <c r="T364" t="s">
        <v>732</v>
      </c>
      <c r="U364" t="s">
        <v>1096</v>
      </c>
      <c r="V364" s="8">
        <v>1029.67</v>
      </c>
      <c r="W364" s="8">
        <v>1118.43</v>
      </c>
      <c r="X364" s="8">
        <f t="shared" si="16"/>
        <v>815.10700000000008</v>
      </c>
      <c r="Y364" s="8">
        <f t="shared" si="17"/>
        <v>1620.05</v>
      </c>
      <c r="Z364" s="8" t="str">
        <f>IF(W363 &lt;= X362, "Low",IF(W363 &lt;= Y363, "Medium", "High"))</f>
        <v>High</v>
      </c>
      <c r="AA364">
        <v>0.27200000000000002</v>
      </c>
      <c r="AB364">
        <f>IF(Table1[[#This Row],[DiscountPct]]&gt;0.2,1,0)</f>
        <v>1</v>
      </c>
      <c r="AC364" s="6">
        <v>9</v>
      </c>
      <c r="AD364" s="8">
        <f>Table1[[#This Row],[UnitPrice]]*Table1[[#This Row],[Quantity]]</f>
        <v>10065.870000000001</v>
      </c>
      <c r="AE364" s="8">
        <f>Table1[[#This Row],[UnitCost]]*Table1[[#This Row],[Quantity]]</f>
        <v>9267.0300000000007</v>
      </c>
      <c r="AF364" s="8">
        <f>Table1[[#This Row],[GrossRevenue]]-Table1[[#This Row],[CostOfGoods]]</f>
        <v>798.84000000000015</v>
      </c>
      <c r="AG364" s="9">
        <f>IF(Table1[[#This Row],[GrossRevenue]]=0,0,Table1[[#This Row],[GrossProfit]]/Table1[[#This Row],[GrossRevenue]])</f>
        <v>7.9361247462961484E-2</v>
      </c>
    </row>
    <row r="365" spans="1:33" x14ac:dyDescent="0.45">
      <c r="A365" t="s">
        <v>378</v>
      </c>
      <c r="B365">
        <v>1</v>
      </c>
      <c r="C365" s="3">
        <v>45082</v>
      </c>
      <c r="D365" s="6">
        <f>YEAR(Table1[[#This Row],[OrderDate]]) * 100 + MONTH(Table1[[#This Row],[OrderDate]])</f>
        <v>202306</v>
      </c>
      <c r="E365" s="6">
        <f>_xlfn.MINIFS(Table1[OrderMonthKey],Table1[Country],Table1[[#This Row],[Country]])</f>
        <v>202301</v>
      </c>
      <c r="F365" s="6">
        <f>Table1[[#This Row],[CountryFirstMonthKey]]</f>
        <v>202301</v>
      </c>
      <c r="G365" s="6">
        <f>12*(INT(Table1[[#This Row],[OrderMonthKey]]/100)-INT(Table1[[#This Row],[CohortMonthKey]]/100)) + (MOD(Table1[[#This Row],[OrderMonthKey]],100)-MOD(Table1[[#This Row],[CohortMonthKey]],100))</f>
        <v>5</v>
      </c>
      <c r="H365" s="3" t="str">
        <f>TEXT(Table1[[#This Row],[OrderDate]],"MMM-YYYY")</f>
        <v>Jun-2023</v>
      </c>
      <c r="I365" s="3" t="str">
        <f t="shared" si="15"/>
        <v>Q1-2024</v>
      </c>
      <c r="J365" s="26" t="str">
        <f>IF(Table1[[#This Row],[LeadTimeDays]]&lt;=7,"Yes","No")</f>
        <v>No</v>
      </c>
      <c r="K365" s="6">
        <f>_xlfn.DAYS(Table1[[#This Row],[CorrectedRequiredDate]],Table1[[#This Row],[OrderDate]])</f>
        <v>23</v>
      </c>
      <c r="L365" s="3">
        <f>IF(Table1[[#This Row],[RequiredDate]]&lt;Table1[[#This Row],[OrderDate]],Table1[[#This Row],[OrderDate]],Table1[[#This Row],[RequiredDate]])</f>
        <v>45105</v>
      </c>
      <c r="M365" s="3">
        <v>45105</v>
      </c>
      <c r="N365" t="s">
        <v>649</v>
      </c>
      <c r="O365" t="s">
        <v>658</v>
      </c>
      <c r="P365" t="s">
        <v>674</v>
      </c>
      <c r="Q365" t="s">
        <v>701</v>
      </c>
      <c r="R365" t="s">
        <v>711</v>
      </c>
      <c r="S365" t="s">
        <v>723</v>
      </c>
      <c r="T365" t="s">
        <v>728</v>
      </c>
      <c r="U365" t="s">
        <v>1097</v>
      </c>
      <c r="V365" s="8">
        <v>605.82000000000005</v>
      </c>
      <c r="W365" s="8">
        <v>771.12</v>
      </c>
      <c r="X365" s="8">
        <f t="shared" si="16"/>
        <v>815.10700000000008</v>
      </c>
      <c r="Y365" s="8">
        <f t="shared" si="17"/>
        <v>1620.05</v>
      </c>
      <c r="Z365" s="8" t="str">
        <f>IF(W364 &lt;= X363, "Low",IF(W364 &lt;= Y364, "Medium", "High"))</f>
        <v>Medium</v>
      </c>
      <c r="AA365">
        <v>0.13200000000000001</v>
      </c>
      <c r="AB365">
        <f>IF(Table1[[#This Row],[DiscountPct]]&gt;0.2,1,0)</f>
        <v>0</v>
      </c>
      <c r="AC365" s="6">
        <v>19</v>
      </c>
      <c r="AD365" s="8">
        <f>Table1[[#This Row],[UnitPrice]]*Table1[[#This Row],[Quantity]]</f>
        <v>14651.28</v>
      </c>
      <c r="AE365" s="8">
        <f>Table1[[#This Row],[UnitCost]]*Table1[[#This Row],[Quantity]]</f>
        <v>11510.580000000002</v>
      </c>
      <c r="AF365" s="8">
        <f>Table1[[#This Row],[GrossRevenue]]-Table1[[#This Row],[CostOfGoods]]</f>
        <v>3140.6999999999989</v>
      </c>
      <c r="AG365" s="9">
        <f>IF(Table1[[#This Row],[GrossRevenue]]=0,0,Table1[[#This Row],[GrossProfit]]/Table1[[#This Row],[GrossRevenue]])</f>
        <v>0.21436352318705251</v>
      </c>
    </row>
    <row r="366" spans="1:33" hidden="1" x14ac:dyDescent="0.45">
      <c r="A366" t="s">
        <v>379</v>
      </c>
      <c r="C366" s="3">
        <v>45737</v>
      </c>
      <c r="D366" s="3">
        <f>YEAR(Table1[[#This Row],[OrderDate]]) * 100 + MONTH(Table1[[#This Row],[OrderDate]])</f>
        <v>202503</v>
      </c>
      <c r="E366" s="3">
        <f>_xlfn.MINIFS(Table1[OrderMonthKey],Table1[Country],Table1[[#This Row],[Country]])</f>
        <v>202303</v>
      </c>
      <c r="F366" s="3">
        <f>Table1[[#This Row],[CountryFirstMonthKey]]</f>
        <v>202303</v>
      </c>
      <c r="G366" s="3">
        <f>12*(INT(Table1[[#This Row],[OrderMonthKey]]/100)-INT(Table1[[#This Row],[CohortMonthKey]]/100)) + (MOD(Table1[[#This Row],[OrderMonthKey]],100)-MOD(Table1[[#This Row],[CohortMonthKey]],100))</f>
        <v>24</v>
      </c>
      <c r="H366" s="3" t="str">
        <f>TEXT(Table1[[#This Row],[OrderDate]],"MMM-YYYY")</f>
        <v>Mar-2025</v>
      </c>
      <c r="I366" s="3" t="str">
        <f t="shared" si="15"/>
        <v>Q2-2023</v>
      </c>
      <c r="J366" s="3" t="str">
        <f>IF(Table1[[#This Row],[LeadTimeDays]]&lt;=7,"Yes","No")</f>
        <v>No</v>
      </c>
      <c r="K366" s="3">
        <f>_xlfn.DAYS(Table1[[#This Row],[CorrectedRequiredDate]],Table1[[#This Row],[OrderDate]])</f>
        <v>19</v>
      </c>
      <c r="L366" s="3">
        <f>IF(Table1[[#This Row],[RequiredDate]]&lt;Table1[[#This Row],[OrderDate]],Table1[[#This Row],[OrderDate]],Table1[[#This Row],[RequiredDate]])</f>
        <v>45756</v>
      </c>
      <c r="M366" s="3">
        <v>45756</v>
      </c>
      <c r="N366" t="s">
        <v>647</v>
      </c>
      <c r="O366" t="s">
        <v>652</v>
      </c>
      <c r="P366" t="s">
        <v>689</v>
      </c>
      <c r="Q366" t="s">
        <v>705</v>
      </c>
      <c r="R366" t="s">
        <v>710</v>
      </c>
      <c r="S366" t="s">
        <v>718</v>
      </c>
      <c r="T366" t="s">
        <v>727</v>
      </c>
      <c r="U366" t="s">
        <v>1098</v>
      </c>
      <c r="V366" s="8">
        <v>1055.45</v>
      </c>
      <c r="W366" s="8">
        <v>1210.04</v>
      </c>
      <c r="X366" s="8">
        <f t="shared" si="16"/>
        <v>815.10700000000008</v>
      </c>
      <c r="Y366" s="8">
        <f t="shared" si="17"/>
        <v>1620.05</v>
      </c>
      <c r="AA366">
        <v>8.9999999999999993E-3</v>
      </c>
      <c r="AB366">
        <f>IF(Table1[[#This Row],[DiscountPct]]&gt;0.2,1,0)</f>
        <v>0</v>
      </c>
      <c r="AC366" s="6">
        <v>18</v>
      </c>
      <c r="AD366" s="8">
        <f>Table1[[#This Row],[UnitPrice]]*Table1[[#This Row],[Quantity]]</f>
        <v>21780.720000000001</v>
      </c>
      <c r="AE366" s="8">
        <f>Table1[[#This Row],[UnitCost]]*Table1[[#This Row],[Quantity]]</f>
        <v>18998.100000000002</v>
      </c>
      <c r="AF366" s="8">
        <f>Table1[[#This Row],[GrossRevenue]]-Table1[[#This Row],[CostOfGoods]]</f>
        <v>2782.619999999999</v>
      </c>
      <c r="AG366" s="8">
        <f>IF(Table1[[#This Row],[GrossRevenue]]=0,0,Table1[[#This Row],[GrossProfit]]/Table1[[#This Row],[GrossRevenue]])</f>
        <v>0.12775610723612438</v>
      </c>
    </row>
    <row r="367" spans="1:33" hidden="1" x14ac:dyDescent="0.45">
      <c r="A367" t="s">
        <v>380</v>
      </c>
      <c r="C367" s="3">
        <v>45445</v>
      </c>
      <c r="D367" s="3">
        <f>YEAR(Table1[[#This Row],[OrderDate]]) * 100 + MONTH(Table1[[#This Row],[OrderDate]])</f>
        <v>202406</v>
      </c>
      <c r="E367" s="3">
        <f>_xlfn.MINIFS(Table1[OrderMonthKey],Table1[Country],Table1[[#This Row],[Country]])</f>
        <v>202301</v>
      </c>
      <c r="F367" s="3">
        <f>Table1[[#This Row],[CountryFirstMonthKey]]</f>
        <v>202301</v>
      </c>
      <c r="G367" s="3">
        <f>12*(INT(Table1[[#This Row],[OrderMonthKey]]/100)-INT(Table1[[#This Row],[CohortMonthKey]]/100)) + (MOD(Table1[[#This Row],[OrderMonthKey]],100)-MOD(Table1[[#This Row],[CohortMonthKey]],100))</f>
        <v>17</v>
      </c>
      <c r="H367" s="3" t="str">
        <f>TEXT(Table1[[#This Row],[OrderDate]],"MMM-YYYY")</f>
        <v>Jun-2024</v>
      </c>
      <c r="I367" s="3" t="str">
        <f t="shared" si="15"/>
        <v>Q1-2025</v>
      </c>
      <c r="J367" s="3" t="str">
        <f>IF(Table1[[#This Row],[LeadTimeDays]]&lt;=7,"Yes","No")</f>
        <v>No</v>
      </c>
      <c r="K367" s="3">
        <f>_xlfn.DAYS(Table1[[#This Row],[CorrectedRequiredDate]],Table1[[#This Row],[OrderDate]])</f>
        <v>13</v>
      </c>
      <c r="L367" s="3">
        <f>IF(Table1[[#This Row],[RequiredDate]]&lt;Table1[[#This Row],[OrderDate]],Table1[[#This Row],[OrderDate]],Table1[[#This Row],[RequiredDate]])</f>
        <v>45458</v>
      </c>
      <c r="M367" s="3">
        <v>45458</v>
      </c>
      <c r="N367" t="s">
        <v>646</v>
      </c>
      <c r="O367" t="s">
        <v>650</v>
      </c>
      <c r="P367" t="s">
        <v>675</v>
      </c>
      <c r="Q367" t="s">
        <v>702</v>
      </c>
      <c r="R367" t="s">
        <v>708</v>
      </c>
      <c r="S367" t="s">
        <v>719</v>
      </c>
      <c r="T367" t="s">
        <v>730</v>
      </c>
      <c r="U367" t="s">
        <v>1099</v>
      </c>
      <c r="V367" s="8">
        <v>1295.18</v>
      </c>
      <c r="W367" s="8">
        <v>3024.03</v>
      </c>
      <c r="X367" s="8">
        <f t="shared" si="16"/>
        <v>815.10700000000008</v>
      </c>
      <c r="Y367" s="8">
        <f t="shared" si="17"/>
        <v>1620.05</v>
      </c>
      <c r="AA367">
        <v>0.192</v>
      </c>
      <c r="AB367">
        <f>IF(Table1[[#This Row],[DiscountPct]]&gt;0.2,1,0)</f>
        <v>0</v>
      </c>
      <c r="AC367" s="6">
        <v>8</v>
      </c>
      <c r="AD367" s="8">
        <f>Table1[[#This Row],[UnitPrice]]*Table1[[#This Row],[Quantity]]</f>
        <v>24192.240000000002</v>
      </c>
      <c r="AE367" s="8">
        <f>Table1[[#This Row],[UnitCost]]*Table1[[#This Row],[Quantity]]</f>
        <v>10361.44</v>
      </c>
      <c r="AF367" s="8">
        <f>Table1[[#This Row],[GrossRevenue]]-Table1[[#This Row],[CostOfGoods]]</f>
        <v>13830.800000000001</v>
      </c>
      <c r="AG367" s="8">
        <f>IF(Table1[[#This Row],[GrossRevenue]]=0,0,Table1[[#This Row],[GrossProfit]]/Table1[[#This Row],[GrossRevenue]])</f>
        <v>0.57170398441814396</v>
      </c>
    </row>
    <row r="368" spans="1:33" x14ac:dyDescent="0.45">
      <c r="A368" t="s">
        <v>381</v>
      </c>
      <c r="B368">
        <v>1</v>
      </c>
      <c r="C368" s="3">
        <v>45731</v>
      </c>
      <c r="D368" s="6">
        <f>YEAR(Table1[[#This Row],[OrderDate]]) * 100 + MONTH(Table1[[#This Row],[OrderDate]])</f>
        <v>202503</v>
      </c>
      <c r="E368" s="6">
        <f>_xlfn.MINIFS(Table1[OrderMonthKey],Table1[Country],Table1[[#This Row],[Country]])</f>
        <v>202302</v>
      </c>
      <c r="F368" s="6">
        <f>Table1[[#This Row],[CountryFirstMonthKey]]</f>
        <v>202302</v>
      </c>
      <c r="G368" s="6">
        <f>12*(INT(Table1[[#This Row],[OrderMonthKey]]/100)-INT(Table1[[#This Row],[CohortMonthKey]]/100)) + (MOD(Table1[[#This Row],[OrderMonthKey]],100)-MOD(Table1[[#This Row],[CohortMonthKey]],100))</f>
        <v>25</v>
      </c>
      <c r="H368" s="3" t="str">
        <f>TEXT(Table1[[#This Row],[OrderDate]],"MMM-YYYY")</f>
        <v>Mar-2025</v>
      </c>
      <c r="I368" s="3" t="str">
        <f t="shared" si="15"/>
        <v>Q2-2024</v>
      </c>
      <c r="J368" s="26" t="str">
        <f>IF(Table1[[#This Row],[LeadTimeDays]]&lt;=7,"Yes","No")</f>
        <v>No</v>
      </c>
      <c r="K368" s="6">
        <f>_xlfn.DAYS(Table1[[#This Row],[CorrectedRequiredDate]],Table1[[#This Row],[OrderDate]])</f>
        <v>14</v>
      </c>
      <c r="L368" s="3">
        <f>IF(Table1[[#This Row],[RequiredDate]]&lt;Table1[[#This Row],[OrderDate]],Table1[[#This Row],[OrderDate]],Table1[[#This Row],[RequiredDate]])</f>
        <v>45745</v>
      </c>
      <c r="M368" s="3">
        <v>45745</v>
      </c>
      <c r="N368" t="s">
        <v>647</v>
      </c>
      <c r="O368" t="s">
        <v>654</v>
      </c>
      <c r="P368" t="s">
        <v>691</v>
      </c>
      <c r="Q368" t="s">
        <v>706</v>
      </c>
      <c r="R368" t="s">
        <v>711</v>
      </c>
      <c r="S368" t="s">
        <v>712</v>
      </c>
      <c r="T368" t="s">
        <v>727</v>
      </c>
      <c r="U368" t="s">
        <v>1100</v>
      </c>
      <c r="V368" s="8">
        <v>935.83</v>
      </c>
      <c r="W368" s="8">
        <v>2303.46</v>
      </c>
      <c r="X368" s="8">
        <f t="shared" si="16"/>
        <v>815.10700000000008</v>
      </c>
      <c r="Y368" s="8">
        <f t="shared" si="17"/>
        <v>1620.05</v>
      </c>
      <c r="Z368" s="8" t="str">
        <f>IF(W367 &lt;= X366, "Low",IF(W367 &lt;= Y367, "Medium", "High"))</f>
        <v>High</v>
      </c>
      <c r="AA368">
        <v>0.105</v>
      </c>
      <c r="AB368">
        <f>IF(Table1[[#This Row],[DiscountPct]]&gt;0.2,1,0)</f>
        <v>0</v>
      </c>
      <c r="AC368" s="6">
        <v>9</v>
      </c>
      <c r="AD368" s="8">
        <f>Table1[[#This Row],[UnitPrice]]*Table1[[#This Row],[Quantity]]</f>
        <v>20731.14</v>
      </c>
      <c r="AE368" s="8">
        <f>Table1[[#This Row],[UnitCost]]*Table1[[#This Row],[Quantity]]</f>
        <v>8422.4700000000012</v>
      </c>
      <c r="AF368" s="8">
        <f>Table1[[#This Row],[GrossRevenue]]-Table1[[#This Row],[CostOfGoods]]</f>
        <v>12308.669999999998</v>
      </c>
      <c r="AG368" s="9">
        <f>IF(Table1[[#This Row],[GrossRevenue]]=0,0,Table1[[#This Row],[GrossProfit]]/Table1[[#This Row],[GrossRevenue]])</f>
        <v>0.59372856485461001</v>
      </c>
    </row>
    <row r="369" spans="1:33" hidden="1" x14ac:dyDescent="0.45">
      <c r="A369" t="s">
        <v>382</v>
      </c>
      <c r="C369" s="3">
        <v>45194</v>
      </c>
      <c r="D369" s="3">
        <f>YEAR(Table1[[#This Row],[OrderDate]]) * 100 + MONTH(Table1[[#This Row],[OrderDate]])</f>
        <v>202309</v>
      </c>
      <c r="E369" s="3">
        <f>_xlfn.MINIFS(Table1[OrderMonthKey],Table1[Country],Table1[[#This Row],[Country]])</f>
        <v>202301</v>
      </c>
      <c r="F369" s="3">
        <f>Table1[[#This Row],[CountryFirstMonthKey]]</f>
        <v>202301</v>
      </c>
      <c r="G369" s="3">
        <f>12*(INT(Table1[[#This Row],[OrderMonthKey]]/100)-INT(Table1[[#This Row],[CohortMonthKey]]/100)) + (MOD(Table1[[#This Row],[OrderMonthKey]],100)-MOD(Table1[[#This Row],[CohortMonthKey]],100))</f>
        <v>8</v>
      </c>
      <c r="H369" s="3" t="str">
        <f>TEXT(Table1[[#This Row],[OrderDate]],"MMM-YYYY")</f>
        <v>Sep-2023</v>
      </c>
      <c r="I369" s="3" t="str">
        <f t="shared" si="15"/>
        <v>Q1-2025</v>
      </c>
      <c r="J369" s="3" t="str">
        <f>IF(Table1[[#This Row],[LeadTimeDays]]&lt;=7,"Yes","No")</f>
        <v>No</v>
      </c>
      <c r="K369" s="3">
        <f>_xlfn.DAYS(Table1[[#This Row],[CorrectedRequiredDate]],Table1[[#This Row],[OrderDate]])</f>
        <v>14</v>
      </c>
      <c r="L369" s="3">
        <f>IF(Table1[[#This Row],[RequiredDate]]&lt;Table1[[#This Row],[OrderDate]],Table1[[#This Row],[OrderDate]],Table1[[#This Row],[RequiredDate]])</f>
        <v>45208</v>
      </c>
      <c r="M369" s="3">
        <v>45208</v>
      </c>
      <c r="N369" t="s">
        <v>648</v>
      </c>
      <c r="O369" t="s">
        <v>660</v>
      </c>
      <c r="P369" t="s">
        <v>700</v>
      </c>
      <c r="Q369" t="s">
        <v>705</v>
      </c>
      <c r="R369" t="s">
        <v>709</v>
      </c>
      <c r="S369" t="s">
        <v>713</v>
      </c>
      <c r="T369" t="s">
        <v>731</v>
      </c>
      <c r="U369" t="s">
        <v>1101</v>
      </c>
      <c r="V369" s="8">
        <v>1279.56</v>
      </c>
      <c r="W369" s="8">
        <v>3083.8</v>
      </c>
      <c r="X369" s="8">
        <f t="shared" si="16"/>
        <v>815.10700000000008</v>
      </c>
      <c r="Y369" s="8">
        <f t="shared" si="17"/>
        <v>1620.05</v>
      </c>
      <c r="AA369">
        <v>0.106</v>
      </c>
      <c r="AB369">
        <f>IF(Table1[[#This Row],[DiscountPct]]&gt;0.2,1,0)</f>
        <v>0</v>
      </c>
      <c r="AC369" s="6">
        <v>5</v>
      </c>
      <c r="AD369" s="8">
        <f>Table1[[#This Row],[UnitPrice]]*Table1[[#This Row],[Quantity]]</f>
        <v>15419</v>
      </c>
      <c r="AE369" s="8">
        <f>Table1[[#This Row],[UnitCost]]*Table1[[#This Row],[Quantity]]</f>
        <v>6397.7999999999993</v>
      </c>
      <c r="AF369" s="8">
        <f>Table1[[#This Row],[GrossRevenue]]-Table1[[#This Row],[CostOfGoods]]</f>
        <v>9021.2000000000007</v>
      </c>
      <c r="AG369" s="8">
        <f>IF(Table1[[#This Row],[GrossRevenue]]=0,0,Table1[[#This Row],[GrossProfit]]/Table1[[#This Row],[GrossRevenue]])</f>
        <v>0.5850703677281277</v>
      </c>
    </row>
    <row r="370" spans="1:33" x14ac:dyDescent="0.45">
      <c r="A370" t="s">
        <v>383</v>
      </c>
      <c r="B370">
        <v>1</v>
      </c>
      <c r="C370" s="3">
        <v>45832</v>
      </c>
      <c r="D370" s="6">
        <f>YEAR(Table1[[#This Row],[OrderDate]]) * 100 + MONTH(Table1[[#This Row],[OrderDate]])</f>
        <v>202506</v>
      </c>
      <c r="E370" s="6">
        <f>_xlfn.MINIFS(Table1[OrderMonthKey],Table1[Country],Table1[[#This Row],[Country]])</f>
        <v>202301</v>
      </c>
      <c r="F370" s="6">
        <f>Table1[[#This Row],[CountryFirstMonthKey]]</f>
        <v>202301</v>
      </c>
      <c r="G370" s="6">
        <f>12*(INT(Table1[[#This Row],[OrderMonthKey]]/100)-INT(Table1[[#This Row],[CohortMonthKey]]/100)) + (MOD(Table1[[#This Row],[OrderMonthKey]],100)-MOD(Table1[[#This Row],[CohortMonthKey]],100))</f>
        <v>29</v>
      </c>
      <c r="H370" s="3" t="str">
        <f>TEXT(Table1[[#This Row],[OrderDate]],"MMM-YYYY")</f>
        <v>Jun-2025</v>
      </c>
      <c r="I370" s="3" t="str">
        <f t="shared" si="15"/>
        <v>Q3-2023</v>
      </c>
      <c r="J370" s="26" t="str">
        <f>IF(Table1[[#This Row],[LeadTimeDays]]&lt;=7,"Yes","No")</f>
        <v>No</v>
      </c>
      <c r="K370" s="6">
        <f>_xlfn.DAYS(Table1[[#This Row],[CorrectedRequiredDate]],Table1[[#This Row],[OrderDate]])</f>
        <v>29</v>
      </c>
      <c r="L370" s="3">
        <f>IF(Table1[[#This Row],[RequiredDate]]&lt;Table1[[#This Row],[OrderDate]],Table1[[#This Row],[OrderDate]],Table1[[#This Row],[RequiredDate]])</f>
        <v>45861</v>
      </c>
      <c r="M370" s="3">
        <v>45861</v>
      </c>
      <c r="N370" t="s">
        <v>648</v>
      </c>
      <c r="O370" t="s">
        <v>653</v>
      </c>
      <c r="P370" t="s">
        <v>688</v>
      </c>
      <c r="Q370" t="s">
        <v>703</v>
      </c>
      <c r="R370" t="s">
        <v>709</v>
      </c>
      <c r="S370" t="s">
        <v>714</v>
      </c>
      <c r="T370" t="s">
        <v>728</v>
      </c>
      <c r="U370" t="s">
        <v>1102</v>
      </c>
      <c r="V370" s="8">
        <v>255.4</v>
      </c>
      <c r="W370" s="8">
        <v>322.70999999999998</v>
      </c>
      <c r="X370" s="8">
        <f t="shared" si="16"/>
        <v>815.10700000000008</v>
      </c>
      <c r="Y370" s="8">
        <f t="shared" si="17"/>
        <v>1620.05</v>
      </c>
      <c r="Z370" s="8" t="str">
        <f>IF(W369 &lt;= X368, "Low",IF(W369 &lt;= Y369, "Medium", "High"))</f>
        <v>High</v>
      </c>
      <c r="AA370">
        <v>0.115</v>
      </c>
      <c r="AB370">
        <f>IF(Table1[[#This Row],[DiscountPct]]&gt;0.2,1,0)</f>
        <v>0</v>
      </c>
      <c r="AC370" s="6">
        <v>16</v>
      </c>
      <c r="AD370" s="8">
        <f>Table1[[#This Row],[UnitPrice]]*Table1[[#This Row],[Quantity]]</f>
        <v>5163.3599999999997</v>
      </c>
      <c r="AE370" s="8">
        <f>Table1[[#This Row],[UnitCost]]*Table1[[#This Row],[Quantity]]</f>
        <v>4086.4</v>
      </c>
      <c r="AF370" s="8">
        <f>Table1[[#This Row],[GrossRevenue]]-Table1[[#This Row],[CostOfGoods]]</f>
        <v>1076.9599999999996</v>
      </c>
      <c r="AG370" s="9">
        <f>IF(Table1[[#This Row],[GrossRevenue]]=0,0,Table1[[#This Row],[GrossProfit]]/Table1[[#This Row],[GrossRevenue]])</f>
        <v>0.20857736047844808</v>
      </c>
    </row>
    <row r="371" spans="1:33" hidden="1" x14ac:dyDescent="0.45">
      <c r="A371" t="s">
        <v>384</v>
      </c>
      <c r="C371" s="3">
        <v>45286</v>
      </c>
      <c r="D371" s="3">
        <f>YEAR(Table1[[#This Row],[OrderDate]]) * 100 + MONTH(Table1[[#This Row],[OrderDate]])</f>
        <v>202312</v>
      </c>
      <c r="E371" s="3">
        <f>_xlfn.MINIFS(Table1[OrderMonthKey],Table1[Country],Table1[[#This Row],[Country]])</f>
        <v>202301</v>
      </c>
      <c r="F371" s="3">
        <f>Table1[[#This Row],[CountryFirstMonthKey]]</f>
        <v>202301</v>
      </c>
      <c r="G371" s="3">
        <f>12*(INT(Table1[[#This Row],[OrderMonthKey]]/100)-INT(Table1[[#This Row],[CohortMonthKey]]/100)) + (MOD(Table1[[#This Row],[OrderMonthKey]],100)-MOD(Table1[[#This Row],[CohortMonthKey]],100))</f>
        <v>11</v>
      </c>
      <c r="H371" s="3" t="str">
        <f>TEXT(Table1[[#This Row],[OrderDate]],"MMM-YYYY")</f>
        <v>Dec-2023</v>
      </c>
      <c r="I371" s="3" t="str">
        <f t="shared" si="15"/>
        <v>Q2-2025</v>
      </c>
      <c r="J371" s="3" t="str">
        <f>IF(Table1[[#This Row],[LeadTimeDays]]&lt;=7,"Yes","No")</f>
        <v>No</v>
      </c>
      <c r="K371" s="3">
        <f>_xlfn.DAYS(Table1[[#This Row],[CorrectedRequiredDate]],Table1[[#This Row],[OrderDate]])</f>
        <v>8</v>
      </c>
      <c r="L371" s="3">
        <f>IF(Table1[[#This Row],[RequiredDate]]&lt;Table1[[#This Row],[OrderDate]],Table1[[#This Row],[OrderDate]],Table1[[#This Row],[RequiredDate]])</f>
        <v>45294</v>
      </c>
      <c r="M371" s="3">
        <v>45294</v>
      </c>
      <c r="N371" t="s">
        <v>649</v>
      </c>
      <c r="O371" t="s">
        <v>657</v>
      </c>
      <c r="P371" t="s">
        <v>679</v>
      </c>
      <c r="Q371" t="s">
        <v>705</v>
      </c>
      <c r="R371" t="s">
        <v>707</v>
      </c>
      <c r="S371" t="s">
        <v>724</v>
      </c>
      <c r="T371" t="s">
        <v>731</v>
      </c>
      <c r="U371" t="s">
        <v>1103</v>
      </c>
      <c r="V371" s="8">
        <v>492.75</v>
      </c>
      <c r="W371" s="8">
        <v>731.29</v>
      </c>
      <c r="X371" s="8">
        <f t="shared" si="16"/>
        <v>815.10700000000008</v>
      </c>
      <c r="Y371" s="8">
        <f t="shared" si="17"/>
        <v>1620.05</v>
      </c>
      <c r="AA371">
        <v>5.8000000000000003E-2</v>
      </c>
      <c r="AB371">
        <f>IF(Table1[[#This Row],[DiscountPct]]&gt;0.2,1,0)</f>
        <v>0</v>
      </c>
      <c r="AC371" s="6">
        <v>6</v>
      </c>
      <c r="AD371" s="8">
        <f>Table1[[#This Row],[UnitPrice]]*Table1[[#This Row],[Quantity]]</f>
        <v>4387.74</v>
      </c>
      <c r="AE371" s="8">
        <f>Table1[[#This Row],[UnitCost]]*Table1[[#This Row],[Quantity]]</f>
        <v>2956.5</v>
      </c>
      <c r="AF371" s="8">
        <f>Table1[[#This Row],[GrossRevenue]]-Table1[[#This Row],[CostOfGoods]]</f>
        <v>1431.2399999999998</v>
      </c>
      <c r="AG371" s="8">
        <f>IF(Table1[[#This Row],[GrossRevenue]]=0,0,Table1[[#This Row],[GrossProfit]]/Table1[[#This Row],[GrossRevenue]])</f>
        <v>0.32619070409823731</v>
      </c>
    </row>
    <row r="372" spans="1:33" hidden="1" x14ac:dyDescent="0.45">
      <c r="A372" t="s">
        <v>385</v>
      </c>
      <c r="C372" s="3">
        <v>44962</v>
      </c>
      <c r="D372" s="3">
        <f>YEAR(Table1[[#This Row],[OrderDate]]) * 100 + MONTH(Table1[[#This Row],[OrderDate]])</f>
        <v>202302</v>
      </c>
      <c r="E372" s="3">
        <f>_xlfn.MINIFS(Table1[OrderMonthKey],Table1[Country],Table1[[#This Row],[Country]])</f>
        <v>202301</v>
      </c>
      <c r="F372" s="3">
        <f>Table1[[#This Row],[CountryFirstMonthKey]]</f>
        <v>202301</v>
      </c>
      <c r="G372" s="3">
        <f>12*(INT(Table1[[#This Row],[OrderMonthKey]]/100)-INT(Table1[[#This Row],[CohortMonthKey]]/100)) + (MOD(Table1[[#This Row],[OrderMonthKey]],100)-MOD(Table1[[#This Row],[CohortMonthKey]],100))</f>
        <v>1</v>
      </c>
      <c r="H372" s="3" t="str">
        <f>TEXT(Table1[[#This Row],[OrderDate]],"MMM-YYYY")</f>
        <v>Feb-2023</v>
      </c>
      <c r="I372" s="3" t="str">
        <f t="shared" si="15"/>
        <v>Q4-2023</v>
      </c>
      <c r="J372" s="3" t="str">
        <f>IF(Table1[[#This Row],[LeadTimeDays]]&lt;=7,"Yes","No")</f>
        <v>No</v>
      </c>
      <c r="K372" s="3">
        <f>_xlfn.DAYS(Table1[[#This Row],[CorrectedRequiredDate]],Table1[[#This Row],[OrderDate]])</f>
        <v>23</v>
      </c>
      <c r="L372" s="3">
        <f>IF(Table1[[#This Row],[RequiredDate]]&lt;Table1[[#This Row],[OrderDate]],Table1[[#This Row],[OrderDate]],Table1[[#This Row],[RequiredDate]])</f>
        <v>44985</v>
      </c>
      <c r="M372" s="3">
        <v>44985</v>
      </c>
      <c r="N372" t="s">
        <v>648</v>
      </c>
      <c r="O372" t="s">
        <v>660</v>
      </c>
      <c r="P372" t="s">
        <v>697</v>
      </c>
      <c r="Q372" t="s">
        <v>703</v>
      </c>
      <c r="R372" t="s">
        <v>710</v>
      </c>
      <c r="S372" t="s">
        <v>716</v>
      </c>
      <c r="T372" t="s">
        <v>730</v>
      </c>
      <c r="U372" t="s">
        <v>1104</v>
      </c>
      <c r="V372" s="8">
        <v>1214.49</v>
      </c>
      <c r="W372" s="8">
        <v>1533.95</v>
      </c>
      <c r="X372" s="8">
        <f t="shared" si="16"/>
        <v>815.10700000000008</v>
      </c>
      <c r="Y372" s="8">
        <f t="shared" si="17"/>
        <v>1620.05</v>
      </c>
      <c r="AA372">
        <v>0</v>
      </c>
      <c r="AB372">
        <f>IF(Table1[[#This Row],[DiscountPct]]&gt;0.2,1,0)</f>
        <v>0</v>
      </c>
      <c r="AC372" s="6">
        <v>11</v>
      </c>
      <c r="AD372" s="8">
        <f>Table1[[#This Row],[UnitPrice]]*Table1[[#This Row],[Quantity]]</f>
        <v>16873.45</v>
      </c>
      <c r="AE372" s="8">
        <f>Table1[[#This Row],[UnitCost]]*Table1[[#This Row],[Quantity]]</f>
        <v>13359.39</v>
      </c>
      <c r="AF372" s="8">
        <f>Table1[[#This Row],[GrossRevenue]]-Table1[[#This Row],[CostOfGoods]]</f>
        <v>3514.0600000000013</v>
      </c>
      <c r="AG372" s="8">
        <f>IF(Table1[[#This Row],[GrossRevenue]]=0,0,Table1[[#This Row],[GrossProfit]]/Table1[[#This Row],[GrossRevenue]])</f>
        <v>0.20825972163369086</v>
      </c>
    </row>
    <row r="373" spans="1:33" x14ac:dyDescent="0.45">
      <c r="A373" t="s">
        <v>386</v>
      </c>
      <c r="B373">
        <v>1</v>
      </c>
      <c r="C373" s="3">
        <v>45022</v>
      </c>
      <c r="D373" s="6">
        <f>YEAR(Table1[[#This Row],[OrderDate]]) * 100 + MONTH(Table1[[#This Row],[OrderDate]])</f>
        <v>202304</v>
      </c>
      <c r="E373" s="6">
        <f>_xlfn.MINIFS(Table1[OrderMonthKey],Table1[Country],Table1[[#This Row],[Country]])</f>
        <v>202301</v>
      </c>
      <c r="F373" s="6">
        <f>Table1[[#This Row],[CountryFirstMonthKey]]</f>
        <v>202301</v>
      </c>
      <c r="G373" s="6">
        <f>12*(INT(Table1[[#This Row],[OrderMonthKey]]/100)-INT(Table1[[#This Row],[CohortMonthKey]]/100)) + (MOD(Table1[[#This Row],[OrderMonthKey]],100)-MOD(Table1[[#This Row],[CohortMonthKey]],100))</f>
        <v>3</v>
      </c>
      <c r="H373" s="3" t="str">
        <f>TEXT(Table1[[#This Row],[OrderDate]],"MMM-YYYY")</f>
        <v>Apr-2023</v>
      </c>
      <c r="I373" s="3" t="str">
        <f t="shared" si="15"/>
        <v>Q1-2023</v>
      </c>
      <c r="J373" s="26" t="str">
        <f>IF(Table1[[#This Row],[LeadTimeDays]]&lt;=7,"Yes","No")</f>
        <v>Yes</v>
      </c>
      <c r="K373" s="6">
        <f>_xlfn.DAYS(Table1[[#This Row],[CorrectedRequiredDate]],Table1[[#This Row],[OrderDate]])</f>
        <v>2</v>
      </c>
      <c r="L373" s="3">
        <f>IF(Table1[[#This Row],[RequiredDate]]&lt;Table1[[#This Row],[OrderDate]],Table1[[#This Row],[OrderDate]],Table1[[#This Row],[RequiredDate]])</f>
        <v>45024</v>
      </c>
      <c r="M373" s="3">
        <v>45024</v>
      </c>
      <c r="N373" t="s">
        <v>646</v>
      </c>
      <c r="O373" t="s">
        <v>651</v>
      </c>
      <c r="P373" t="s">
        <v>669</v>
      </c>
      <c r="Q373" t="s">
        <v>705</v>
      </c>
      <c r="R373" t="s">
        <v>709</v>
      </c>
      <c r="S373" t="s">
        <v>723</v>
      </c>
      <c r="T373" t="s">
        <v>732</v>
      </c>
      <c r="U373" t="s">
        <v>1105</v>
      </c>
      <c r="V373" s="8">
        <v>720.35</v>
      </c>
      <c r="W373" s="8">
        <v>1571.66</v>
      </c>
      <c r="X373" s="8">
        <f t="shared" si="16"/>
        <v>815.10700000000008</v>
      </c>
      <c r="Y373" s="8">
        <f t="shared" si="17"/>
        <v>1620.05</v>
      </c>
      <c r="Z373" s="8" t="str">
        <f>IF(W372 &lt;= X371, "Low",IF(W372 &lt;= Y372, "Medium", "High"))</f>
        <v>Medium</v>
      </c>
      <c r="AA373">
        <v>0.107</v>
      </c>
      <c r="AB373">
        <f>IF(Table1[[#This Row],[DiscountPct]]&gt;0.2,1,0)</f>
        <v>0</v>
      </c>
      <c r="AC373" s="6">
        <v>23</v>
      </c>
      <c r="AD373" s="8">
        <f>Table1[[#This Row],[UnitPrice]]*Table1[[#This Row],[Quantity]]</f>
        <v>36148.18</v>
      </c>
      <c r="AE373" s="8">
        <f>Table1[[#This Row],[UnitCost]]*Table1[[#This Row],[Quantity]]</f>
        <v>16568.05</v>
      </c>
      <c r="AF373" s="8">
        <f>Table1[[#This Row],[GrossRevenue]]-Table1[[#This Row],[CostOfGoods]]</f>
        <v>19580.13</v>
      </c>
      <c r="AG373" s="9">
        <f>IF(Table1[[#This Row],[GrossRevenue]]=0,0,Table1[[#This Row],[GrossProfit]]/Table1[[#This Row],[GrossRevenue]])</f>
        <v>0.5416629550920683</v>
      </c>
    </row>
    <row r="374" spans="1:33" x14ac:dyDescent="0.45">
      <c r="A374" t="s">
        <v>387</v>
      </c>
      <c r="B374">
        <v>1</v>
      </c>
      <c r="C374" s="3">
        <v>45751</v>
      </c>
      <c r="D374" s="6">
        <f>YEAR(Table1[[#This Row],[OrderDate]]) * 100 + MONTH(Table1[[#This Row],[OrderDate]])</f>
        <v>202504</v>
      </c>
      <c r="E374" s="6">
        <f>_xlfn.MINIFS(Table1[OrderMonthKey],Table1[Country],Table1[[#This Row],[Country]])</f>
        <v>202301</v>
      </c>
      <c r="F374" s="6">
        <f>Table1[[#This Row],[CountryFirstMonthKey]]</f>
        <v>202301</v>
      </c>
      <c r="G374" s="6">
        <f>12*(INT(Table1[[#This Row],[OrderMonthKey]]/100)-INT(Table1[[#This Row],[CohortMonthKey]]/100)) + (MOD(Table1[[#This Row],[OrderMonthKey]],100)-MOD(Table1[[#This Row],[CohortMonthKey]],100))</f>
        <v>27</v>
      </c>
      <c r="H374" s="3" t="str">
        <f>TEXT(Table1[[#This Row],[OrderDate]],"MMM-YYYY")</f>
        <v>Apr-2025</v>
      </c>
      <c r="I374" s="3" t="str">
        <f t="shared" si="15"/>
        <v>Q2-2023</v>
      </c>
      <c r="J374" s="26" t="str">
        <f>IF(Table1[[#This Row],[LeadTimeDays]]&lt;=7,"Yes","No")</f>
        <v>Yes</v>
      </c>
      <c r="K374" s="6">
        <f>_xlfn.DAYS(Table1[[#This Row],[CorrectedRequiredDate]],Table1[[#This Row],[OrderDate]])</f>
        <v>6</v>
      </c>
      <c r="L374" s="3">
        <f>IF(Table1[[#This Row],[RequiredDate]]&lt;Table1[[#This Row],[OrderDate]],Table1[[#This Row],[OrderDate]],Table1[[#This Row],[RequiredDate]])</f>
        <v>45757</v>
      </c>
      <c r="M374" s="3">
        <v>45757</v>
      </c>
      <c r="N374" t="s">
        <v>649</v>
      </c>
      <c r="O374" t="s">
        <v>658</v>
      </c>
      <c r="P374" t="s">
        <v>674</v>
      </c>
      <c r="Q374" t="s">
        <v>703</v>
      </c>
      <c r="R374" t="s">
        <v>711</v>
      </c>
      <c r="S374" t="s">
        <v>725</v>
      </c>
      <c r="T374" t="s">
        <v>728</v>
      </c>
      <c r="U374" t="s">
        <v>1106</v>
      </c>
      <c r="V374" s="8">
        <v>290.14</v>
      </c>
      <c r="W374" s="8">
        <v>250.73</v>
      </c>
      <c r="X374" s="8">
        <f t="shared" si="16"/>
        <v>815.10700000000008</v>
      </c>
      <c r="Y374" s="8">
        <f t="shared" si="17"/>
        <v>1620.05</v>
      </c>
      <c r="Z374" s="8" t="str">
        <f>IF(W373 &lt;= X372, "Low",IF(W373 &lt;= Y373, "Medium", "High"))</f>
        <v>Medium</v>
      </c>
      <c r="AA374">
        <v>3.4000000000000002E-2</v>
      </c>
      <c r="AB374">
        <f>IF(Table1[[#This Row],[DiscountPct]]&gt;0.2,1,0)</f>
        <v>0</v>
      </c>
      <c r="AC374" s="6">
        <v>17</v>
      </c>
      <c r="AD374" s="8">
        <f>Table1[[#This Row],[UnitPrice]]*Table1[[#This Row],[Quantity]]</f>
        <v>4262.41</v>
      </c>
      <c r="AE374" s="8">
        <f>Table1[[#This Row],[UnitCost]]*Table1[[#This Row],[Quantity]]</f>
        <v>4932.38</v>
      </c>
      <c r="AF374" s="8">
        <f>Table1[[#This Row],[GrossRevenue]]-Table1[[#This Row],[CostOfGoods]]</f>
        <v>-669.97000000000025</v>
      </c>
      <c r="AG374" s="9">
        <f>IF(Table1[[#This Row],[GrossRevenue]]=0,0,Table1[[#This Row],[GrossProfit]]/Table1[[#This Row],[GrossRevenue]])</f>
        <v>-0.1571810313883461</v>
      </c>
    </row>
    <row r="375" spans="1:33" hidden="1" x14ac:dyDescent="0.45">
      <c r="A375" t="s">
        <v>388</v>
      </c>
      <c r="C375" s="3">
        <v>45429</v>
      </c>
      <c r="D375" s="3">
        <f>YEAR(Table1[[#This Row],[OrderDate]]) * 100 + MONTH(Table1[[#This Row],[OrderDate]])</f>
        <v>202405</v>
      </c>
      <c r="E375" s="3">
        <f>_xlfn.MINIFS(Table1[OrderMonthKey],Table1[Country],Table1[[#This Row],[Country]])</f>
        <v>202301</v>
      </c>
      <c r="F375" s="3">
        <f>Table1[[#This Row],[CountryFirstMonthKey]]</f>
        <v>202301</v>
      </c>
      <c r="G375" s="3">
        <f>12*(INT(Table1[[#This Row],[OrderMonthKey]]/100)-INT(Table1[[#This Row],[CohortMonthKey]]/100)) + (MOD(Table1[[#This Row],[OrderMonthKey]],100)-MOD(Table1[[#This Row],[CohortMonthKey]],100))</f>
        <v>16</v>
      </c>
      <c r="H375" s="3" t="str">
        <f>TEXT(Table1[[#This Row],[OrderDate]],"MMM-YYYY")</f>
        <v>May-2024</v>
      </c>
      <c r="I375" s="3" t="str">
        <f t="shared" si="15"/>
        <v>Q2-2025</v>
      </c>
      <c r="J375" s="3" t="str">
        <f>IF(Table1[[#This Row],[LeadTimeDays]]&lt;=7,"Yes","No")</f>
        <v>No</v>
      </c>
      <c r="K375" s="3">
        <f>_xlfn.DAYS(Table1[[#This Row],[CorrectedRequiredDate]],Table1[[#This Row],[OrderDate]])</f>
        <v>10</v>
      </c>
      <c r="L375" s="3">
        <f>IF(Table1[[#This Row],[RequiredDate]]&lt;Table1[[#This Row],[OrderDate]],Table1[[#This Row],[OrderDate]],Table1[[#This Row],[RequiredDate]])</f>
        <v>45439</v>
      </c>
      <c r="M375" s="3">
        <v>45439</v>
      </c>
      <c r="N375" t="s">
        <v>648</v>
      </c>
      <c r="O375" t="s">
        <v>660</v>
      </c>
      <c r="P375" t="s">
        <v>697</v>
      </c>
      <c r="Q375" t="s">
        <v>703</v>
      </c>
      <c r="R375" t="s">
        <v>708</v>
      </c>
      <c r="S375" t="s">
        <v>712</v>
      </c>
      <c r="T375" t="s">
        <v>730</v>
      </c>
      <c r="U375" t="s">
        <v>1107</v>
      </c>
      <c r="V375" s="8">
        <v>1484.23</v>
      </c>
      <c r="W375" s="8">
        <v>3472.81</v>
      </c>
      <c r="X375" s="8">
        <f t="shared" si="16"/>
        <v>815.10700000000008</v>
      </c>
      <c r="Y375" s="8">
        <f t="shared" si="17"/>
        <v>1620.05</v>
      </c>
      <c r="AA375">
        <v>0.25600000000000001</v>
      </c>
      <c r="AB375">
        <f>IF(Table1[[#This Row],[DiscountPct]]&gt;0.2,1,0)</f>
        <v>1</v>
      </c>
      <c r="AC375" s="6">
        <v>12</v>
      </c>
      <c r="AD375" s="8">
        <f>Table1[[#This Row],[UnitPrice]]*Table1[[#This Row],[Quantity]]</f>
        <v>41673.72</v>
      </c>
      <c r="AE375" s="8">
        <f>Table1[[#This Row],[UnitCost]]*Table1[[#This Row],[Quantity]]</f>
        <v>17810.760000000002</v>
      </c>
      <c r="AF375" s="8">
        <f>Table1[[#This Row],[GrossRevenue]]-Table1[[#This Row],[CostOfGoods]]</f>
        <v>23862.959999999999</v>
      </c>
      <c r="AG375" s="8">
        <f>IF(Table1[[#This Row],[GrossRevenue]]=0,0,Table1[[#This Row],[GrossProfit]]/Table1[[#This Row],[GrossRevenue]])</f>
        <v>0.57261410788381739</v>
      </c>
    </row>
    <row r="376" spans="1:33" x14ac:dyDescent="0.45">
      <c r="A376" t="s">
        <v>389</v>
      </c>
      <c r="B376">
        <v>1</v>
      </c>
      <c r="C376" s="3">
        <v>45354</v>
      </c>
      <c r="D376" s="6">
        <f>YEAR(Table1[[#This Row],[OrderDate]]) * 100 + MONTH(Table1[[#This Row],[OrderDate]])</f>
        <v>202403</v>
      </c>
      <c r="E376" s="6">
        <f>_xlfn.MINIFS(Table1[OrderMonthKey],Table1[Country],Table1[[#This Row],[Country]])</f>
        <v>202301</v>
      </c>
      <c r="F376" s="6">
        <f>Table1[[#This Row],[CountryFirstMonthKey]]</f>
        <v>202301</v>
      </c>
      <c r="G376" s="6">
        <f>12*(INT(Table1[[#This Row],[OrderMonthKey]]/100)-INT(Table1[[#This Row],[CohortMonthKey]]/100)) + (MOD(Table1[[#This Row],[OrderMonthKey]],100)-MOD(Table1[[#This Row],[CohortMonthKey]],100))</f>
        <v>14</v>
      </c>
      <c r="H376" s="3" t="str">
        <f>TEXT(Table1[[#This Row],[OrderDate]],"MMM-YYYY")</f>
        <v>Mar-2024</v>
      </c>
      <c r="I376" s="3" t="str">
        <f t="shared" si="15"/>
        <v>Q2-2024</v>
      </c>
      <c r="J376" s="26" t="str">
        <f>IF(Table1[[#This Row],[LeadTimeDays]]&lt;=7,"Yes","No")</f>
        <v>No</v>
      </c>
      <c r="K376" s="6">
        <f>_xlfn.DAYS(Table1[[#This Row],[CorrectedRequiredDate]],Table1[[#This Row],[OrderDate]])</f>
        <v>16</v>
      </c>
      <c r="L376" s="3">
        <f>IF(Table1[[#This Row],[RequiredDate]]&lt;Table1[[#This Row],[OrderDate]],Table1[[#This Row],[OrderDate]],Table1[[#This Row],[RequiredDate]])</f>
        <v>45370</v>
      </c>
      <c r="M376" s="3">
        <v>45370</v>
      </c>
      <c r="N376" t="s">
        <v>647</v>
      </c>
      <c r="O376" t="s">
        <v>659</v>
      </c>
      <c r="P376" t="s">
        <v>699</v>
      </c>
      <c r="Q376" t="s">
        <v>704</v>
      </c>
      <c r="R376" t="s">
        <v>710</v>
      </c>
      <c r="S376" t="s">
        <v>715</v>
      </c>
      <c r="T376" t="s">
        <v>730</v>
      </c>
      <c r="U376" t="s">
        <v>1108</v>
      </c>
      <c r="V376" s="8">
        <v>988.83</v>
      </c>
      <c r="W376" s="8">
        <v>1206.04</v>
      </c>
      <c r="X376" s="8">
        <f t="shared" si="16"/>
        <v>815.10700000000008</v>
      </c>
      <c r="Y376" s="8">
        <f t="shared" si="17"/>
        <v>1620.05</v>
      </c>
      <c r="Z376" s="8" t="str">
        <f>IF(W375 &lt;= X374, "Low",IF(W375 &lt;= Y375, "Medium", "High"))</f>
        <v>High</v>
      </c>
      <c r="AA376">
        <v>6.3E-2</v>
      </c>
      <c r="AB376">
        <f>IF(Table1[[#This Row],[DiscountPct]]&gt;0.2,1,0)</f>
        <v>0</v>
      </c>
      <c r="AC376" s="6">
        <v>34</v>
      </c>
      <c r="AD376" s="8">
        <f>Table1[[#This Row],[UnitPrice]]*Table1[[#This Row],[Quantity]]</f>
        <v>41005.360000000001</v>
      </c>
      <c r="AE376" s="8">
        <f>Table1[[#This Row],[UnitCost]]*Table1[[#This Row],[Quantity]]</f>
        <v>33620.22</v>
      </c>
      <c r="AF376" s="8">
        <f>Table1[[#This Row],[GrossRevenue]]-Table1[[#This Row],[CostOfGoods]]</f>
        <v>7385.1399999999994</v>
      </c>
      <c r="AG376" s="9">
        <f>IF(Table1[[#This Row],[GrossRevenue]]=0,0,Table1[[#This Row],[GrossProfit]]/Table1[[#This Row],[GrossRevenue]])</f>
        <v>0.18010182083512982</v>
      </c>
    </row>
    <row r="377" spans="1:33" x14ac:dyDescent="0.45">
      <c r="A377" t="s">
        <v>390</v>
      </c>
      <c r="B377">
        <v>1</v>
      </c>
      <c r="C377" s="3">
        <v>45835</v>
      </c>
      <c r="D377" s="6">
        <f>YEAR(Table1[[#This Row],[OrderDate]]) * 100 + MONTH(Table1[[#This Row],[OrderDate]])</f>
        <v>202506</v>
      </c>
      <c r="E377" s="6">
        <f>_xlfn.MINIFS(Table1[OrderMonthKey],Table1[Country],Table1[[#This Row],[Country]])</f>
        <v>202301</v>
      </c>
      <c r="F377" s="6">
        <f>Table1[[#This Row],[CountryFirstMonthKey]]</f>
        <v>202301</v>
      </c>
      <c r="G377" s="6">
        <f>12*(INT(Table1[[#This Row],[OrderMonthKey]]/100)-INT(Table1[[#This Row],[CohortMonthKey]]/100)) + (MOD(Table1[[#This Row],[OrderMonthKey]],100)-MOD(Table1[[#This Row],[CohortMonthKey]],100))</f>
        <v>29</v>
      </c>
      <c r="H377" s="3" t="str">
        <f>TEXT(Table1[[#This Row],[OrderDate]],"MMM-YYYY")</f>
        <v>Jun-2025</v>
      </c>
      <c r="I377" s="3" t="str">
        <f t="shared" si="15"/>
        <v>Q1-2024</v>
      </c>
      <c r="J377" s="26" t="str">
        <f>IF(Table1[[#This Row],[LeadTimeDays]]&lt;=7,"Yes","No")</f>
        <v>No</v>
      </c>
      <c r="K377" s="6">
        <f>_xlfn.DAYS(Table1[[#This Row],[CorrectedRequiredDate]],Table1[[#This Row],[OrderDate]])</f>
        <v>14</v>
      </c>
      <c r="L377" s="3">
        <f>IF(Table1[[#This Row],[RequiredDate]]&lt;Table1[[#This Row],[OrderDate]],Table1[[#This Row],[OrderDate]],Table1[[#This Row],[RequiredDate]])</f>
        <v>45849</v>
      </c>
      <c r="M377" s="3">
        <v>45849</v>
      </c>
      <c r="N377" t="s">
        <v>647</v>
      </c>
      <c r="O377" t="s">
        <v>659</v>
      </c>
      <c r="P377" t="s">
        <v>685</v>
      </c>
      <c r="Q377" t="s">
        <v>705</v>
      </c>
      <c r="R377" t="s">
        <v>709</v>
      </c>
      <c r="S377" t="s">
        <v>716</v>
      </c>
      <c r="T377" t="s">
        <v>729</v>
      </c>
      <c r="U377" t="s">
        <v>1109</v>
      </c>
      <c r="V377" s="8">
        <v>1227.7</v>
      </c>
      <c r="W377" s="8">
        <v>2197.23</v>
      </c>
      <c r="X377" s="8">
        <f t="shared" si="16"/>
        <v>815.10700000000008</v>
      </c>
      <c r="Y377" s="8">
        <f t="shared" si="17"/>
        <v>1620.05</v>
      </c>
      <c r="Z377" s="8" t="str">
        <f>IF(W376 &lt;= X375, "Low",IF(W376 &lt;= Y376, "Medium", "High"))</f>
        <v>Medium</v>
      </c>
      <c r="AA377">
        <v>9.9000000000000005E-2</v>
      </c>
      <c r="AB377">
        <f>IF(Table1[[#This Row],[DiscountPct]]&gt;0.2,1,0)</f>
        <v>0</v>
      </c>
      <c r="AC377" s="6">
        <v>22</v>
      </c>
      <c r="AD377" s="8">
        <f>Table1[[#This Row],[UnitPrice]]*Table1[[#This Row],[Quantity]]</f>
        <v>48339.06</v>
      </c>
      <c r="AE377" s="8">
        <f>Table1[[#This Row],[UnitCost]]*Table1[[#This Row],[Quantity]]</f>
        <v>27009.4</v>
      </c>
      <c r="AF377" s="8">
        <f>Table1[[#This Row],[GrossRevenue]]-Table1[[#This Row],[CostOfGoods]]</f>
        <v>21329.659999999996</v>
      </c>
      <c r="AG377" s="9">
        <f>IF(Table1[[#This Row],[GrossRevenue]]=0,0,Table1[[#This Row],[GrossProfit]]/Table1[[#This Row],[GrossRevenue]])</f>
        <v>0.44125102970558377</v>
      </c>
    </row>
    <row r="378" spans="1:33" hidden="1" x14ac:dyDescent="0.45">
      <c r="A378" t="s">
        <v>391</v>
      </c>
      <c r="C378" s="3">
        <v>44998</v>
      </c>
      <c r="D378" s="3">
        <f>YEAR(Table1[[#This Row],[OrderDate]]) * 100 + MONTH(Table1[[#This Row],[OrderDate]])</f>
        <v>202303</v>
      </c>
      <c r="E378" s="3">
        <f>_xlfn.MINIFS(Table1[OrderMonthKey],Table1[Country],Table1[[#This Row],[Country]])</f>
        <v>202301</v>
      </c>
      <c r="F378" s="3">
        <f>Table1[[#This Row],[CountryFirstMonthKey]]</f>
        <v>202301</v>
      </c>
      <c r="G378" s="3">
        <f>12*(INT(Table1[[#This Row],[OrderMonthKey]]/100)-INT(Table1[[#This Row],[CohortMonthKey]]/100)) + (MOD(Table1[[#This Row],[OrderMonthKey]],100)-MOD(Table1[[#This Row],[CohortMonthKey]],100))</f>
        <v>2</v>
      </c>
      <c r="H378" s="3" t="str">
        <f>TEXT(Table1[[#This Row],[OrderDate]],"MMM-YYYY")</f>
        <v>Mar-2023</v>
      </c>
      <c r="I378" s="3" t="str">
        <f t="shared" si="15"/>
        <v>Q2-2025</v>
      </c>
      <c r="J378" s="3" t="str">
        <f>IF(Table1[[#This Row],[LeadTimeDays]]&lt;=7,"Yes","No")</f>
        <v>No</v>
      </c>
      <c r="K378" s="3">
        <f>_xlfn.DAYS(Table1[[#This Row],[CorrectedRequiredDate]],Table1[[#This Row],[OrderDate]])</f>
        <v>22</v>
      </c>
      <c r="L378" s="3">
        <f>IF(Table1[[#This Row],[RequiredDate]]&lt;Table1[[#This Row],[OrderDate]],Table1[[#This Row],[OrderDate]],Table1[[#This Row],[RequiredDate]])</f>
        <v>45020</v>
      </c>
      <c r="M378" s="3">
        <v>45020</v>
      </c>
      <c r="N378" t="s">
        <v>646</v>
      </c>
      <c r="O378" t="s">
        <v>661</v>
      </c>
      <c r="P378" t="s">
        <v>687</v>
      </c>
      <c r="Q378" t="s">
        <v>705</v>
      </c>
      <c r="R378" t="s">
        <v>707</v>
      </c>
      <c r="S378" t="s">
        <v>720</v>
      </c>
      <c r="T378" t="s">
        <v>727</v>
      </c>
      <c r="U378" t="s">
        <v>1110</v>
      </c>
      <c r="V378" s="8">
        <v>1113.7</v>
      </c>
      <c r="W378" s="8">
        <v>1620.6</v>
      </c>
      <c r="X378" s="8">
        <f t="shared" si="16"/>
        <v>815.10700000000008</v>
      </c>
      <c r="Y378" s="8">
        <f t="shared" si="17"/>
        <v>1620.05</v>
      </c>
      <c r="AA378">
        <v>0.13900000000000001</v>
      </c>
      <c r="AB378">
        <f>IF(Table1[[#This Row],[DiscountPct]]&gt;0.2,1,0)</f>
        <v>0</v>
      </c>
      <c r="AC378" s="6">
        <v>11</v>
      </c>
      <c r="AD378" s="8">
        <f>Table1[[#This Row],[UnitPrice]]*Table1[[#This Row],[Quantity]]</f>
        <v>17826.599999999999</v>
      </c>
      <c r="AE378" s="8">
        <f>Table1[[#This Row],[UnitCost]]*Table1[[#This Row],[Quantity]]</f>
        <v>12250.7</v>
      </c>
      <c r="AF378" s="8">
        <f>Table1[[#This Row],[GrossRevenue]]-Table1[[#This Row],[CostOfGoods]]</f>
        <v>5575.8999999999978</v>
      </c>
      <c r="AG378" s="8">
        <f>IF(Table1[[#This Row],[GrossRevenue]]=0,0,Table1[[#This Row],[GrossProfit]]/Table1[[#This Row],[GrossRevenue]])</f>
        <v>0.31278538812785378</v>
      </c>
    </row>
    <row r="379" spans="1:33" hidden="1" x14ac:dyDescent="0.45">
      <c r="A379" t="s">
        <v>392</v>
      </c>
      <c r="C379" s="3">
        <v>45664</v>
      </c>
      <c r="D379" s="3">
        <f>YEAR(Table1[[#This Row],[OrderDate]]) * 100 + MONTH(Table1[[#This Row],[OrderDate]])</f>
        <v>202501</v>
      </c>
      <c r="E379" s="3">
        <f>_xlfn.MINIFS(Table1[OrderMonthKey],Table1[Country],Table1[[#This Row],[Country]])</f>
        <v>202301</v>
      </c>
      <c r="F379" s="3">
        <f>Table1[[#This Row],[CountryFirstMonthKey]]</f>
        <v>202301</v>
      </c>
      <c r="G379" s="3">
        <f>12*(INT(Table1[[#This Row],[OrderMonthKey]]/100)-INT(Table1[[#This Row],[CohortMonthKey]]/100)) + (MOD(Table1[[#This Row],[OrderMonthKey]],100)-MOD(Table1[[#This Row],[CohortMonthKey]],100))</f>
        <v>24</v>
      </c>
      <c r="H379" s="3" t="str">
        <f>TEXT(Table1[[#This Row],[OrderDate]],"MMM-YYYY")</f>
        <v>Jan-2025</v>
      </c>
      <c r="I379" s="3" t="str">
        <f t="shared" si="15"/>
        <v>Q1-2023</v>
      </c>
      <c r="J379" s="3" t="str">
        <f>IF(Table1[[#This Row],[LeadTimeDays]]&lt;=7,"Yes","No")</f>
        <v>No</v>
      </c>
      <c r="K379" s="3">
        <f>_xlfn.DAYS(Table1[[#This Row],[CorrectedRequiredDate]],Table1[[#This Row],[OrderDate]])</f>
        <v>13</v>
      </c>
      <c r="L379" s="3">
        <f>IF(Table1[[#This Row],[RequiredDate]]&lt;Table1[[#This Row],[OrderDate]],Table1[[#This Row],[OrderDate]],Table1[[#This Row],[RequiredDate]])</f>
        <v>45677</v>
      </c>
      <c r="M379" s="3">
        <v>45677</v>
      </c>
      <c r="N379" t="s">
        <v>646</v>
      </c>
      <c r="O379" t="s">
        <v>661</v>
      </c>
      <c r="P379" t="s">
        <v>695</v>
      </c>
      <c r="Q379" t="s">
        <v>701</v>
      </c>
      <c r="R379" t="s">
        <v>711</v>
      </c>
      <c r="S379" t="s">
        <v>723</v>
      </c>
      <c r="T379" t="s">
        <v>729</v>
      </c>
      <c r="U379" t="s">
        <v>1111</v>
      </c>
      <c r="V379" s="8">
        <v>432.13</v>
      </c>
      <c r="W379" s="8">
        <v>1034.6600000000001</v>
      </c>
      <c r="X379" s="8">
        <f t="shared" si="16"/>
        <v>815.10700000000008</v>
      </c>
      <c r="Y379" s="8">
        <f t="shared" si="17"/>
        <v>1620.05</v>
      </c>
      <c r="AA379">
        <v>9.1999999999999998E-2</v>
      </c>
      <c r="AB379">
        <f>IF(Table1[[#This Row],[DiscountPct]]&gt;0.2,1,0)</f>
        <v>0</v>
      </c>
      <c r="AC379" s="6">
        <v>7</v>
      </c>
      <c r="AD379" s="8">
        <f>Table1[[#This Row],[UnitPrice]]*Table1[[#This Row],[Quantity]]</f>
        <v>7242.6200000000008</v>
      </c>
      <c r="AE379" s="8">
        <f>Table1[[#This Row],[UnitCost]]*Table1[[#This Row],[Quantity]]</f>
        <v>3024.91</v>
      </c>
      <c r="AF379" s="8">
        <f>Table1[[#This Row],[GrossRevenue]]-Table1[[#This Row],[CostOfGoods]]</f>
        <v>4217.7100000000009</v>
      </c>
      <c r="AG379" s="8">
        <f>IF(Table1[[#This Row],[GrossRevenue]]=0,0,Table1[[#This Row],[GrossProfit]]/Table1[[#This Row],[GrossRevenue]])</f>
        <v>0.58234589140393955</v>
      </c>
    </row>
    <row r="380" spans="1:33" x14ac:dyDescent="0.45">
      <c r="A380" t="s">
        <v>393</v>
      </c>
      <c r="B380">
        <v>1</v>
      </c>
      <c r="C380" s="3">
        <v>45694</v>
      </c>
      <c r="D380" s="6">
        <f>YEAR(Table1[[#This Row],[OrderDate]]) * 100 + MONTH(Table1[[#This Row],[OrderDate]])</f>
        <v>202502</v>
      </c>
      <c r="E380" s="6">
        <f>_xlfn.MINIFS(Table1[OrderMonthKey],Table1[Country],Table1[[#This Row],[Country]])</f>
        <v>202301</v>
      </c>
      <c r="F380" s="6">
        <f>Table1[[#This Row],[CountryFirstMonthKey]]</f>
        <v>202301</v>
      </c>
      <c r="G380" s="6">
        <f>12*(INT(Table1[[#This Row],[OrderMonthKey]]/100)-INT(Table1[[#This Row],[CohortMonthKey]]/100)) + (MOD(Table1[[#This Row],[OrderMonthKey]],100)-MOD(Table1[[#This Row],[CohortMonthKey]],100))</f>
        <v>25</v>
      </c>
      <c r="H380" s="3" t="str">
        <f>TEXT(Table1[[#This Row],[OrderDate]],"MMM-YYYY")</f>
        <v>Feb-2025</v>
      </c>
      <c r="I380" s="3" t="str">
        <f t="shared" si="15"/>
        <v>Q1-2025</v>
      </c>
      <c r="J380" s="26" t="str">
        <f>IF(Table1[[#This Row],[LeadTimeDays]]&lt;=7,"Yes","No")</f>
        <v>No</v>
      </c>
      <c r="K380" s="6">
        <f>_xlfn.DAYS(Table1[[#This Row],[CorrectedRequiredDate]],Table1[[#This Row],[OrderDate]])</f>
        <v>9</v>
      </c>
      <c r="L380" s="3">
        <f>IF(Table1[[#This Row],[RequiredDate]]&lt;Table1[[#This Row],[OrderDate]],Table1[[#This Row],[OrderDate]],Table1[[#This Row],[RequiredDate]])</f>
        <v>45703</v>
      </c>
      <c r="M380" s="3">
        <v>45703</v>
      </c>
      <c r="N380" t="s">
        <v>648</v>
      </c>
      <c r="O380" t="s">
        <v>655</v>
      </c>
      <c r="P380" t="s">
        <v>670</v>
      </c>
      <c r="Q380" t="s">
        <v>703</v>
      </c>
      <c r="R380" t="s">
        <v>710</v>
      </c>
      <c r="S380" t="s">
        <v>721</v>
      </c>
      <c r="T380" t="s">
        <v>729</v>
      </c>
      <c r="U380" t="s">
        <v>1112</v>
      </c>
      <c r="V380" s="8">
        <v>837.39</v>
      </c>
      <c r="W380" s="8">
        <v>1905.42</v>
      </c>
      <c r="X380" s="8">
        <f t="shared" si="16"/>
        <v>815.10700000000008</v>
      </c>
      <c r="Y380" s="8">
        <f t="shared" si="17"/>
        <v>1620.05</v>
      </c>
      <c r="Z380" s="8" t="str">
        <f>IF(W379 &lt;= X378, "Low",IF(W379 &lt;= Y379, "Medium", "High"))</f>
        <v>Medium</v>
      </c>
      <c r="AA380">
        <v>3.2000000000000001E-2</v>
      </c>
      <c r="AB380">
        <f>IF(Table1[[#This Row],[DiscountPct]]&gt;0.2,1,0)</f>
        <v>0</v>
      </c>
      <c r="AC380" s="6">
        <v>18</v>
      </c>
      <c r="AD380" s="8">
        <f>Table1[[#This Row],[UnitPrice]]*Table1[[#This Row],[Quantity]]</f>
        <v>34297.56</v>
      </c>
      <c r="AE380" s="8">
        <f>Table1[[#This Row],[UnitCost]]*Table1[[#This Row],[Quantity]]</f>
        <v>15073.02</v>
      </c>
      <c r="AF380" s="8">
        <f>Table1[[#This Row],[GrossRevenue]]-Table1[[#This Row],[CostOfGoods]]</f>
        <v>19224.539999999997</v>
      </c>
      <c r="AG380" s="9">
        <f>IF(Table1[[#This Row],[GrossRevenue]]=0,0,Table1[[#This Row],[GrossProfit]]/Table1[[#This Row],[GrossRevenue]])</f>
        <v>0.56052208961803696</v>
      </c>
    </row>
    <row r="381" spans="1:33" x14ac:dyDescent="0.45">
      <c r="A381" t="s">
        <v>394</v>
      </c>
      <c r="B381">
        <v>1</v>
      </c>
      <c r="C381" s="3">
        <v>45688</v>
      </c>
      <c r="D381" s="6">
        <f>YEAR(Table1[[#This Row],[OrderDate]]) * 100 + MONTH(Table1[[#This Row],[OrderDate]])</f>
        <v>202501</v>
      </c>
      <c r="E381" s="6">
        <f>_xlfn.MINIFS(Table1[OrderMonthKey],Table1[Country],Table1[[#This Row],[Country]])</f>
        <v>202301</v>
      </c>
      <c r="F381" s="6">
        <f>Table1[[#This Row],[CountryFirstMonthKey]]</f>
        <v>202301</v>
      </c>
      <c r="G381" s="6">
        <f>12*(INT(Table1[[#This Row],[OrderMonthKey]]/100)-INT(Table1[[#This Row],[CohortMonthKey]]/100)) + (MOD(Table1[[#This Row],[OrderMonthKey]],100)-MOD(Table1[[#This Row],[CohortMonthKey]],100))</f>
        <v>24</v>
      </c>
      <c r="H381" s="3" t="str">
        <f>TEXT(Table1[[#This Row],[OrderDate]],"MMM-YYYY")</f>
        <v>Jan-2025</v>
      </c>
      <c r="I381" s="3" t="str">
        <f t="shared" si="15"/>
        <v>Q1-2025</v>
      </c>
      <c r="J381" s="26" t="str">
        <f>IF(Table1[[#This Row],[LeadTimeDays]]&lt;=7,"Yes","No")</f>
        <v>No</v>
      </c>
      <c r="K381" s="6">
        <f>_xlfn.DAYS(Table1[[#This Row],[CorrectedRequiredDate]],Table1[[#This Row],[OrderDate]])</f>
        <v>17</v>
      </c>
      <c r="L381" s="3">
        <f>IF(Table1[[#This Row],[RequiredDate]]&lt;Table1[[#This Row],[OrderDate]],Table1[[#This Row],[OrderDate]],Table1[[#This Row],[RequiredDate]])</f>
        <v>45705</v>
      </c>
      <c r="M381" s="3">
        <v>45705</v>
      </c>
      <c r="N381" t="s">
        <v>649</v>
      </c>
      <c r="O381" t="s">
        <v>658</v>
      </c>
      <c r="P381" t="s">
        <v>683</v>
      </c>
      <c r="Q381" t="s">
        <v>706</v>
      </c>
      <c r="R381" t="s">
        <v>707</v>
      </c>
      <c r="S381" t="s">
        <v>722</v>
      </c>
      <c r="T381" t="s">
        <v>727</v>
      </c>
      <c r="U381" t="s">
        <v>812</v>
      </c>
      <c r="V381" s="8">
        <v>378.26</v>
      </c>
      <c r="W381" s="8">
        <v>541.55999999999995</v>
      </c>
      <c r="X381" s="8">
        <f t="shared" si="16"/>
        <v>815.10700000000008</v>
      </c>
      <c r="Y381" s="8">
        <f t="shared" si="17"/>
        <v>1620.05</v>
      </c>
      <c r="Z381" s="8" t="str">
        <f>IF(W380 &lt;= X379, "Low",IF(W380 &lt;= Y380, "Medium", "High"))</f>
        <v>High</v>
      </c>
      <c r="AA381">
        <v>0.16300000000000001</v>
      </c>
      <c r="AB381">
        <f>IF(Table1[[#This Row],[DiscountPct]]&gt;0.2,1,0)</f>
        <v>0</v>
      </c>
      <c r="AC381" s="6">
        <v>25</v>
      </c>
      <c r="AD381" s="8">
        <f>Table1[[#This Row],[UnitPrice]]*Table1[[#This Row],[Quantity]]</f>
        <v>13538.999999999998</v>
      </c>
      <c r="AE381" s="8">
        <f>Table1[[#This Row],[UnitCost]]*Table1[[#This Row],[Quantity]]</f>
        <v>9456.5</v>
      </c>
      <c r="AF381" s="8">
        <f>Table1[[#This Row],[GrossRevenue]]-Table1[[#This Row],[CostOfGoods]]</f>
        <v>4082.4999999999982</v>
      </c>
      <c r="AG381" s="9">
        <f>IF(Table1[[#This Row],[GrossRevenue]]=0,0,Table1[[#This Row],[GrossProfit]]/Table1[[#This Row],[GrossRevenue]])</f>
        <v>0.3015363025334219</v>
      </c>
    </row>
    <row r="382" spans="1:33" x14ac:dyDescent="0.45">
      <c r="A382" t="s">
        <v>395</v>
      </c>
      <c r="B382">
        <v>1</v>
      </c>
      <c r="C382" s="3">
        <v>45876</v>
      </c>
      <c r="D382" s="6">
        <f>YEAR(Table1[[#This Row],[OrderDate]]) * 100 + MONTH(Table1[[#This Row],[OrderDate]])</f>
        <v>202508</v>
      </c>
      <c r="E382" s="6">
        <f>_xlfn.MINIFS(Table1[OrderMonthKey],Table1[Country],Table1[[#This Row],[Country]])</f>
        <v>202301</v>
      </c>
      <c r="F382" s="6">
        <f>Table1[[#This Row],[CountryFirstMonthKey]]</f>
        <v>202301</v>
      </c>
      <c r="G382" s="6">
        <f>12*(INT(Table1[[#This Row],[OrderMonthKey]]/100)-INT(Table1[[#This Row],[CohortMonthKey]]/100)) + (MOD(Table1[[#This Row],[OrderMonthKey]],100)-MOD(Table1[[#This Row],[CohortMonthKey]],100))</f>
        <v>31</v>
      </c>
      <c r="H382" s="3" t="str">
        <f>TEXT(Table1[[#This Row],[OrderDate]],"MMM-YYYY")</f>
        <v>Aug-2025</v>
      </c>
      <c r="I382" s="3" t="str">
        <f t="shared" si="15"/>
        <v>Q1-2025</v>
      </c>
      <c r="J382" s="26" t="str">
        <f>IF(Table1[[#This Row],[LeadTimeDays]]&lt;=7,"Yes","No")</f>
        <v>No</v>
      </c>
      <c r="K382" s="6">
        <f>_xlfn.DAYS(Table1[[#This Row],[CorrectedRequiredDate]],Table1[[#This Row],[OrderDate]])</f>
        <v>30</v>
      </c>
      <c r="L382" s="3">
        <f>IF(Table1[[#This Row],[RequiredDate]]&lt;Table1[[#This Row],[OrderDate]],Table1[[#This Row],[OrderDate]],Table1[[#This Row],[RequiredDate]])</f>
        <v>45906</v>
      </c>
      <c r="M382" s="3">
        <v>45906</v>
      </c>
      <c r="N382" t="s">
        <v>648</v>
      </c>
      <c r="O382" t="s">
        <v>653</v>
      </c>
      <c r="P382" t="s">
        <v>681</v>
      </c>
      <c r="Q382" t="s">
        <v>702</v>
      </c>
      <c r="R382" t="s">
        <v>711</v>
      </c>
      <c r="S382" t="s">
        <v>724</v>
      </c>
      <c r="T382" t="s">
        <v>729</v>
      </c>
      <c r="U382" t="s">
        <v>1113</v>
      </c>
      <c r="V382" s="8">
        <v>833.73</v>
      </c>
      <c r="W382" s="8">
        <v>1116.5999999999999</v>
      </c>
      <c r="X382" s="8">
        <f t="shared" si="16"/>
        <v>815.10700000000008</v>
      </c>
      <c r="Y382" s="8">
        <f t="shared" si="17"/>
        <v>1620.05</v>
      </c>
      <c r="Z382" s="8" t="str">
        <f>IF(W381 &lt;= X380, "Low",IF(W381 &lt;= Y381, "Medium", "High"))</f>
        <v>Low</v>
      </c>
      <c r="AA382">
        <v>0.17599999999999999</v>
      </c>
      <c r="AB382">
        <f>IF(Table1[[#This Row],[DiscountPct]]&gt;0.2,1,0)</f>
        <v>0</v>
      </c>
      <c r="AC382" s="6">
        <v>14</v>
      </c>
      <c r="AD382" s="8">
        <f>Table1[[#This Row],[UnitPrice]]*Table1[[#This Row],[Quantity]]</f>
        <v>15632.399999999998</v>
      </c>
      <c r="AE382" s="8">
        <f>Table1[[#This Row],[UnitCost]]*Table1[[#This Row],[Quantity]]</f>
        <v>11672.220000000001</v>
      </c>
      <c r="AF382" s="8">
        <f>Table1[[#This Row],[GrossRevenue]]-Table1[[#This Row],[CostOfGoods]]</f>
        <v>3960.1799999999967</v>
      </c>
      <c r="AG382" s="9">
        <f>IF(Table1[[#This Row],[GrossRevenue]]=0,0,Table1[[#This Row],[GrossProfit]]/Table1[[#This Row],[GrossRevenue]])</f>
        <v>0.25333154218162263</v>
      </c>
    </row>
    <row r="383" spans="1:33" x14ac:dyDescent="0.45">
      <c r="A383" t="s">
        <v>396</v>
      </c>
      <c r="B383">
        <v>1</v>
      </c>
      <c r="C383" s="3">
        <v>45861</v>
      </c>
      <c r="D383" s="6">
        <f>YEAR(Table1[[#This Row],[OrderDate]]) * 100 + MONTH(Table1[[#This Row],[OrderDate]])</f>
        <v>202507</v>
      </c>
      <c r="E383" s="6">
        <f>_xlfn.MINIFS(Table1[OrderMonthKey],Table1[Country],Table1[[#This Row],[Country]])</f>
        <v>202301</v>
      </c>
      <c r="F383" s="6">
        <f>Table1[[#This Row],[CountryFirstMonthKey]]</f>
        <v>202301</v>
      </c>
      <c r="G383" s="6">
        <f>12*(INT(Table1[[#This Row],[OrderMonthKey]]/100)-INT(Table1[[#This Row],[CohortMonthKey]]/100)) + (MOD(Table1[[#This Row],[OrderMonthKey]],100)-MOD(Table1[[#This Row],[CohortMonthKey]],100))</f>
        <v>30</v>
      </c>
      <c r="H383" s="3" t="str">
        <f>TEXT(Table1[[#This Row],[OrderDate]],"MMM-YYYY")</f>
        <v>Jul-2025</v>
      </c>
      <c r="I383" s="3" t="str">
        <f t="shared" si="15"/>
        <v>Q3-2025</v>
      </c>
      <c r="J383" s="26" t="str">
        <f>IF(Table1[[#This Row],[LeadTimeDays]]&lt;=7,"Yes","No")</f>
        <v>No</v>
      </c>
      <c r="K383" s="6">
        <f>_xlfn.DAYS(Table1[[#This Row],[CorrectedRequiredDate]],Table1[[#This Row],[OrderDate]])</f>
        <v>25</v>
      </c>
      <c r="L383" s="3">
        <f>IF(Table1[[#This Row],[RequiredDate]]&lt;Table1[[#This Row],[OrderDate]],Table1[[#This Row],[OrderDate]],Table1[[#This Row],[RequiredDate]])</f>
        <v>45886</v>
      </c>
      <c r="M383" s="3">
        <v>45886</v>
      </c>
      <c r="N383" t="s">
        <v>649</v>
      </c>
      <c r="O383" t="s">
        <v>658</v>
      </c>
      <c r="P383" t="s">
        <v>674</v>
      </c>
      <c r="Q383" t="s">
        <v>702</v>
      </c>
      <c r="R383" t="s">
        <v>708</v>
      </c>
      <c r="S383" t="s">
        <v>714</v>
      </c>
      <c r="T383" t="s">
        <v>728</v>
      </c>
      <c r="U383" t="s">
        <v>1114</v>
      </c>
      <c r="V383" s="8">
        <v>1142.06</v>
      </c>
      <c r="W383" s="8">
        <v>1455</v>
      </c>
      <c r="X383" s="8">
        <f t="shared" si="16"/>
        <v>815.10700000000008</v>
      </c>
      <c r="Y383" s="8">
        <f t="shared" si="17"/>
        <v>1620.05</v>
      </c>
      <c r="Z383" s="8" t="str">
        <f>IF(W382 &lt;= X381, "Low",IF(W382 &lt;= Y382, "Medium", "High"))</f>
        <v>Medium</v>
      </c>
      <c r="AA383">
        <v>7.8E-2</v>
      </c>
      <c r="AB383">
        <f>IF(Table1[[#This Row],[DiscountPct]]&gt;0.2,1,0)</f>
        <v>0</v>
      </c>
      <c r="AC383" s="6">
        <v>28</v>
      </c>
      <c r="AD383" s="8">
        <f>Table1[[#This Row],[UnitPrice]]*Table1[[#This Row],[Quantity]]</f>
        <v>40740</v>
      </c>
      <c r="AE383" s="8">
        <f>Table1[[#This Row],[UnitCost]]*Table1[[#This Row],[Quantity]]</f>
        <v>31977.68</v>
      </c>
      <c r="AF383" s="8">
        <f>Table1[[#This Row],[GrossRevenue]]-Table1[[#This Row],[CostOfGoods]]</f>
        <v>8762.32</v>
      </c>
      <c r="AG383" s="9">
        <f>IF(Table1[[#This Row],[GrossRevenue]]=0,0,Table1[[#This Row],[GrossProfit]]/Table1[[#This Row],[GrossRevenue]])</f>
        <v>0.21507903780068727</v>
      </c>
    </row>
    <row r="384" spans="1:33" hidden="1" x14ac:dyDescent="0.45">
      <c r="A384" t="s">
        <v>397</v>
      </c>
      <c r="C384" s="3">
        <v>45097</v>
      </c>
      <c r="D384" s="3">
        <f>YEAR(Table1[[#This Row],[OrderDate]]) * 100 + MONTH(Table1[[#This Row],[OrderDate]])</f>
        <v>202306</v>
      </c>
      <c r="E384" s="3">
        <f>_xlfn.MINIFS(Table1[OrderMonthKey],Table1[Country],Table1[[#This Row],[Country]])</f>
        <v>202301</v>
      </c>
      <c r="F384" s="3">
        <f>Table1[[#This Row],[CountryFirstMonthKey]]</f>
        <v>202301</v>
      </c>
      <c r="G384" s="3">
        <f>12*(INT(Table1[[#This Row],[OrderMonthKey]]/100)-INT(Table1[[#This Row],[CohortMonthKey]]/100)) + (MOD(Table1[[#This Row],[OrderMonthKey]],100)-MOD(Table1[[#This Row],[CohortMonthKey]],100))</f>
        <v>5</v>
      </c>
      <c r="H384" s="3" t="str">
        <f>TEXT(Table1[[#This Row],[OrderDate]],"MMM-YYYY")</f>
        <v>Jun-2023</v>
      </c>
      <c r="I384" s="3" t="str">
        <f t="shared" si="15"/>
        <v>Q3-2025</v>
      </c>
      <c r="J384" s="3" t="str">
        <f>IF(Table1[[#This Row],[LeadTimeDays]]&lt;=7,"Yes","No")</f>
        <v>No</v>
      </c>
      <c r="K384" s="3">
        <f>_xlfn.DAYS(Table1[[#This Row],[CorrectedRequiredDate]],Table1[[#This Row],[OrderDate]])</f>
        <v>18</v>
      </c>
      <c r="L384" s="3">
        <f>IF(Table1[[#This Row],[RequiredDate]]&lt;Table1[[#This Row],[OrderDate]],Table1[[#This Row],[OrderDate]],Table1[[#This Row],[RequiredDate]])</f>
        <v>45115</v>
      </c>
      <c r="M384" s="3">
        <v>45115</v>
      </c>
      <c r="N384" t="s">
        <v>648</v>
      </c>
      <c r="O384" t="s">
        <v>660</v>
      </c>
      <c r="P384" t="s">
        <v>700</v>
      </c>
      <c r="Q384" t="s">
        <v>704</v>
      </c>
      <c r="R384" t="s">
        <v>709</v>
      </c>
      <c r="S384" t="s">
        <v>719</v>
      </c>
      <c r="T384" t="s">
        <v>729</v>
      </c>
      <c r="U384" t="s">
        <v>1115</v>
      </c>
      <c r="V384" s="8">
        <v>1145.53</v>
      </c>
      <c r="W384" s="8">
        <v>1278.3</v>
      </c>
      <c r="X384" s="8">
        <f t="shared" si="16"/>
        <v>815.10700000000008</v>
      </c>
      <c r="Y384" s="8">
        <f t="shared" si="17"/>
        <v>1620.05</v>
      </c>
      <c r="AA384">
        <v>0.09</v>
      </c>
      <c r="AB384">
        <f>IF(Table1[[#This Row],[DiscountPct]]&gt;0.2,1,0)</f>
        <v>0</v>
      </c>
      <c r="AC384" s="6">
        <v>41</v>
      </c>
      <c r="AD384" s="8">
        <f>Table1[[#This Row],[UnitPrice]]*Table1[[#This Row],[Quantity]]</f>
        <v>52410.299999999996</v>
      </c>
      <c r="AE384" s="8">
        <f>Table1[[#This Row],[UnitCost]]*Table1[[#This Row],[Quantity]]</f>
        <v>46966.729999999996</v>
      </c>
      <c r="AF384" s="8">
        <f>Table1[[#This Row],[GrossRevenue]]-Table1[[#This Row],[CostOfGoods]]</f>
        <v>5443.57</v>
      </c>
      <c r="AG384" s="8">
        <f>IF(Table1[[#This Row],[GrossRevenue]]=0,0,Table1[[#This Row],[GrossProfit]]/Table1[[#This Row],[GrossRevenue]])</f>
        <v>0.10386450754908863</v>
      </c>
    </row>
    <row r="385" spans="1:33" hidden="1" x14ac:dyDescent="0.45">
      <c r="A385" t="s">
        <v>398</v>
      </c>
      <c r="C385" s="3">
        <v>45491</v>
      </c>
      <c r="D385" s="3">
        <f>YEAR(Table1[[#This Row],[OrderDate]]) * 100 + MONTH(Table1[[#This Row],[OrderDate]])</f>
        <v>202407</v>
      </c>
      <c r="E385" s="3">
        <f>_xlfn.MINIFS(Table1[OrderMonthKey],Table1[Country],Table1[[#This Row],[Country]])</f>
        <v>202301</v>
      </c>
      <c r="F385" s="3">
        <f>Table1[[#This Row],[CountryFirstMonthKey]]</f>
        <v>202301</v>
      </c>
      <c r="G385" s="3">
        <f>12*(INT(Table1[[#This Row],[OrderMonthKey]]/100)-INT(Table1[[#This Row],[CohortMonthKey]]/100)) + (MOD(Table1[[#This Row],[OrderMonthKey]],100)-MOD(Table1[[#This Row],[CohortMonthKey]],100))</f>
        <v>18</v>
      </c>
      <c r="H385" s="3" t="str">
        <f>TEXT(Table1[[#This Row],[OrderDate]],"MMM-YYYY")</f>
        <v>Jul-2024</v>
      </c>
      <c r="I385" s="3" t="str">
        <f t="shared" si="15"/>
        <v>Q2-2023</v>
      </c>
      <c r="J385" s="3" t="str">
        <f>IF(Table1[[#This Row],[LeadTimeDays]]&lt;=7,"Yes","No")</f>
        <v>No</v>
      </c>
      <c r="K385" s="3">
        <f>_xlfn.DAYS(Table1[[#This Row],[CorrectedRequiredDate]],Table1[[#This Row],[OrderDate]])</f>
        <v>20</v>
      </c>
      <c r="L385" s="3">
        <f>IF(Table1[[#This Row],[RequiredDate]]&lt;Table1[[#This Row],[OrderDate]],Table1[[#This Row],[OrderDate]],Table1[[#This Row],[RequiredDate]])</f>
        <v>45511</v>
      </c>
      <c r="M385" s="3">
        <v>45511</v>
      </c>
      <c r="N385" t="s">
        <v>649</v>
      </c>
      <c r="O385" t="s">
        <v>657</v>
      </c>
      <c r="P385" t="s">
        <v>673</v>
      </c>
      <c r="Q385" t="s">
        <v>701</v>
      </c>
      <c r="R385" t="s">
        <v>707</v>
      </c>
      <c r="S385" t="s">
        <v>721</v>
      </c>
      <c r="T385" t="s">
        <v>732</v>
      </c>
      <c r="U385" t="s">
        <v>1116</v>
      </c>
      <c r="V385" s="8">
        <v>941.35</v>
      </c>
      <c r="W385" s="8">
        <v>899.83</v>
      </c>
      <c r="X385" s="8">
        <f t="shared" si="16"/>
        <v>815.10700000000008</v>
      </c>
      <c r="Y385" s="8">
        <f t="shared" si="17"/>
        <v>1620.05</v>
      </c>
      <c r="AA385">
        <v>5.8000000000000003E-2</v>
      </c>
      <c r="AB385">
        <f>IF(Table1[[#This Row],[DiscountPct]]&gt;0.2,1,0)</f>
        <v>0</v>
      </c>
      <c r="AC385" s="6">
        <v>18</v>
      </c>
      <c r="AD385" s="8">
        <f>Table1[[#This Row],[UnitPrice]]*Table1[[#This Row],[Quantity]]</f>
        <v>16196.94</v>
      </c>
      <c r="AE385" s="8">
        <f>Table1[[#This Row],[UnitCost]]*Table1[[#This Row],[Quantity]]</f>
        <v>16944.3</v>
      </c>
      <c r="AF385" s="8">
        <f>Table1[[#This Row],[GrossRevenue]]-Table1[[#This Row],[CostOfGoods]]</f>
        <v>-747.35999999999876</v>
      </c>
      <c r="AG385" s="8">
        <f>IF(Table1[[#This Row],[GrossRevenue]]=0,0,Table1[[#This Row],[GrossProfit]]/Table1[[#This Row],[GrossRevenue]])</f>
        <v>-4.6142049053710069E-2</v>
      </c>
    </row>
    <row r="386" spans="1:33" x14ac:dyDescent="0.45">
      <c r="A386" t="s">
        <v>399</v>
      </c>
      <c r="B386">
        <v>1</v>
      </c>
      <c r="C386" s="3">
        <v>45066</v>
      </c>
      <c r="D386" s="6">
        <f>YEAR(Table1[[#This Row],[OrderDate]]) * 100 + MONTH(Table1[[#This Row],[OrderDate]])</f>
        <v>202305</v>
      </c>
      <c r="E386" s="6">
        <f>_xlfn.MINIFS(Table1[OrderMonthKey],Table1[Country],Table1[[#This Row],[Country]])</f>
        <v>202302</v>
      </c>
      <c r="F386" s="6">
        <f>Table1[[#This Row],[CountryFirstMonthKey]]</f>
        <v>202302</v>
      </c>
      <c r="G386" s="6">
        <f>12*(INT(Table1[[#This Row],[OrderMonthKey]]/100)-INT(Table1[[#This Row],[CohortMonthKey]]/100)) + (MOD(Table1[[#This Row],[OrderMonthKey]],100)-MOD(Table1[[#This Row],[CohortMonthKey]],100))</f>
        <v>3</v>
      </c>
      <c r="H386" s="3" t="str">
        <f>TEXT(Table1[[#This Row],[OrderDate]],"MMM-YYYY")</f>
        <v>May-2023</v>
      </c>
      <c r="I386" s="3" t="str">
        <f t="shared" ref="I386:I449" si="18">"Q" &amp; ROUNDUP(MONTH(C385)/3,0) &amp; "-" &amp; YEAR(C385)</f>
        <v>Q3-2024</v>
      </c>
      <c r="J386" s="26" t="str">
        <f>IF(Table1[[#This Row],[LeadTimeDays]]&lt;=7,"Yes","No")</f>
        <v>No</v>
      </c>
      <c r="K386" s="6">
        <f>_xlfn.DAYS(Table1[[#This Row],[CorrectedRequiredDate]],Table1[[#This Row],[OrderDate]])</f>
        <v>30</v>
      </c>
      <c r="L386" s="3">
        <f>IF(Table1[[#This Row],[RequiredDate]]&lt;Table1[[#This Row],[OrderDate]],Table1[[#This Row],[OrderDate]],Table1[[#This Row],[RequiredDate]])</f>
        <v>45096</v>
      </c>
      <c r="M386" s="3">
        <v>45096</v>
      </c>
      <c r="N386" t="s">
        <v>647</v>
      </c>
      <c r="O386" t="s">
        <v>654</v>
      </c>
      <c r="P386" t="s">
        <v>680</v>
      </c>
      <c r="Q386" t="s">
        <v>703</v>
      </c>
      <c r="R386" t="s">
        <v>709</v>
      </c>
      <c r="S386" t="s">
        <v>722</v>
      </c>
      <c r="T386" t="s">
        <v>731</v>
      </c>
      <c r="U386" t="s">
        <v>1117</v>
      </c>
      <c r="V386" s="8">
        <v>1161.2</v>
      </c>
      <c r="W386" s="8">
        <v>878.73</v>
      </c>
      <c r="X386" s="8">
        <f t="shared" ref="X386:X449" si="19">_xlfn.PERCENTILE.INC(W:W, 0.33)</f>
        <v>815.10700000000008</v>
      </c>
      <c r="Y386" s="8">
        <f t="shared" ref="Y386:Y449" si="20">_xlfn.PERCENTILE.INC(W:W, 0.66)</f>
        <v>1620.05</v>
      </c>
      <c r="Z386" s="8" t="str">
        <f>IF(W385 &lt;= X384, "Low",IF(W385 &lt;= Y385, "Medium", "High"))</f>
        <v>Medium</v>
      </c>
      <c r="AA386">
        <v>0.19</v>
      </c>
      <c r="AB386">
        <f>IF(Table1[[#This Row],[DiscountPct]]&gt;0.2,1,0)</f>
        <v>0</v>
      </c>
      <c r="AC386" s="6">
        <v>31</v>
      </c>
      <c r="AD386" s="8">
        <f>Table1[[#This Row],[UnitPrice]]*Table1[[#This Row],[Quantity]]</f>
        <v>27240.63</v>
      </c>
      <c r="AE386" s="8">
        <f>Table1[[#This Row],[UnitCost]]*Table1[[#This Row],[Quantity]]</f>
        <v>35997.200000000004</v>
      </c>
      <c r="AF386" s="8">
        <f>Table1[[#This Row],[GrossRevenue]]-Table1[[#This Row],[CostOfGoods]]</f>
        <v>-8756.5700000000033</v>
      </c>
      <c r="AG386" s="9">
        <f>IF(Table1[[#This Row],[GrossRevenue]]=0,0,Table1[[#This Row],[GrossProfit]]/Table1[[#This Row],[GrossRevenue]])</f>
        <v>-0.32145255084041752</v>
      </c>
    </row>
    <row r="387" spans="1:33" x14ac:dyDescent="0.45">
      <c r="A387" t="s">
        <v>400</v>
      </c>
      <c r="B387">
        <v>1</v>
      </c>
      <c r="C387" s="3">
        <v>45789</v>
      </c>
      <c r="D387" s="6">
        <f>YEAR(Table1[[#This Row],[OrderDate]]) * 100 + MONTH(Table1[[#This Row],[OrderDate]])</f>
        <v>202505</v>
      </c>
      <c r="E387" s="6">
        <f>_xlfn.MINIFS(Table1[OrderMonthKey],Table1[Country],Table1[[#This Row],[Country]])</f>
        <v>202302</v>
      </c>
      <c r="F387" s="6">
        <f>Table1[[#This Row],[CountryFirstMonthKey]]</f>
        <v>202302</v>
      </c>
      <c r="G387" s="6">
        <f>12*(INT(Table1[[#This Row],[OrderMonthKey]]/100)-INT(Table1[[#This Row],[CohortMonthKey]]/100)) + (MOD(Table1[[#This Row],[OrderMonthKey]],100)-MOD(Table1[[#This Row],[CohortMonthKey]],100))</f>
        <v>27</v>
      </c>
      <c r="H387" s="3" t="str">
        <f>TEXT(Table1[[#This Row],[OrderDate]],"MMM-YYYY")</f>
        <v>May-2025</v>
      </c>
      <c r="I387" s="3" t="str">
        <f t="shared" si="18"/>
        <v>Q2-2023</v>
      </c>
      <c r="J387" s="26" t="str">
        <f>IF(Table1[[#This Row],[LeadTimeDays]]&lt;=7,"Yes","No")</f>
        <v>No</v>
      </c>
      <c r="K387" s="6">
        <f>_xlfn.DAYS(Table1[[#This Row],[CorrectedRequiredDate]],Table1[[#This Row],[OrderDate]])</f>
        <v>14</v>
      </c>
      <c r="L387" s="3">
        <f>IF(Table1[[#This Row],[RequiredDate]]&lt;Table1[[#This Row],[OrderDate]],Table1[[#This Row],[OrderDate]],Table1[[#This Row],[RequiredDate]])</f>
        <v>45803</v>
      </c>
      <c r="M387" s="3">
        <v>45803</v>
      </c>
      <c r="N387" t="s">
        <v>647</v>
      </c>
      <c r="O387" t="s">
        <v>654</v>
      </c>
      <c r="P387" t="s">
        <v>696</v>
      </c>
      <c r="Q387" t="s">
        <v>701</v>
      </c>
      <c r="R387" t="s">
        <v>709</v>
      </c>
      <c r="S387" t="s">
        <v>715</v>
      </c>
      <c r="T387" t="s">
        <v>728</v>
      </c>
      <c r="U387" t="s">
        <v>1118</v>
      </c>
      <c r="V387" s="8">
        <v>320.12</v>
      </c>
      <c r="W387" s="8">
        <v>594.41999999999996</v>
      </c>
      <c r="X387" s="8">
        <f t="shared" si="19"/>
        <v>815.10700000000008</v>
      </c>
      <c r="Y387" s="8">
        <f t="shared" si="20"/>
        <v>1620.05</v>
      </c>
      <c r="Z387" s="8" t="str">
        <f>IF(W386 &lt;= X385, "Low",IF(W386 &lt;= Y386, "Medium", "High"))</f>
        <v>Medium</v>
      </c>
      <c r="AA387">
        <v>0.104</v>
      </c>
      <c r="AB387">
        <f>IF(Table1[[#This Row],[DiscountPct]]&gt;0.2,1,0)</f>
        <v>0</v>
      </c>
      <c r="AC387" s="6">
        <v>18</v>
      </c>
      <c r="AD387" s="8">
        <f>Table1[[#This Row],[UnitPrice]]*Table1[[#This Row],[Quantity]]</f>
        <v>10699.56</v>
      </c>
      <c r="AE387" s="8">
        <f>Table1[[#This Row],[UnitCost]]*Table1[[#This Row],[Quantity]]</f>
        <v>5762.16</v>
      </c>
      <c r="AF387" s="8">
        <f>Table1[[#This Row],[GrossRevenue]]-Table1[[#This Row],[CostOfGoods]]</f>
        <v>4937.3999999999996</v>
      </c>
      <c r="AG387" s="9">
        <f>IF(Table1[[#This Row],[GrossRevenue]]=0,0,Table1[[#This Row],[GrossProfit]]/Table1[[#This Row],[GrossRevenue]])</f>
        <v>0.46145822818882271</v>
      </c>
    </row>
    <row r="388" spans="1:33" x14ac:dyDescent="0.45">
      <c r="A388" t="s">
        <v>401</v>
      </c>
      <c r="B388">
        <v>1</v>
      </c>
      <c r="C388" s="3">
        <v>45419</v>
      </c>
      <c r="D388" s="6">
        <f>YEAR(Table1[[#This Row],[OrderDate]]) * 100 + MONTH(Table1[[#This Row],[OrderDate]])</f>
        <v>202405</v>
      </c>
      <c r="E388" s="6">
        <f>_xlfn.MINIFS(Table1[OrderMonthKey],Table1[Country],Table1[[#This Row],[Country]])</f>
        <v>202301</v>
      </c>
      <c r="F388" s="6">
        <f>Table1[[#This Row],[CountryFirstMonthKey]]</f>
        <v>202301</v>
      </c>
      <c r="G388" s="6">
        <f>12*(INT(Table1[[#This Row],[OrderMonthKey]]/100)-INT(Table1[[#This Row],[CohortMonthKey]]/100)) + (MOD(Table1[[#This Row],[OrderMonthKey]],100)-MOD(Table1[[#This Row],[CohortMonthKey]],100))</f>
        <v>16</v>
      </c>
      <c r="H388" s="3" t="str">
        <f>TEXT(Table1[[#This Row],[OrderDate]],"MMM-YYYY")</f>
        <v>May-2024</v>
      </c>
      <c r="I388" s="3" t="str">
        <f t="shared" si="18"/>
        <v>Q2-2025</v>
      </c>
      <c r="J388" s="26" t="str">
        <f>IF(Table1[[#This Row],[LeadTimeDays]]&lt;=7,"Yes","No")</f>
        <v>Yes</v>
      </c>
      <c r="K388" s="6">
        <f>_xlfn.DAYS(Table1[[#This Row],[CorrectedRequiredDate]],Table1[[#This Row],[OrderDate]])</f>
        <v>5</v>
      </c>
      <c r="L388" s="3">
        <f>IF(Table1[[#This Row],[RequiredDate]]&lt;Table1[[#This Row],[OrderDate]],Table1[[#This Row],[OrderDate]],Table1[[#This Row],[RequiredDate]])</f>
        <v>45424</v>
      </c>
      <c r="M388" s="3">
        <v>45424</v>
      </c>
      <c r="N388" t="s">
        <v>646</v>
      </c>
      <c r="O388" t="s">
        <v>651</v>
      </c>
      <c r="P388" t="s">
        <v>669</v>
      </c>
      <c r="Q388" t="s">
        <v>703</v>
      </c>
      <c r="R388" t="s">
        <v>710</v>
      </c>
      <c r="S388" t="s">
        <v>716</v>
      </c>
      <c r="T388" t="s">
        <v>731</v>
      </c>
      <c r="U388" t="s">
        <v>1119</v>
      </c>
      <c r="V388" s="8">
        <v>1163.99</v>
      </c>
      <c r="W388" s="8">
        <v>1617.85</v>
      </c>
      <c r="X388" s="8">
        <f t="shared" si="19"/>
        <v>815.10700000000008</v>
      </c>
      <c r="Y388" s="8">
        <f t="shared" si="20"/>
        <v>1620.05</v>
      </c>
      <c r="Z388" s="8" t="str">
        <f>IF(W387 &lt;= X386, "Low",IF(W387 &lt;= Y387, "Medium", "High"))</f>
        <v>Low</v>
      </c>
      <c r="AA388">
        <v>0.127</v>
      </c>
      <c r="AB388">
        <f>IF(Table1[[#This Row],[DiscountPct]]&gt;0.2,1,0)</f>
        <v>0</v>
      </c>
      <c r="AC388" s="6">
        <v>14</v>
      </c>
      <c r="AD388" s="8">
        <f>Table1[[#This Row],[UnitPrice]]*Table1[[#This Row],[Quantity]]</f>
        <v>22649.899999999998</v>
      </c>
      <c r="AE388" s="8">
        <f>Table1[[#This Row],[UnitCost]]*Table1[[#This Row],[Quantity]]</f>
        <v>16295.86</v>
      </c>
      <c r="AF388" s="8">
        <f>Table1[[#This Row],[GrossRevenue]]-Table1[[#This Row],[CostOfGoods]]</f>
        <v>6354.0399999999972</v>
      </c>
      <c r="AG388" s="9">
        <f>IF(Table1[[#This Row],[GrossRevenue]]=0,0,Table1[[#This Row],[GrossProfit]]/Table1[[#This Row],[GrossRevenue]])</f>
        <v>0.28053280588435259</v>
      </c>
    </row>
    <row r="389" spans="1:33" x14ac:dyDescent="0.45">
      <c r="A389" t="s">
        <v>402</v>
      </c>
      <c r="B389">
        <v>1</v>
      </c>
      <c r="C389" s="3">
        <v>45199</v>
      </c>
      <c r="D389" s="6">
        <f>YEAR(Table1[[#This Row],[OrderDate]]) * 100 + MONTH(Table1[[#This Row],[OrderDate]])</f>
        <v>202309</v>
      </c>
      <c r="E389" s="6">
        <f>_xlfn.MINIFS(Table1[OrderMonthKey],Table1[Country],Table1[[#This Row],[Country]])</f>
        <v>202301</v>
      </c>
      <c r="F389" s="6">
        <f>Table1[[#This Row],[CountryFirstMonthKey]]</f>
        <v>202301</v>
      </c>
      <c r="G389" s="6">
        <f>12*(INT(Table1[[#This Row],[OrderMonthKey]]/100)-INT(Table1[[#This Row],[CohortMonthKey]]/100)) + (MOD(Table1[[#This Row],[OrderMonthKey]],100)-MOD(Table1[[#This Row],[CohortMonthKey]],100))</f>
        <v>8</v>
      </c>
      <c r="H389" s="3" t="str">
        <f>TEXT(Table1[[#This Row],[OrderDate]],"MMM-YYYY")</f>
        <v>Sep-2023</v>
      </c>
      <c r="I389" s="3" t="str">
        <f t="shared" si="18"/>
        <v>Q2-2024</v>
      </c>
      <c r="J389" s="26" t="str">
        <f>IF(Table1[[#This Row],[LeadTimeDays]]&lt;=7,"Yes","No")</f>
        <v>Yes</v>
      </c>
      <c r="K389" s="6">
        <f>_xlfn.DAYS(Table1[[#This Row],[CorrectedRequiredDate]],Table1[[#This Row],[OrderDate]])</f>
        <v>3</v>
      </c>
      <c r="L389" s="3">
        <f>IF(Table1[[#This Row],[RequiredDate]]&lt;Table1[[#This Row],[OrderDate]],Table1[[#This Row],[OrderDate]],Table1[[#This Row],[RequiredDate]])</f>
        <v>45202</v>
      </c>
      <c r="M389" s="3">
        <v>45202</v>
      </c>
      <c r="N389" t="s">
        <v>647</v>
      </c>
      <c r="O389" t="s">
        <v>659</v>
      </c>
      <c r="P389" t="s">
        <v>699</v>
      </c>
      <c r="Q389" t="s">
        <v>703</v>
      </c>
      <c r="R389" t="s">
        <v>707</v>
      </c>
      <c r="S389" t="s">
        <v>713</v>
      </c>
      <c r="T389" t="s">
        <v>731</v>
      </c>
      <c r="U389" t="s">
        <v>1120</v>
      </c>
      <c r="V389" s="8">
        <v>1019.36</v>
      </c>
      <c r="W389" s="8">
        <v>972.91</v>
      </c>
      <c r="X389" s="8">
        <f t="shared" si="19"/>
        <v>815.10700000000008</v>
      </c>
      <c r="Y389" s="8">
        <f t="shared" si="20"/>
        <v>1620.05</v>
      </c>
      <c r="Z389" s="8" t="str">
        <f>IF(W388 &lt;= X387, "Low",IF(W388 &lt;= Y388, "Medium", "High"))</f>
        <v>Medium</v>
      </c>
      <c r="AA389">
        <v>0.14699999999999999</v>
      </c>
      <c r="AB389">
        <f>IF(Table1[[#This Row],[DiscountPct]]&gt;0.2,1,0)</f>
        <v>0</v>
      </c>
      <c r="AC389" s="6">
        <v>17</v>
      </c>
      <c r="AD389" s="8">
        <f>Table1[[#This Row],[UnitPrice]]*Table1[[#This Row],[Quantity]]</f>
        <v>16539.47</v>
      </c>
      <c r="AE389" s="8">
        <f>Table1[[#This Row],[UnitCost]]*Table1[[#This Row],[Quantity]]</f>
        <v>17329.12</v>
      </c>
      <c r="AF389" s="8">
        <f>Table1[[#This Row],[GrossRevenue]]-Table1[[#This Row],[CostOfGoods]]</f>
        <v>-789.64999999999782</v>
      </c>
      <c r="AG389" s="9">
        <f>IF(Table1[[#This Row],[GrossRevenue]]=0,0,Table1[[#This Row],[GrossProfit]]/Table1[[#This Row],[GrossRevenue]])</f>
        <v>-4.7743367834640275E-2</v>
      </c>
    </row>
    <row r="390" spans="1:33" hidden="1" x14ac:dyDescent="0.45">
      <c r="A390" t="s">
        <v>403</v>
      </c>
      <c r="C390" s="3">
        <v>45225</v>
      </c>
      <c r="D390" s="3">
        <f>YEAR(Table1[[#This Row],[OrderDate]]) * 100 + MONTH(Table1[[#This Row],[OrderDate]])</f>
        <v>202310</v>
      </c>
      <c r="E390" s="3">
        <f>_xlfn.MINIFS(Table1[OrderMonthKey],Table1[Country],Table1[[#This Row],[Country]])</f>
        <v>202301</v>
      </c>
      <c r="F390" s="3">
        <f>Table1[[#This Row],[CountryFirstMonthKey]]</f>
        <v>202301</v>
      </c>
      <c r="G390" s="3">
        <f>12*(INT(Table1[[#This Row],[OrderMonthKey]]/100)-INT(Table1[[#This Row],[CohortMonthKey]]/100)) + (MOD(Table1[[#This Row],[OrderMonthKey]],100)-MOD(Table1[[#This Row],[CohortMonthKey]],100))</f>
        <v>9</v>
      </c>
      <c r="H390" s="3" t="str">
        <f>TEXT(Table1[[#This Row],[OrderDate]],"MMM-YYYY")</f>
        <v>Oct-2023</v>
      </c>
      <c r="I390" s="3" t="str">
        <f t="shared" si="18"/>
        <v>Q3-2023</v>
      </c>
      <c r="J390" s="3" t="str">
        <f>IF(Table1[[#This Row],[LeadTimeDays]]&lt;=7,"Yes","No")</f>
        <v>No</v>
      </c>
      <c r="K390" s="3">
        <f>_xlfn.DAYS(Table1[[#This Row],[CorrectedRequiredDate]],Table1[[#This Row],[OrderDate]])</f>
        <v>10</v>
      </c>
      <c r="L390" s="3">
        <f>IF(Table1[[#This Row],[RequiredDate]]&lt;Table1[[#This Row],[OrderDate]],Table1[[#This Row],[OrderDate]],Table1[[#This Row],[RequiredDate]])</f>
        <v>45235</v>
      </c>
      <c r="M390" s="3">
        <v>45235</v>
      </c>
      <c r="N390" t="s">
        <v>646</v>
      </c>
      <c r="O390" t="s">
        <v>661</v>
      </c>
      <c r="P390" t="s">
        <v>695</v>
      </c>
      <c r="Q390" t="s">
        <v>703</v>
      </c>
      <c r="R390" t="s">
        <v>708</v>
      </c>
      <c r="S390" t="s">
        <v>714</v>
      </c>
      <c r="T390" t="s">
        <v>731</v>
      </c>
      <c r="U390" t="s">
        <v>1121</v>
      </c>
      <c r="V390" s="8">
        <v>20.38</v>
      </c>
      <c r="W390" s="8">
        <v>42.56</v>
      </c>
      <c r="X390" s="8">
        <f t="shared" si="19"/>
        <v>815.10700000000008</v>
      </c>
      <c r="Y390" s="8">
        <f t="shared" si="20"/>
        <v>1620.05</v>
      </c>
      <c r="AA390">
        <v>7.1999999999999995E-2</v>
      </c>
      <c r="AB390">
        <f>IF(Table1[[#This Row],[DiscountPct]]&gt;0.2,1,0)</f>
        <v>0</v>
      </c>
      <c r="AC390" s="6">
        <v>11</v>
      </c>
      <c r="AD390" s="8">
        <f>Table1[[#This Row],[UnitPrice]]*Table1[[#This Row],[Quantity]]</f>
        <v>468.16</v>
      </c>
      <c r="AE390" s="8">
        <f>Table1[[#This Row],[UnitCost]]*Table1[[#This Row],[Quantity]]</f>
        <v>224.17999999999998</v>
      </c>
      <c r="AF390" s="8">
        <f>Table1[[#This Row],[GrossRevenue]]-Table1[[#This Row],[CostOfGoods]]</f>
        <v>243.98000000000005</v>
      </c>
      <c r="AG390" s="8">
        <f>IF(Table1[[#This Row],[GrossRevenue]]=0,0,Table1[[#This Row],[GrossProfit]]/Table1[[#This Row],[GrossRevenue]])</f>
        <v>0.52114661654135341</v>
      </c>
    </row>
    <row r="391" spans="1:33" hidden="1" x14ac:dyDescent="0.45">
      <c r="A391" t="s">
        <v>404</v>
      </c>
      <c r="C391" s="3">
        <v>45823</v>
      </c>
      <c r="D391" s="3">
        <f>YEAR(Table1[[#This Row],[OrderDate]]) * 100 + MONTH(Table1[[#This Row],[OrderDate]])</f>
        <v>202506</v>
      </c>
      <c r="E391" s="3">
        <f>_xlfn.MINIFS(Table1[OrderMonthKey],Table1[Country],Table1[[#This Row],[Country]])</f>
        <v>202301</v>
      </c>
      <c r="F391" s="3">
        <f>Table1[[#This Row],[CountryFirstMonthKey]]</f>
        <v>202301</v>
      </c>
      <c r="G391" s="3">
        <f>12*(INT(Table1[[#This Row],[OrderMonthKey]]/100)-INT(Table1[[#This Row],[CohortMonthKey]]/100)) + (MOD(Table1[[#This Row],[OrderMonthKey]],100)-MOD(Table1[[#This Row],[CohortMonthKey]],100))</f>
        <v>29</v>
      </c>
      <c r="H391" s="3" t="str">
        <f>TEXT(Table1[[#This Row],[OrderDate]],"MMM-YYYY")</f>
        <v>Jun-2025</v>
      </c>
      <c r="I391" s="3" t="str">
        <f t="shared" si="18"/>
        <v>Q4-2023</v>
      </c>
      <c r="J391" s="3" t="str">
        <f>IF(Table1[[#This Row],[LeadTimeDays]]&lt;=7,"Yes","No")</f>
        <v>No</v>
      </c>
      <c r="K391" s="3">
        <f>_xlfn.DAYS(Table1[[#This Row],[CorrectedRequiredDate]],Table1[[#This Row],[OrderDate]])</f>
        <v>15</v>
      </c>
      <c r="L391" s="3">
        <f>IF(Table1[[#This Row],[RequiredDate]]&lt;Table1[[#This Row],[OrderDate]],Table1[[#This Row],[OrderDate]],Table1[[#This Row],[RequiredDate]])</f>
        <v>45838</v>
      </c>
      <c r="M391" s="3">
        <v>45838</v>
      </c>
      <c r="N391" t="s">
        <v>646</v>
      </c>
      <c r="O391" t="s">
        <v>661</v>
      </c>
      <c r="P391" t="s">
        <v>682</v>
      </c>
      <c r="Q391" t="s">
        <v>705</v>
      </c>
      <c r="R391" t="s">
        <v>711</v>
      </c>
      <c r="S391" t="s">
        <v>712</v>
      </c>
      <c r="T391" t="s">
        <v>732</v>
      </c>
      <c r="U391" t="s">
        <v>1122</v>
      </c>
      <c r="V391" s="8">
        <v>1487.59</v>
      </c>
      <c r="W391" s="8">
        <v>1480.83</v>
      </c>
      <c r="X391" s="8">
        <f t="shared" si="19"/>
        <v>815.10700000000008</v>
      </c>
      <c r="Y391" s="8">
        <f t="shared" si="20"/>
        <v>1620.05</v>
      </c>
      <c r="AA391">
        <v>8.9999999999999993E-3</v>
      </c>
      <c r="AB391">
        <f>IF(Table1[[#This Row],[DiscountPct]]&gt;0.2,1,0)</f>
        <v>0</v>
      </c>
      <c r="AC391" s="6">
        <v>11</v>
      </c>
      <c r="AD391" s="8">
        <f>Table1[[#This Row],[UnitPrice]]*Table1[[#This Row],[Quantity]]</f>
        <v>16289.13</v>
      </c>
      <c r="AE391" s="8">
        <f>Table1[[#This Row],[UnitCost]]*Table1[[#This Row],[Quantity]]</f>
        <v>16363.49</v>
      </c>
      <c r="AF391" s="8">
        <f>Table1[[#This Row],[GrossRevenue]]-Table1[[#This Row],[CostOfGoods]]</f>
        <v>-74.360000000000582</v>
      </c>
      <c r="AG391" s="8">
        <f>IF(Table1[[#This Row],[GrossRevenue]]=0,0,Table1[[#This Row],[GrossProfit]]/Table1[[#This Row],[GrossRevenue]])</f>
        <v>-4.5650074620314646E-3</v>
      </c>
    </row>
    <row r="392" spans="1:33" hidden="1" x14ac:dyDescent="0.45">
      <c r="A392" t="s">
        <v>405</v>
      </c>
      <c r="C392" s="3">
        <v>45514</v>
      </c>
      <c r="D392" s="3">
        <f>YEAR(Table1[[#This Row],[OrderDate]]) * 100 + MONTH(Table1[[#This Row],[OrderDate]])</f>
        <v>202408</v>
      </c>
      <c r="E392" s="3">
        <f>_xlfn.MINIFS(Table1[OrderMonthKey],Table1[Country],Table1[[#This Row],[Country]])</f>
        <v>202301</v>
      </c>
      <c r="F392" s="3">
        <f>Table1[[#This Row],[CountryFirstMonthKey]]</f>
        <v>202301</v>
      </c>
      <c r="G392" s="3">
        <f>12*(INT(Table1[[#This Row],[OrderMonthKey]]/100)-INT(Table1[[#This Row],[CohortMonthKey]]/100)) + (MOD(Table1[[#This Row],[OrderMonthKey]],100)-MOD(Table1[[#This Row],[CohortMonthKey]],100))</f>
        <v>19</v>
      </c>
      <c r="H392" s="3" t="str">
        <f>TEXT(Table1[[#This Row],[OrderDate]],"MMM-YYYY")</f>
        <v>Aug-2024</v>
      </c>
      <c r="I392" s="3" t="str">
        <f t="shared" si="18"/>
        <v>Q2-2025</v>
      </c>
      <c r="J392" s="3" t="str">
        <f>IF(Table1[[#This Row],[LeadTimeDays]]&lt;=7,"Yes","No")</f>
        <v>No</v>
      </c>
      <c r="K392" s="3">
        <f>_xlfn.DAYS(Table1[[#This Row],[CorrectedRequiredDate]],Table1[[#This Row],[OrderDate]])</f>
        <v>28</v>
      </c>
      <c r="L392" s="3">
        <f>IF(Table1[[#This Row],[RequiredDate]]&lt;Table1[[#This Row],[OrderDate]],Table1[[#This Row],[OrderDate]],Table1[[#This Row],[RequiredDate]])</f>
        <v>45542</v>
      </c>
      <c r="M392" s="3">
        <v>45542</v>
      </c>
      <c r="N392" t="s">
        <v>649</v>
      </c>
      <c r="O392" t="s">
        <v>657</v>
      </c>
      <c r="P392" t="s">
        <v>673</v>
      </c>
      <c r="Q392" t="s">
        <v>703</v>
      </c>
      <c r="R392" t="s">
        <v>711</v>
      </c>
      <c r="S392" t="s">
        <v>721</v>
      </c>
      <c r="T392" t="s">
        <v>728</v>
      </c>
      <c r="U392" t="s">
        <v>1123</v>
      </c>
      <c r="V392" s="8">
        <v>229.96</v>
      </c>
      <c r="W392" s="8">
        <v>564.26</v>
      </c>
      <c r="X392" s="8">
        <f t="shared" si="19"/>
        <v>815.10700000000008</v>
      </c>
      <c r="Y392" s="8">
        <f t="shared" si="20"/>
        <v>1620.05</v>
      </c>
      <c r="AA392">
        <v>0.105</v>
      </c>
      <c r="AB392">
        <f>IF(Table1[[#This Row],[DiscountPct]]&gt;0.2,1,0)</f>
        <v>0</v>
      </c>
      <c r="AC392" s="6">
        <v>5</v>
      </c>
      <c r="AD392" s="8">
        <f>Table1[[#This Row],[UnitPrice]]*Table1[[#This Row],[Quantity]]</f>
        <v>2821.3</v>
      </c>
      <c r="AE392" s="8">
        <f>Table1[[#This Row],[UnitCost]]*Table1[[#This Row],[Quantity]]</f>
        <v>1149.8</v>
      </c>
      <c r="AF392" s="8">
        <f>Table1[[#This Row],[GrossRevenue]]-Table1[[#This Row],[CostOfGoods]]</f>
        <v>1671.5000000000002</v>
      </c>
      <c r="AG392" s="8">
        <f>IF(Table1[[#This Row],[GrossRevenue]]=0,0,Table1[[#This Row],[GrossProfit]]/Table1[[#This Row],[GrossRevenue]])</f>
        <v>0.59245737780455821</v>
      </c>
    </row>
    <row r="393" spans="1:33" x14ac:dyDescent="0.45">
      <c r="A393" t="s">
        <v>406</v>
      </c>
      <c r="B393">
        <v>1</v>
      </c>
      <c r="C393" s="3">
        <v>45208</v>
      </c>
      <c r="D393" s="6">
        <f>YEAR(Table1[[#This Row],[OrderDate]]) * 100 + MONTH(Table1[[#This Row],[OrderDate]])</f>
        <v>202310</v>
      </c>
      <c r="E393" s="6">
        <f>_xlfn.MINIFS(Table1[OrderMonthKey],Table1[Country],Table1[[#This Row],[Country]])</f>
        <v>202301</v>
      </c>
      <c r="F393" s="6">
        <f>Table1[[#This Row],[CountryFirstMonthKey]]</f>
        <v>202301</v>
      </c>
      <c r="G393" s="6">
        <f>12*(INT(Table1[[#This Row],[OrderMonthKey]]/100)-INT(Table1[[#This Row],[CohortMonthKey]]/100)) + (MOD(Table1[[#This Row],[OrderMonthKey]],100)-MOD(Table1[[#This Row],[CohortMonthKey]],100))</f>
        <v>9</v>
      </c>
      <c r="H393" s="3" t="str">
        <f>TEXT(Table1[[#This Row],[OrderDate]],"MMM-YYYY")</f>
        <v>Oct-2023</v>
      </c>
      <c r="I393" s="3" t="str">
        <f t="shared" si="18"/>
        <v>Q3-2024</v>
      </c>
      <c r="J393" s="26" t="str">
        <f>IF(Table1[[#This Row],[LeadTimeDays]]&lt;=7,"Yes","No")</f>
        <v>No</v>
      </c>
      <c r="K393" s="6">
        <f>_xlfn.DAYS(Table1[[#This Row],[CorrectedRequiredDate]],Table1[[#This Row],[OrderDate]])</f>
        <v>17</v>
      </c>
      <c r="L393" s="3">
        <f>IF(Table1[[#This Row],[RequiredDate]]&lt;Table1[[#This Row],[OrderDate]],Table1[[#This Row],[OrderDate]],Table1[[#This Row],[RequiredDate]])</f>
        <v>45225</v>
      </c>
      <c r="M393" s="3">
        <v>45225</v>
      </c>
      <c r="N393" t="s">
        <v>647</v>
      </c>
      <c r="O393" t="s">
        <v>659</v>
      </c>
      <c r="P393" t="s">
        <v>685</v>
      </c>
      <c r="Q393" t="s">
        <v>704</v>
      </c>
      <c r="R393" t="s">
        <v>709</v>
      </c>
      <c r="S393" t="s">
        <v>712</v>
      </c>
      <c r="T393" t="s">
        <v>727</v>
      </c>
      <c r="U393" t="s">
        <v>1124</v>
      </c>
      <c r="V393" s="8">
        <v>1132.03</v>
      </c>
      <c r="W393" s="8">
        <v>2137.21</v>
      </c>
      <c r="X393" s="8">
        <f t="shared" si="19"/>
        <v>815.10700000000008</v>
      </c>
      <c r="Y393" s="8">
        <f t="shared" si="20"/>
        <v>1620.05</v>
      </c>
      <c r="Z393" s="8" t="str">
        <f>IF(W392 &lt;= X391, "Low",IF(W392 &lt;= Y392, "Medium", "High"))</f>
        <v>Low</v>
      </c>
      <c r="AA393">
        <v>0.35699999999999998</v>
      </c>
      <c r="AB393">
        <f>IF(Table1[[#This Row],[DiscountPct]]&gt;0.2,1,0)</f>
        <v>1</v>
      </c>
      <c r="AC393" s="6">
        <v>35</v>
      </c>
      <c r="AD393" s="8">
        <f>Table1[[#This Row],[UnitPrice]]*Table1[[#This Row],[Quantity]]</f>
        <v>74802.350000000006</v>
      </c>
      <c r="AE393" s="8">
        <f>Table1[[#This Row],[UnitCost]]*Table1[[#This Row],[Quantity]]</f>
        <v>39621.049999999996</v>
      </c>
      <c r="AF393" s="8">
        <f>Table1[[#This Row],[GrossRevenue]]-Table1[[#This Row],[CostOfGoods]]</f>
        <v>35181.30000000001</v>
      </c>
      <c r="AG393" s="9">
        <f>IF(Table1[[#This Row],[GrossRevenue]]=0,0,Table1[[#This Row],[GrossProfit]]/Table1[[#This Row],[GrossRevenue]])</f>
        <v>0.47032345908918649</v>
      </c>
    </row>
    <row r="394" spans="1:33" hidden="1" x14ac:dyDescent="0.45">
      <c r="A394" t="s">
        <v>407</v>
      </c>
      <c r="C394" s="3">
        <v>45360</v>
      </c>
      <c r="D394" s="3">
        <f>YEAR(Table1[[#This Row],[OrderDate]]) * 100 + MONTH(Table1[[#This Row],[OrderDate]])</f>
        <v>202403</v>
      </c>
      <c r="E394" s="3">
        <f>_xlfn.MINIFS(Table1[OrderMonthKey],Table1[Country],Table1[[#This Row],[Country]])</f>
        <v>202301</v>
      </c>
      <c r="F394" s="3">
        <f>Table1[[#This Row],[CountryFirstMonthKey]]</f>
        <v>202301</v>
      </c>
      <c r="G394" s="3">
        <f>12*(INT(Table1[[#This Row],[OrderMonthKey]]/100)-INT(Table1[[#This Row],[CohortMonthKey]]/100)) + (MOD(Table1[[#This Row],[OrderMonthKey]],100)-MOD(Table1[[#This Row],[CohortMonthKey]],100))</f>
        <v>14</v>
      </c>
      <c r="H394" s="3" t="str">
        <f>TEXT(Table1[[#This Row],[OrderDate]],"MMM-YYYY")</f>
        <v>Mar-2024</v>
      </c>
      <c r="I394" s="3" t="str">
        <f t="shared" si="18"/>
        <v>Q4-2023</v>
      </c>
      <c r="J394" s="3" t="str">
        <f>IF(Table1[[#This Row],[LeadTimeDays]]&lt;=7,"Yes","No")</f>
        <v>No</v>
      </c>
      <c r="K394" s="3">
        <f>_xlfn.DAYS(Table1[[#This Row],[CorrectedRequiredDate]],Table1[[#This Row],[OrderDate]])</f>
        <v>17</v>
      </c>
      <c r="L394" s="3">
        <f>IF(Table1[[#This Row],[RequiredDate]]&lt;Table1[[#This Row],[OrderDate]],Table1[[#This Row],[OrderDate]],Table1[[#This Row],[RequiredDate]])</f>
        <v>45377</v>
      </c>
      <c r="M394" s="3">
        <v>45377</v>
      </c>
      <c r="N394" t="s">
        <v>648</v>
      </c>
      <c r="O394" t="s">
        <v>660</v>
      </c>
      <c r="P394" t="s">
        <v>686</v>
      </c>
      <c r="Q394" t="s">
        <v>702</v>
      </c>
      <c r="R394" t="s">
        <v>711</v>
      </c>
      <c r="S394" t="s">
        <v>714</v>
      </c>
      <c r="T394" t="s">
        <v>730</v>
      </c>
      <c r="U394" t="s">
        <v>1125</v>
      </c>
      <c r="V394" s="8">
        <v>1137.4100000000001</v>
      </c>
      <c r="W394" s="8">
        <v>1680.93</v>
      </c>
      <c r="X394" s="8">
        <f t="shared" si="19"/>
        <v>815.10700000000008</v>
      </c>
      <c r="Y394" s="8">
        <f t="shared" si="20"/>
        <v>1620.05</v>
      </c>
      <c r="AA394">
        <v>0.254</v>
      </c>
      <c r="AB394">
        <f>IF(Table1[[#This Row],[DiscountPct]]&gt;0.2,1,0)</f>
        <v>1</v>
      </c>
      <c r="AC394" s="6">
        <v>9</v>
      </c>
      <c r="AD394" s="8">
        <f>Table1[[#This Row],[UnitPrice]]*Table1[[#This Row],[Quantity]]</f>
        <v>15128.37</v>
      </c>
      <c r="AE394" s="8">
        <f>Table1[[#This Row],[UnitCost]]*Table1[[#This Row],[Quantity]]</f>
        <v>10236.69</v>
      </c>
      <c r="AF394" s="8">
        <f>Table1[[#This Row],[GrossRevenue]]-Table1[[#This Row],[CostOfGoods]]</f>
        <v>4891.68</v>
      </c>
      <c r="AG394" s="8">
        <f>IF(Table1[[#This Row],[GrossRevenue]]=0,0,Table1[[#This Row],[GrossProfit]]/Table1[[#This Row],[GrossRevenue]])</f>
        <v>0.32334481507260859</v>
      </c>
    </row>
    <row r="395" spans="1:33" x14ac:dyDescent="0.45">
      <c r="A395" t="s">
        <v>408</v>
      </c>
      <c r="B395">
        <v>1</v>
      </c>
      <c r="C395" s="3">
        <v>45075</v>
      </c>
      <c r="D395" s="6">
        <f>YEAR(Table1[[#This Row],[OrderDate]]) * 100 + MONTH(Table1[[#This Row],[OrderDate]])</f>
        <v>202305</v>
      </c>
      <c r="E395" s="6">
        <f>_xlfn.MINIFS(Table1[OrderMonthKey],Table1[Country],Table1[[#This Row],[Country]])</f>
        <v>202301</v>
      </c>
      <c r="F395" s="6">
        <f>Table1[[#This Row],[CountryFirstMonthKey]]</f>
        <v>202301</v>
      </c>
      <c r="G395" s="6">
        <f>12*(INT(Table1[[#This Row],[OrderMonthKey]]/100)-INT(Table1[[#This Row],[CohortMonthKey]]/100)) + (MOD(Table1[[#This Row],[OrderMonthKey]],100)-MOD(Table1[[#This Row],[CohortMonthKey]],100))</f>
        <v>4</v>
      </c>
      <c r="H395" s="3" t="str">
        <f>TEXT(Table1[[#This Row],[OrderDate]],"MMM-YYYY")</f>
        <v>May-2023</v>
      </c>
      <c r="I395" s="3" t="str">
        <f t="shared" si="18"/>
        <v>Q1-2024</v>
      </c>
      <c r="J395" s="26" t="str">
        <f>IF(Table1[[#This Row],[LeadTimeDays]]&lt;=7,"Yes","No")</f>
        <v>No</v>
      </c>
      <c r="K395" s="6">
        <f>_xlfn.DAYS(Table1[[#This Row],[CorrectedRequiredDate]],Table1[[#This Row],[OrderDate]])</f>
        <v>22</v>
      </c>
      <c r="L395" s="3">
        <f>IF(Table1[[#This Row],[RequiredDate]]&lt;Table1[[#This Row],[OrderDate]],Table1[[#This Row],[OrderDate]],Table1[[#This Row],[RequiredDate]])</f>
        <v>45097</v>
      </c>
      <c r="M395" s="3">
        <v>45097</v>
      </c>
      <c r="N395" t="s">
        <v>649</v>
      </c>
      <c r="O395" t="s">
        <v>658</v>
      </c>
      <c r="P395" t="s">
        <v>683</v>
      </c>
      <c r="Q395" t="s">
        <v>705</v>
      </c>
      <c r="R395" t="s">
        <v>711</v>
      </c>
      <c r="S395" t="s">
        <v>723</v>
      </c>
      <c r="T395" t="s">
        <v>727</v>
      </c>
      <c r="U395" t="s">
        <v>1126</v>
      </c>
      <c r="V395" s="8">
        <v>1295.3900000000001</v>
      </c>
      <c r="W395" s="8">
        <v>2905.06</v>
      </c>
      <c r="X395" s="8">
        <f t="shared" si="19"/>
        <v>815.10700000000008</v>
      </c>
      <c r="Y395" s="8">
        <f t="shared" si="20"/>
        <v>1620.05</v>
      </c>
      <c r="Z395" s="8" t="str">
        <f>IF(W394 &lt;= X393, "Low",IF(W394 &lt;= Y394, "Medium", "High"))</f>
        <v>High</v>
      </c>
      <c r="AA395">
        <v>0.14799999999999999</v>
      </c>
      <c r="AB395">
        <f>IF(Table1[[#This Row],[DiscountPct]]&gt;0.2,1,0)</f>
        <v>0</v>
      </c>
      <c r="AC395" s="6">
        <v>8</v>
      </c>
      <c r="AD395" s="8">
        <f>Table1[[#This Row],[UnitPrice]]*Table1[[#This Row],[Quantity]]</f>
        <v>23240.48</v>
      </c>
      <c r="AE395" s="8">
        <f>Table1[[#This Row],[UnitCost]]*Table1[[#This Row],[Quantity]]</f>
        <v>10363.120000000001</v>
      </c>
      <c r="AF395" s="8">
        <f>Table1[[#This Row],[GrossRevenue]]-Table1[[#This Row],[CostOfGoods]]</f>
        <v>12877.359999999999</v>
      </c>
      <c r="AG395" s="9">
        <f>IF(Table1[[#This Row],[GrossRevenue]]=0,0,Table1[[#This Row],[GrossProfit]]/Table1[[#This Row],[GrossRevenue]])</f>
        <v>0.55409182598638229</v>
      </c>
    </row>
    <row r="396" spans="1:33" hidden="1" x14ac:dyDescent="0.45">
      <c r="A396" t="s">
        <v>409</v>
      </c>
      <c r="C396" s="3">
        <v>45804</v>
      </c>
      <c r="D396" s="3">
        <f>YEAR(Table1[[#This Row],[OrderDate]]) * 100 + MONTH(Table1[[#This Row],[OrderDate]])</f>
        <v>202505</v>
      </c>
      <c r="E396" s="3">
        <f>_xlfn.MINIFS(Table1[OrderMonthKey],Table1[Country],Table1[[#This Row],[Country]])</f>
        <v>202303</v>
      </c>
      <c r="F396" s="3">
        <f>Table1[[#This Row],[CountryFirstMonthKey]]</f>
        <v>202303</v>
      </c>
      <c r="G396" s="3">
        <f>12*(INT(Table1[[#This Row],[OrderMonthKey]]/100)-INT(Table1[[#This Row],[CohortMonthKey]]/100)) + (MOD(Table1[[#This Row],[OrderMonthKey]],100)-MOD(Table1[[#This Row],[CohortMonthKey]],100))</f>
        <v>26</v>
      </c>
      <c r="H396" s="3" t="str">
        <f>TEXT(Table1[[#This Row],[OrderDate]],"MMM-YYYY")</f>
        <v>May-2025</v>
      </c>
      <c r="I396" s="3" t="str">
        <f t="shared" si="18"/>
        <v>Q2-2023</v>
      </c>
      <c r="J396" s="3" t="str">
        <f>IF(Table1[[#This Row],[LeadTimeDays]]&lt;=7,"Yes","No")</f>
        <v>No</v>
      </c>
      <c r="K396" s="3">
        <f>_xlfn.DAYS(Table1[[#This Row],[CorrectedRequiredDate]],Table1[[#This Row],[OrderDate]])</f>
        <v>12</v>
      </c>
      <c r="L396" s="3">
        <f>IF(Table1[[#This Row],[RequiredDate]]&lt;Table1[[#This Row],[OrderDate]],Table1[[#This Row],[OrderDate]],Table1[[#This Row],[RequiredDate]])</f>
        <v>45816</v>
      </c>
      <c r="M396" s="3">
        <v>45816</v>
      </c>
      <c r="N396" t="s">
        <v>647</v>
      </c>
      <c r="O396" t="s">
        <v>652</v>
      </c>
      <c r="P396" t="s">
        <v>666</v>
      </c>
      <c r="Q396" t="s">
        <v>701</v>
      </c>
      <c r="R396" t="s">
        <v>707</v>
      </c>
      <c r="S396" t="s">
        <v>722</v>
      </c>
      <c r="T396" t="s">
        <v>733</v>
      </c>
      <c r="U396" t="s">
        <v>1127</v>
      </c>
      <c r="V396" s="8">
        <v>653.6</v>
      </c>
      <c r="W396" s="8">
        <v>842.09</v>
      </c>
      <c r="X396" s="8">
        <f t="shared" si="19"/>
        <v>815.10700000000008</v>
      </c>
      <c r="Y396" s="8">
        <f t="shared" si="20"/>
        <v>1620.05</v>
      </c>
      <c r="AA396">
        <v>9.8000000000000004E-2</v>
      </c>
      <c r="AB396">
        <f>IF(Table1[[#This Row],[DiscountPct]]&gt;0.2,1,0)</f>
        <v>0</v>
      </c>
      <c r="AC396" s="6">
        <v>19</v>
      </c>
      <c r="AD396" s="8">
        <f>Table1[[#This Row],[UnitPrice]]*Table1[[#This Row],[Quantity]]</f>
        <v>15999.710000000001</v>
      </c>
      <c r="AE396" s="8">
        <f>Table1[[#This Row],[UnitCost]]*Table1[[#This Row],[Quantity]]</f>
        <v>12418.4</v>
      </c>
      <c r="AF396" s="8">
        <f>Table1[[#This Row],[GrossRevenue]]-Table1[[#This Row],[CostOfGoods]]</f>
        <v>3581.3100000000013</v>
      </c>
      <c r="AG396" s="8">
        <f>IF(Table1[[#This Row],[GrossRevenue]]=0,0,Table1[[#This Row],[GrossProfit]]/Table1[[#This Row],[GrossRevenue]])</f>
        <v>0.22383593202626806</v>
      </c>
    </row>
    <row r="397" spans="1:33" hidden="1" x14ac:dyDescent="0.45">
      <c r="A397" t="s">
        <v>410</v>
      </c>
      <c r="C397" s="3">
        <v>45890</v>
      </c>
      <c r="D397" s="3">
        <f>YEAR(Table1[[#This Row],[OrderDate]]) * 100 + MONTH(Table1[[#This Row],[OrderDate]])</f>
        <v>202508</v>
      </c>
      <c r="E397" s="3">
        <f>_xlfn.MINIFS(Table1[OrderMonthKey],Table1[Country],Table1[[#This Row],[Country]])</f>
        <v>202301</v>
      </c>
      <c r="F397" s="3">
        <f>Table1[[#This Row],[CountryFirstMonthKey]]</f>
        <v>202301</v>
      </c>
      <c r="G397" s="3">
        <f>12*(INT(Table1[[#This Row],[OrderMonthKey]]/100)-INT(Table1[[#This Row],[CohortMonthKey]]/100)) + (MOD(Table1[[#This Row],[OrderMonthKey]],100)-MOD(Table1[[#This Row],[CohortMonthKey]],100))</f>
        <v>31</v>
      </c>
      <c r="H397" s="3" t="str">
        <f>TEXT(Table1[[#This Row],[OrderDate]],"MMM-YYYY")</f>
        <v>Aug-2025</v>
      </c>
      <c r="I397" s="3" t="str">
        <f t="shared" si="18"/>
        <v>Q2-2025</v>
      </c>
      <c r="J397" s="3" t="str">
        <f>IF(Table1[[#This Row],[LeadTimeDays]]&lt;=7,"Yes","No")</f>
        <v>No</v>
      </c>
      <c r="K397" s="3">
        <f>_xlfn.DAYS(Table1[[#This Row],[CorrectedRequiredDate]],Table1[[#This Row],[OrderDate]])</f>
        <v>24</v>
      </c>
      <c r="L397" s="3">
        <f>IF(Table1[[#This Row],[RequiredDate]]&lt;Table1[[#This Row],[OrderDate]],Table1[[#This Row],[OrderDate]],Table1[[#This Row],[RequiredDate]])</f>
        <v>45914</v>
      </c>
      <c r="M397" s="3">
        <v>45914</v>
      </c>
      <c r="N397" t="s">
        <v>649</v>
      </c>
      <c r="O397" t="s">
        <v>656</v>
      </c>
      <c r="P397" t="s">
        <v>671</v>
      </c>
      <c r="Q397" t="s">
        <v>703</v>
      </c>
      <c r="R397" t="s">
        <v>708</v>
      </c>
      <c r="S397" t="s">
        <v>720</v>
      </c>
      <c r="T397" t="s">
        <v>732</v>
      </c>
      <c r="U397" t="s">
        <v>1128</v>
      </c>
      <c r="V397" s="8">
        <v>1397.67</v>
      </c>
      <c r="W397" s="8">
        <v>3131.37</v>
      </c>
      <c r="X397" s="8">
        <f t="shared" si="19"/>
        <v>815.10700000000008</v>
      </c>
      <c r="Y397" s="8">
        <f t="shared" si="20"/>
        <v>1620.05</v>
      </c>
      <c r="AA397">
        <v>0.10299999999999999</v>
      </c>
      <c r="AB397">
        <f>IF(Table1[[#This Row],[DiscountPct]]&gt;0.2,1,0)</f>
        <v>0</v>
      </c>
      <c r="AC397" s="6">
        <v>20</v>
      </c>
      <c r="AD397" s="8">
        <f>Table1[[#This Row],[UnitPrice]]*Table1[[#This Row],[Quantity]]</f>
        <v>62627.399999999994</v>
      </c>
      <c r="AE397" s="8">
        <f>Table1[[#This Row],[UnitCost]]*Table1[[#This Row],[Quantity]]</f>
        <v>27953.4</v>
      </c>
      <c r="AF397" s="8">
        <f>Table1[[#This Row],[GrossRevenue]]-Table1[[#This Row],[CostOfGoods]]</f>
        <v>34673.999999999993</v>
      </c>
      <c r="AG397" s="8">
        <f>IF(Table1[[#This Row],[GrossRevenue]]=0,0,Table1[[#This Row],[GrossProfit]]/Table1[[#This Row],[GrossRevenue]])</f>
        <v>0.55365542877398699</v>
      </c>
    </row>
    <row r="398" spans="1:33" hidden="1" x14ac:dyDescent="0.45">
      <c r="A398" t="s">
        <v>411</v>
      </c>
      <c r="C398" s="3">
        <v>45638</v>
      </c>
      <c r="D398" s="3">
        <f>YEAR(Table1[[#This Row],[OrderDate]]) * 100 + MONTH(Table1[[#This Row],[OrderDate]])</f>
        <v>202412</v>
      </c>
      <c r="E398" s="3">
        <f>_xlfn.MINIFS(Table1[OrderMonthKey],Table1[Country],Table1[[#This Row],[Country]])</f>
        <v>202303</v>
      </c>
      <c r="F398" s="3">
        <f>Table1[[#This Row],[CountryFirstMonthKey]]</f>
        <v>202303</v>
      </c>
      <c r="G398" s="3">
        <f>12*(INT(Table1[[#This Row],[OrderMonthKey]]/100)-INT(Table1[[#This Row],[CohortMonthKey]]/100)) + (MOD(Table1[[#This Row],[OrderMonthKey]],100)-MOD(Table1[[#This Row],[CohortMonthKey]],100))</f>
        <v>21</v>
      </c>
      <c r="H398" s="3" t="str">
        <f>TEXT(Table1[[#This Row],[OrderDate]],"MMM-YYYY")</f>
        <v>Dec-2024</v>
      </c>
      <c r="I398" s="3" t="str">
        <f t="shared" si="18"/>
        <v>Q3-2025</v>
      </c>
      <c r="J398" s="3" t="str">
        <f>IF(Table1[[#This Row],[LeadTimeDays]]&lt;=7,"Yes","No")</f>
        <v>No</v>
      </c>
      <c r="K398" s="3">
        <f>_xlfn.DAYS(Table1[[#This Row],[CorrectedRequiredDate]],Table1[[#This Row],[OrderDate]])</f>
        <v>8</v>
      </c>
      <c r="L398" s="3">
        <f>IF(Table1[[#This Row],[RequiredDate]]&lt;Table1[[#This Row],[OrderDate]],Table1[[#This Row],[OrderDate]],Table1[[#This Row],[RequiredDate]])</f>
        <v>45646</v>
      </c>
      <c r="M398" s="3">
        <v>45646</v>
      </c>
      <c r="N398" t="s">
        <v>647</v>
      </c>
      <c r="O398" t="s">
        <v>652</v>
      </c>
      <c r="P398" t="s">
        <v>689</v>
      </c>
      <c r="Q398" t="s">
        <v>701</v>
      </c>
      <c r="R398" t="s">
        <v>707</v>
      </c>
      <c r="S398" t="s">
        <v>717</v>
      </c>
      <c r="T398" t="s">
        <v>731</v>
      </c>
      <c r="U398" t="s">
        <v>1129</v>
      </c>
      <c r="V398" s="8">
        <v>1202.47</v>
      </c>
      <c r="W398" s="8">
        <v>1444.72</v>
      </c>
      <c r="X398" s="8">
        <f t="shared" si="19"/>
        <v>815.10700000000008</v>
      </c>
      <c r="Y398" s="8">
        <f t="shared" si="20"/>
        <v>1620.05</v>
      </c>
      <c r="AA398">
        <v>0.24099999999999999</v>
      </c>
      <c r="AB398">
        <f>IF(Table1[[#This Row],[DiscountPct]]&gt;0.2,1,0)</f>
        <v>1</v>
      </c>
      <c r="AC398" s="6">
        <v>17</v>
      </c>
      <c r="AD398" s="8">
        <f>Table1[[#This Row],[UnitPrice]]*Table1[[#This Row],[Quantity]]</f>
        <v>24560.240000000002</v>
      </c>
      <c r="AE398" s="8">
        <f>Table1[[#This Row],[UnitCost]]*Table1[[#This Row],[Quantity]]</f>
        <v>20441.990000000002</v>
      </c>
      <c r="AF398" s="8">
        <f>Table1[[#This Row],[GrossRevenue]]-Table1[[#This Row],[CostOfGoods]]</f>
        <v>4118.25</v>
      </c>
      <c r="AG398" s="8">
        <f>IF(Table1[[#This Row],[GrossRevenue]]=0,0,Table1[[#This Row],[GrossProfit]]/Table1[[#This Row],[GrossRevenue]])</f>
        <v>0.16767955036270002</v>
      </c>
    </row>
    <row r="399" spans="1:33" hidden="1" x14ac:dyDescent="0.45">
      <c r="A399" t="s">
        <v>412</v>
      </c>
      <c r="C399" s="3">
        <v>45914</v>
      </c>
      <c r="D399" s="3">
        <f>YEAR(Table1[[#This Row],[OrderDate]]) * 100 + MONTH(Table1[[#This Row],[OrderDate]])</f>
        <v>202509</v>
      </c>
      <c r="E399" s="3">
        <f>_xlfn.MINIFS(Table1[OrderMonthKey],Table1[Country],Table1[[#This Row],[Country]])</f>
        <v>202301</v>
      </c>
      <c r="F399" s="3">
        <f>Table1[[#This Row],[CountryFirstMonthKey]]</f>
        <v>202301</v>
      </c>
      <c r="G399" s="3">
        <f>12*(INT(Table1[[#This Row],[OrderMonthKey]]/100)-INT(Table1[[#This Row],[CohortMonthKey]]/100)) + (MOD(Table1[[#This Row],[OrderMonthKey]],100)-MOD(Table1[[#This Row],[CohortMonthKey]],100))</f>
        <v>32</v>
      </c>
      <c r="H399" s="3" t="str">
        <f>TEXT(Table1[[#This Row],[OrderDate]],"MMM-YYYY")</f>
        <v>Sep-2025</v>
      </c>
      <c r="I399" s="3" t="str">
        <f t="shared" si="18"/>
        <v>Q4-2024</v>
      </c>
      <c r="J399" s="3" t="str">
        <f>IF(Table1[[#This Row],[LeadTimeDays]]&lt;=7,"Yes","No")</f>
        <v>No</v>
      </c>
      <c r="K399" s="3">
        <f>_xlfn.DAYS(Table1[[#This Row],[CorrectedRequiredDate]],Table1[[#This Row],[OrderDate]])</f>
        <v>9</v>
      </c>
      <c r="L399" s="3">
        <f>IF(Table1[[#This Row],[RequiredDate]]&lt;Table1[[#This Row],[OrderDate]],Table1[[#This Row],[OrderDate]],Table1[[#This Row],[RequiredDate]])</f>
        <v>45923</v>
      </c>
      <c r="M399" s="3">
        <v>45923</v>
      </c>
      <c r="N399" t="s">
        <v>646</v>
      </c>
      <c r="O399" t="s">
        <v>661</v>
      </c>
      <c r="P399" t="s">
        <v>687</v>
      </c>
      <c r="Q399" t="s">
        <v>703</v>
      </c>
      <c r="R399" t="s">
        <v>708</v>
      </c>
      <c r="S399" t="s">
        <v>726</v>
      </c>
      <c r="T399" t="s">
        <v>727</v>
      </c>
      <c r="U399" t="s">
        <v>1130</v>
      </c>
      <c r="V399" s="8">
        <v>1310.3</v>
      </c>
      <c r="W399" s="8">
        <v>2875.8</v>
      </c>
      <c r="X399" s="8">
        <f t="shared" si="19"/>
        <v>815.10700000000008</v>
      </c>
      <c r="Y399" s="8">
        <f t="shared" si="20"/>
        <v>1620.05</v>
      </c>
      <c r="AA399">
        <v>8.3000000000000004E-2</v>
      </c>
      <c r="AB399">
        <f>IF(Table1[[#This Row],[DiscountPct]]&gt;0.2,1,0)</f>
        <v>0</v>
      </c>
      <c r="AC399" s="6">
        <v>5</v>
      </c>
      <c r="AD399" s="8">
        <f>Table1[[#This Row],[UnitPrice]]*Table1[[#This Row],[Quantity]]</f>
        <v>14379</v>
      </c>
      <c r="AE399" s="8">
        <f>Table1[[#This Row],[UnitCost]]*Table1[[#This Row],[Quantity]]</f>
        <v>6551.5</v>
      </c>
      <c r="AF399" s="8">
        <f>Table1[[#This Row],[GrossRevenue]]-Table1[[#This Row],[CostOfGoods]]</f>
        <v>7827.5</v>
      </c>
      <c r="AG399" s="8">
        <f>IF(Table1[[#This Row],[GrossRevenue]]=0,0,Table1[[#This Row],[GrossProfit]]/Table1[[#This Row],[GrossRevenue]])</f>
        <v>0.54437026218791296</v>
      </c>
    </row>
    <row r="400" spans="1:33" hidden="1" x14ac:dyDescent="0.45">
      <c r="A400" t="s">
        <v>413</v>
      </c>
      <c r="C400" s="3">
        <v>45541</v>
      </c>
      <c r="D400" s="3">
        <f>YEAR(Table1[[#This Row],[OrderDate]]) * 100 + MONTH(Table1[[#This Row],[OrderDate]])</f>
        <v>202409</v>
      </c>
      <c r="E400" s="3">
        <f>_xlfn.MINIFS(Table1[OrderMonthKey],Table1[Country],Table1[[#This Row],[Country]])</f>
        <v>202301</v>
      </c>
      <c r="F400" s="3">
        <f>Table1[[#This Row],[CountryFirstMonthKey]]</f>
        <v>202301</v>
      </c>
      <c r="G400" s="3">
        <f>12*(INT(Table1[[#This Row],[OrderMonthKey]]/100)-INT(Table1[[#This Row],[CohortMonthKey]]/100)) + (MOD(Table1[[#This Row],[OrderMonthKey]],100)-MOD(Table1[[#This Row],[CohortMonthKey]],100))</f>
        <v>20</v>
      </c>
      <c r="H400" s="3" t="str">
        <f>TEXT(Table1[[#This Row],[OrderDate]],"MMM-YYYY")</f>
        <v>Sep-2024</v>
      </c>
      <c r="I400" s="3" t="str">
        <f t="shared" si="18"/>
        <v>Q3-2025</v>
      </c>
      <c r="J400" s="3" t="str">
        <f>IF(Table1[[#This Row],[LeadTimeDays]]&lt;=7,"Yes","No")</f>
        <v>No</v>
      </c>
      <c r="K400" s="3">
        <f>_xlfn.DAYS(Table1[[#This Row],[CorrectedRequiredDate]],Table1[[#This Row],[OrderDate]])</f>
        <v>28</v>
      </c>
      <c r="L400" s="3">
        <f>IF(Table1[[#This Row],[RequiredDate]]&lt;Table1[[#This Row],[OrderDate]],Table1[[#This Row],[OrderDate]],Table1[[#This Row],[RequiredDate]])</f>
        <v>45569</v>
      </c>
      <c r="M400" s="3">
        <v>45569</v>
      </c>
      <c r="N400" t="s">
        <v>646</v>
      </c>
      <c r="O400" t="s">
        <v>661</v>
      </c>
      <c r="P400" t="s">
        <v>695</v>
      </c>
      <c r="Q400" t="s">
        <v>701</v>
      </c>
      <c r="R400" t="s">
        <v>709</v>
      </c>
      <c r="S400" t="s">
        <v>726</v>
      </c>
      <c r="T400" t="s">
        <v>732</v>
      </c>
      <c r="U400" t="s">
        <v>1131</v>
      </c>
      <c r="V400" s="8">
        <v>1174.17</v>
      </c>
      <c r="W400" s="8">
        <v>1641.61</v>
      </c>
      <c r="X400" s="8">
        <f t="shared" si="19"/>
        <v>815.10700000000008</v>
      </c>
      <c r="Y400" s="8">
        <f t="shared" si="20"/>
        <v>1620.05</v>
      </c>
      <c r="AA400">
        <v>0.122</v>
      </c>
      <c r="AB400">
        <f>IF(Table1[[#This Row],[DiscountPct]]&gt;0.2,1,0)</f>
        <v>0</v>
      </c>
      <c r="AC400" s="6">
        <v>9</v>
      </c>
      <c r="AD400" s="8">
        <f>Table1[[#This Row],[UnitPrice]]*Table1[[#This Row],[Quantity]]</f>
        <v>14774.49</v>
      </c>
      <c r="AE400" s="8">
        <f>Table1[[#This Row],[UnitCost]]*Table1[[#This Row],[Quantity]]</f>
        <v>10567.53</v>
      </c>
      <c r="AF400" s="8">
        <f>Table1[[#This Row],[GrossRevenue]]-Table1[[#This Row],[CostOfGoods]]</f>
        <v>4206.9599999999991</v>
      </c>
      <c r="AG400" s="8">
        <f>IF(Table1[[#This Row],[GrossRevenue]]=0,0,Table1[[#This Row],[GrossProfit]]/Table1[[#This Row],[GrossRevenue]])</f>
        <v>0.28474485413709705</v>
      </c>
    </row>
    <row r="401" spans="1:33" hidden="1" x14ac:dyDescent="0.45">
      <c r="A401" t="s">
        <v>414</v>
      </c>
      <c r="C401" s="3">
        <v>45759</v>
      </c>
      <c r="D401" s="3">
        <f>YEAR(Table1[[#This Row],[OrderDate]]) * 100 + MONTH(Table1[[#This Row],[OrderDate]])</f>
        <v>202504</v>
      </c>
      <c r="E401" s="3">
        <f>_xlfn.MINIFS(Table1[OrderMonthKey],Table1[Country],Table1[[#This Row],[Country]])</f>
        <v>202301</v>
      </c>
      <c r="F401" s="3">
        <f>Table1[[#This Row],[CountryFirstMonthKey]]</f>
        <v>202301</v>
      </c>
      <c r="G401" s="3">
        <f>12*(INT(Table1[[#This Row],[OrderMonthKey]]/100)-INT(Table1[[#This Row],[CohortMonthKey]]/100)) + (MOD(Table1[[#This Row],[OrderMonthKey]],100)-MOD(Table1[[#This Row],[CohortMonthKey]],100))</f>
        <v>27</v>
      </c>
      <c r="H401" s="3" t="str">
        <f>TEXT(Table1[[#This Row],[OrderDate]],"MMM-YYYY")</f>
        <v>Apr-2025</v>
      </c>
      <c r="I401" s="3" t="str">
        <f t="shared" si="18"/>
        <v>Q3-2024</v>
      </c>
      <c r="J401" s="3" t="str">
        <f>IF(Table1[[#This Row],[LeadTimeDays]]&lt;=7,"Yes","No")</f>
        <v>No</v>
      </c>
      <c r="K401" s="3">
        <f>_xlfn.DAYS(Table1[[#This Row],[CorrectedRequiredDate]],Table1[[#This Row],[OrderDate]])</f>
        <v>18</v>
      </c>
      <c r="L401" s="3">
        <f>IF(Table1[[#This Row],[RequiredDate]]&lt;Table1[[#This Row],[OrderDate]],Table1[[#This Row],[OrderDate]],Table1[[#This Row],[RequiredDate]])</f>
        <v>45777</v>
      </c>
      <c r="M401" s="3">
        <v>45777</v>
      </c>
      <c r="N401" t="s">
        <v>646</v>
      </c>
      <c r="O401" t="s">
        <v>650</v>
      </c>
      <c r="P401" t="s">
        <v>662</v>
      </c>
      <c r="Q401" t="s">
        <v>701</v>
      </c>
      <c r="R401" t="s">
        <v>709</v>
      </c>
      <c r="S401" t="s">
        <v>721</v>
      </c>
      <c r="T401" t="s">
        <v>729</v>
      </c>
      <c r="U401" t="s">
        <v>1132</v>
      </c>
      <c r="V401" s="8">
        <v>1119.04</v>
      </c>
      <c r="W401" s="8">
        <v>1299.02</v>
      </c>
      <c r="X401" s="8">
        <f t="shared" si="19"/>
        <v>815.10700000000008</v>
      </c>
      <c r="Y401" s="8">
        <f t="shared" si="20"/>
        <v>1620.05</v>
      </c>
      <c r="AA401">
        <v>2.5000000000000001E-2</v>
      </c>
      <c r="AB401">
        <f>IF(Table1[[#This Row],[DiscountPct]]&gt;0.2,1,0)</f>
        <v>0</v>
      </c>
      <c r="AC401" s="6">
        <v>14</v>
      </c>
      <c r="AD401" s="8">
        <f>Table1[[#This Row],[UnitPrice]]*Table1[[#This Row],[Quantity]]</f>
        <v>18186.28</v>
      </c>
      <c r="AE401" s="8">
        <f>Table1[[#This Row],[UnitCost]]*Table1[[#This Row],[Quantity]]</f>
        <v>15666.56</v>
      </c>
      <c r="AF401" s="8">
        <f>Table1[[#This Row],[GrossRevenue]]-Table1[[#This Row],[CostOfGoods]]</f>
        <v>2519.7199999999993</v>
      </c>
      <c r="AG401" s="8">
        <f>IF(Table1[[#This Row],[GrossRevenue]]=0,0,Table1[[#This Row],[GrossProfit]]/Table1[[#This Row],[GrossRevenue]])</f>
        <v>0.13855059968283781</v>
      </c>
    </row>
    <row r="402" spans="1:33" hidden="1" x14ac:dyDescent="0.45">
      <c r="A402" t="s">
        <v>415</v>
      </c>
      <c r="C402" s="3">
        <v>45516</v>
      </c>
      <c r="D402" s="3">
        <f>YEAR(Table1[[#This Row],[OrderDate]]) * 100 + MONTH(Table1[[#This Row],[OrderDate]])</f>
        <v>202408</v>
      </c>
      <c r="E402" s="3">
        <f>_xlfn.MINIFS(Table1[OrderMonthKey],Table1[Country],Table1[[#This Row],[Country]])</f>
        <v>202301</v>
      </c>
      <c r="F402" s="3">
        <f>Table1[[#This Row],[CountryFirstMonthKey]]</f>
        <v>202301</v>
      </c>
      <c r="G402" s="3">
        <f>12*(INT(Table1[[#This Row],[OrderMonthKey]]/100)-INT(Table1[[#This Row],[CohortMonthKey]]/100)) + (MOD(Table1[[#This Row],[OrderMonthKey]],100)-MOD(Table1[[#This Row],[CohortMonthKey]],100))</f>
        <v>19</v>
      </c>
      <c r="H402" s="3" t="str">
        <f>TEXT(Table1[[#This Row],[OrderDate]],"MMM-YYYY")</f>
        <v>Aug-2024</v>
      </c>
      <c r="I402" s="3" t="str">
        <f t="shared" si="18"/>
        <v>Q2-2025</v>
      </c>
      <c r="J402" s="3" t="str">
        <f>IF(Table1[[#This Row],[LeadTimeDays]]&lt;=7,"Yes","No")</f>
        <v>Yes</v>
      </c>
      <c r="K402" s="3">
        <f>_xlfn.DAYS(Table1[[#This Row],[CorrectedRequiredDate]],Table1[[#This Row],[OrderDate]])</f>
        <v>3</v>
      </c>
      <c r="L402" s="3">
        <f>IF(Table1[[#This Row],[RequiredDate]]&lt;Table1[[#This Row],[OrderDate]],Table1[[#This Row],[OrderDate]],Table1[[#This Row],[RequiredDate]])</f>
        <v>45519</v>
      </c>
      <c r="M402" s="3">
        <v>45519</v>
      </c>
      <c r="N402" t="s">
        <v>648</v>
      </c>
      <c r="O402" t="s">
        <v>660</v>
      </c>
      <c r="P402" t="s">
        <v>677</v>
      </c>
      <c r="Q402" t="s">
        <v>701</v>
      </c>
      <c r="R402" t="s">
        <v>709</v>
      </c>
      <c r="S402" t="s">
        <v>726</v>
      </c>
      <c r="T402" t="s">
        <v>728</v>
      </c>
      <c r="U402" t="s">
        <v>1133</v>
      </c>
      <c r="V402" s="8">
        <v>850.7</v>
      </c>
      <c r="W402" s="8">
        <v>1118.56</v>
      </c>
      <c r="X402" s="8">
        <f t="shared" si="19"/>
        <v>815.10700000000008</v>
      </c>
      <c r="Y402" s="8">
        <f t="shared" si="20"/>
        <v>1620.05</v>
      </c>
      <c r="AA402">
        <v>0.18</v>
      </c>
      <c r="AB402">
        <f>IF(Table1[[#This Row],[DiscountPct]]&gt;0.2,1,0)</f>
        <v>0</v>
      </c>
      <c r="AC402" s="6">
        <v>19</v>
      </c>
      <c r="AD402" s="8">
        <f>Table1[[#This Row],[UnitPrice]]*Table1[[#This Row],[Quantity]]</f>
        <v>21252.639999999999</v>
      </c>
      <c r="AE402" s="8">
        <f>Table1[[#This Row],[UnitCost]]*Table1[[#This Row],[Quantity]]</f>
        <v>16163.300000000001</v>
      </c>
      <c r="AF402" s="8">
        <f>Table1[[#This Row],[GrossRevenue]]-Table1[[#This Row],[CostOfGoods]]</f>
        <v>5089.3399999999983</v>
      </c>
      <c r="AG402" s="8">
        <f>IF(Table1[[#This Row],[GrossRevenue]]=0,0,Table1[[#This Row],[GrossProfit]]/Table1[[#This Row],[GrossRevenue]])</f>
        <v>0.23946860248891425</v>
      </c>
    </row>
    <row r="403" spans="1:33" x14ac:dyDescent="0.45">
      <c r="A403" t="s">
        <v>416</v>
      </c>
      <c r="B403">
        <v>1</v>
      </c>
      <c r="C403" s="3">
        <v>45601</v>
      </c>
      <c r="D403" s="6">
        <f>YEAR(Table1[[#This Row],[OrderDate]]) * 100 + MONTH(Table1[[#This Row],[OrderDate]])</f>
        <v>202411</v>
      </c>
      <c r="E403" s="6">
        <f>_xlfn.MINIFS(Table1[OrderMonthKey],Table1[Country],Table1[[#This Row],[Country]])</f>
        <v>202301</v>
      </c>
      <c r="F403" s="6">
        <f>Table1[[#This Row],[CountryFirstMonthKey]]</f>
        <v>202301</v>
      </c>
      <c r="G403" s="6">
        <f>12*(INT(Table1[[#This Row],[OrderMonthKey]]/100)-INT(Table1[[#This Row],[CohortMonthKey]]/100)) + (MOD(Table1[[#This Row],[OrderMonthKey]],100)-MOD(Table1[[#This Row],[CohortMonthKey]],100))</f>
        <v>22</v>
      </c>
      <c r="H403" s="3" t="str">
        <f>TEXT(Table1[[#This Row],[OrderDate]],"MMM-YYYY")</f>
        <v>Nov-2024</v>
      </c>
      <c r="I403" s="3" t="str">
        <f t="shared" si="18"/>
        <v>Q3-2024</v>
      </c>
      <c r="J403" s="26" t="str">
        <f>IF(Table1[[#This Row],[LeadTimeDays]]&lt;=7,"Yes","No")</f>
        <v>Yes</v>
      </c>
      <c r="K403" s="6">
        <f>_xlfn.DAYS(Table1[[#This Row],[CorrectedRequiredDate]],Table1[[#This Row],[OrderDate]])</f>
        <v>3</v>
      </c>
      <c r="L403" s="3">
        <f>IF(Table1[[#This Row],[RequiredDate]]&lt;Table1[[#This Row],[OrderDate]],Table1[[#This Row],[OrderDate]],Table1[[#This Row],[RequiredDate]])</f>
        <v>45604</v>
      </c>
      <c r="M403" s="3">
        <v>45604</v>
      </c>
      <c r="N403" t="s">
        <v>648</v>
      </c>
      <c r="O403" t="s">
        <v>653</v>
      </c>
      <c r="P403" t="s">
        <v>667</v>
      </c>
      <c r="Q403" t="s">
        <v>702</v>
      </c>
      <c r="R403" t="s">
        <v>709</v>
      </c>
      <c r="S403" t="s">
        <v>719</v>
      </c>
      <c r="T403" t="s">
        <v>727</v>
      </c>
      <c r="U403" t="s">
        <v>1134</v>
      </c>
      <c r="V403" s="8">
        <v>1020.4</v>
      </c>
      <c r="W403" s="8">
        <v>1184.71</v>
      </c>
      <c r="X403" s="8">
        <f t="shared" si="19"/>
        <v>815.10700000000008</v>
      </c>
      <c r="Y403" s="8">
        <f t="shared" si="20"/>
        <v>1620.05</v>
      </c>
      <c r="Z403" s="8" t="str">
        <f>IF(W402 &lt;= X401, "Low",IF(W402 &lt;= Y402, "Medium", "High"))</f>
        <v>Medium</v>
      </c>
      <c r="AA403">
        <v>0.106</v>
      </c>
      <c r="AB403">
        <f>IF(Table1[[#This Row],[DiscountPct]]&gt;0.2,1,0)</f>
        <v>0</v>
      </c>
      <c r="AC403" s="6">
        <v>16</v>
      </c>
      <c r="AD403" s="8">
        <f>Table1[[#This Row],[UnitPrice]]*Table1[[#This Row],[Quantity]]</f>
        <v>18955.36</v>
      </c>
      <c r="AE403" s="8">
        <f>Table1[[#This Row],[UnitCost]]*Table1[[#This Row],[Quantity]]</f>
        <v>16326.4</v>
      </c>
      <c r="AF403" s="8">
        <f>Table1[[#This Row],[GrossRevenue]]-Table1[[#This Row],[CostOfGoods]]</f>
        <v>2628.9600000000009</v>
      </c>
      <c r="AG403" s="9">
        <f>IF(Table1[[#This Row],[GrossRevenue]]=0,0,Table1[[#This Row],[GrossProfit]]/Table1[[#This Row],[GrossRevenue]])</f>
        <v>0.13869216939166551</v>
      </c>
    </row>
    <row r="404" spans="1:33" hidden="1" x14ac:dyDescent="0.45">
      <c r="A404" t="s">
        <v>417</v>
      </c>
      <c r="C404" s="3">
        <v>45497</v>
      </c>
      <c r="D404" s="3">
        <f>YEAR(Table1[[#This Row],[OrderDate]]) * 100 + MONTH(Table1[[#This Row],[OrderDate]])</f>
        <v>202407</v>
      </c>
      <c r="E404" s="3">
        <f>_xlfn.MINIFS(Table1[OrderMonthKey],Table1[Country],Table1[[#This Row],[Country]])</f>
        <v>202301</v>
      </c>
      <c r="F404" s="3">
        <f>Table1[[#This Row],[CountryFirstMonthKey]]</f>
        <v>202301</v>
      </c>
      <c r="G404" s="3">
        <f>12*(INT(Table1[[#This Row],[OrderMonthKey]]/100)-INT(Table1[[#This Row],[CohortMonthKey]]/100)) + (MOD(Table1[[#This Row],[OrderMonthKey]],100)-MOD(Table1[[#This Row],[CohortMonthKey]],100))</f>
        <v>18</v>
      </c>
      <c r="H404" s="3" t="str">
        <f>TEXT(Table1[[#This Row],[OrderDate]],"MMM-YYYY")</f>
        <v>Jul-2024</v>
      </c>
      <c r="I404" s="3" t="str">
        <f t="shared" si="18"/>
        <v>Q4-2024</v>
      </c>
      <c r="J404" s="3" t="str">
        <f>IF(Table1[[#This Row],[LeadTimeDays]]&lt;=7,"Yes","No")</f>
        <v>No</v>
      </c>
      <c r="K404" s="3">
        <f>_xlfn.DAYS(Table1[[#This Row],[CorrectedRequiredDate]],Table1[[#This Row],[OrderDate]])</f>
        <v>15</v>
      </c>
      <c r="L404" s="3">
        <f>IF(Table1[[#This Row],[RequiredDate]]&lt;Table1[[#This Row],[OrderDate]],Table1[[#This Row],[OrderDate]],Table1[[#This Row],[RequiredDate]])</f>
        <v>45512</v>
      </c>
      <c r="M404" s="3">
        <v>45512</v>
      </c>
      <c r="N404" t="s">
        <v>649</v>
      </c>
      <c r="O404" t="s">
        <v>657</v>
      </c>
      <c r="P404" t="s">
        <v>673</v>
      </c>
      <c r="Q404" t="s">
        <v>706</v>
      </c>
      <c r="R404" t="s">
        <v>709</v>
      </c>
      <c r="S404" t="s">
        <v>722</v>
      </c>
      <c r="T404" t="s">
        <v>731</v>
      </c>
      <c r="U404" t="s">
        <v>1135</v>
      </c>
      <c r="V404" s="8">
        <v>501.5</v>
      </c>
      <c r="W404" s="8">
        <v>1201.47</v>
      </c>
      <c r="X404" s="8">
        <f t="shared" si="19"/>
        <v>815.10700000000008</v>
      </c>
      <c r="Y404" s="8">
        <f t="shared" si="20"/>
        <v>1620.05</v>
      </c>
      <c r="AA404">
        <v>0.126</v>
      </c>
      <c r="AB404">
        <f>IF(Table1[[#This Row],[DiscountPct]]&gt;0.2,1,0)</f>
        <v>0</v>
      </c>
      <c r="AC404" s="6">
        <v>5</v>
      </c>
      <c r="AD404" s="8">
        <f>Table1[[#This Row],[UnitPrice]]*Table1[[#This Row],[Quantity]]</f>
        <v>6007.35</v>
      </c>
      <c r="AE404" s="8">
        <f>Table1[[#This Row],[UnitCost]]*Table1[[#This Row],[Quantity]]</f>
        <v>2507.5</v>
      </c>
      <c r="AF404" s="8">
        <f>Table1[[#This Row],[GrossRevenue]]-Table1[[#This Row],[CostOfGoods]]</f>
        <v>3499.8500000000004</v>
      </c>
      <c r="AG404" s="8">
        <f>IF(Table1[[#This Row],[GrossRevenue]]=0,0,Table1[[#This Row],[GrossProfit]]/Table1[[#This Row],[GrossRevenue]])</f>
        <v>0.58259465488110396</v>
      </c>
    </row>
    <row r="405" spans="1:33" x14ac:dyDescent="0.45">
      <c r="A405" t="s">
        <v>418</v>
      </c>
      <c r="B405">
        <v>1</v>
      </c>
      <c r="C405" s="3">
        <v>45677</v>
      </c>
      <c r="D405" s="6">
        <f>YEAR(Table1[[#This Row],[OrderDate]]) * 100 + MONTH(Table1[[#This Row],[OrderDate]])</f>
        <v>202501</v>
      </c>
      <c r="E405" s="6">
        <f>_xlfn.MINIFS(Table1[OrderMonthKey],Table1[Country],Table1[[#This Row],[Country]])</f>
        <v>202301</v>
      </c>
      <c r="F405" s="6">
        <f>Table1[[#This Row],[CountryFirstMonthKey]]</f>
        <v>202301</v>
      </c>
      <c r="G405" s="6">
        <f>12*(INT(Table1[[#This Row],[OrderMonthKey]]/100)-INT(Table1[[#This Row],[CohortMonthKey]]/100)) + (MOD(Table1[[#This Row],[OrderMonthKey]],100)-MOD(Table1[[#This Row],[CohortMonthKey]],100))</f>
        <v>24</v>
      </c>
      <c r="H405" s="3" t="str">
        <f>TEXT(Table1[[#This Row],[OrderDate]],"MMM-YYYY")</f>
        <v>Jan-2025</v>
      </c>
      <c r="I405" s="3" t="str">
        <f t="shared" si="18"/>
        <v>Q3-2024</v>
      </c>
      <c r="J405" s="26" t="str">
        <f>IF(Table1[[#This Row],[LeadTimeDays]]&lt;=7,"Yes","No")</f>
        <v>No</v>
      </c>
      <c r="K405" s="6">
        <f>_xlfn.DAYS(Table1[[#This Row],[CorrectedRequiredDate]],Table1[[#This Row],[OrderDate]])</f>
        <v>14</v>
      </c>
      <c r="L405" s="3">
        <f>IF(Table1[[#This Row],[RequiredDate]]&lt;Table1[[#This Row],[OrderDate]],Table1[[#This Row],[OrderDate]],Table1[[#This Row],[RequiredDate]])</f>
        <v>45691</v>
      </c>
      <c r="M405" s="3">
        <v>45691</v>
      </c>
      <c r="N405" t="s">
        <v>648</v>
      </c>
      <c r="O405" t="s">
        <v>655</v>
      </c>
      <c r="P405" t="s">
        <v>672</v>
      </c>
      <c r="Q405" t="s">
        <v>706</v>
      </c>
      <c r="R405" t="s">
        <v>709</v>
      </c>
      <c r="S405" t="s">
        <v>721</v>
      </c>
      <c r="T405" t="s">
        <v>727</v>
      </c>
      <c r="U405" t="s">
        <v>1136</v>
      </c>
      <c r="V405" s="8">
        <v>974.11</v>
      </c>
      <c r="W405" s="8">
        <v>880.99</v>
      </c>
      <c r="X405" s="8">
        <f t="shared" si="19"/>
        <v>815.10700000000008</v>
      </c>
      <c r="Y405" s="8">
        <f t="shared" si="20"/>
        <v>1620.05</v>
      </c>
      <c r="Z405" s="8" t="str">
        <f t="shared" ref="Z405:Z410" si="21">IF(W404 &lt;= X403, "Low",IF(W404 &lt;= Y404, "Medium", "High"))</f>
        <v>Medium</v>
      </c>
      <c r="AA405">
        <v>0.111</v>
      </c>
      <c r="AB405">
        <f>IF(Table1[[#This Row],[DiscountPct]]&gt;0.2,1,0)</f>
        <v>0</v>
      </c>
      <c r="AC405" s="6">
        <v>10</v>
      </c>
      <c r="AD405" s="8">
        <f>Table1[[#This Row],[UnitPrice]]*Table1[[#This Row],[Quantity]]</f>
        <v>8809.9</v>
      </c>
      <c r="AE405" s="8">
        <f>Table1[[#This Row],[UnitCost]]*Table1[[#This Row],[Quantity]]</f>
        <v>9741.1</v>
      </c>
      <c r="AF405" s="8">
        <f>Table1[[#This Row],[GrossRevenue]]-Table1[[#This Row],[CostOfGoods]]</f>
        <v>-931.20000000000073</v>
      </c>
      <c r="AG405" s="9">
        <f>IF(Table1[[#This Row],[GrossRevenue]]=0,0,Table1[[#This Row],[GrossProfit]]/Table1[[#This Row],[GrossRevenue]])</f>
        <v>-0.10569927013927521</v>
      </c>
    </row>
    <row r="406" spans="1:33" x14ac:dyDescent="0.45">
      <c r="A406" t="s">
        <v>419</v>
      </c>
      <c r="B406">
        <v>1</v>
      </c>
      <c r="C406" s="3">
        <v>44991</v>
      </c>
      <c r="D406" s="6">
        <f>YEAR(Table1[[#This Row],[OrderDate]]) * 100 + MONTH(Table1[[#This Row],[OrderDate]])</f>
        <v>202303</v>
      </c>
      <c r="E406" s="6">
        <f>_xlfn.MINIFS(Table1[OrderMonthKey],Table1[Country],Table1[[#This Row],[Country]])</f>
        <v>202301</v>
      </c>
      <c r="F406" s="6">
        <f>Table1[[#This Row],[CountryFirstMonthKey]]</f>
        <v>202301</v>
      </c>
      <c r="G406" s="6">
        <f>12*(INT(Table1[[#This Row],[OrderMonthKey]]/100)-INT(Table1[[#This Row],[CohortMonthKey]]/100)) + (MOD(Table1[[#This Row],[OrderMonthKey]],100)-MOD(Table1[[#This Row],[CohortMonthKey]],100))</f>
        <v>2</v>
      </c>
      <c r="H406" s="3" t="str">
        <f>TEXT(Table1[[#This Row],[OrderDate]],"MMM-YYYY")</f>
        <v>Mar-2023</v>
      </c>
      <c r="I406" s="3" t="str">
        <f t="shared" si="18"/>
        <v>Q1-2025</v>
      </c>
      <c r="J406" s="26" t="str">
        <f>IF(Table1[[#This Row],[LeadTimeDays]]&lt;=7,"Yes","No")</f>
        <v>No</v>
      </c>
      <c r="K406" s="6">
        <f>_xlfn.DAYS(Table1[[#This Row],[CorrectedRequiredDate]],Table1[[#This Row],[OrderDate]])</f>
        <v>29</v>
      </c>
      <c r="L406" s="3">
        <f>IF(Table1[[#This Row],[RequiredDate]]&lt;Table1[[#This Row],[OrderDate]],Table1[[#This Row],[OrderDate]],Table1[[#This Row],[RequiredDate]])</f>
        <v>45020</v>
      </c>
      <c r="M406" s="3">
        <v>45020</v>
      </c>
      <c r="N406" t="s">
        <v>647</v>
      </c>
      <c r="O406" t="s">
        <v>659</v>
      </c>
      <c r="P406" t="s">
        <v>699</v>
      </c>
      <c r="Q406" t="s">
        <v>705</v>
      </c>
      <c r="R406" t="s">
        <v>711</v>
      </c>
      <c r="S406" t="s">
        <v>712</v>
      </c>
      <c r="T406" t="s">
        <v>732</v>
      </c>
      <c r="U406" t="s">
        <v>1137</v>
      </c>
      <c r="V406" s="8">
        <v>1126.29</v>
      </c>
      <c r="W406" s="8">
        <v>2050.87</v>
      </c>
      <c r="X406" s="8">
        <f t="shared" si="19"/>
        <v>815.10700000000008</v>
      </c>
      <c r="Y406" s="8">
        <f t="shared" si="20"/>
        <v>1620.05</v>
      </c>
      <c r="Z406" s="8" t="str">
        <f t="shared" si="21"/>
        <v>Medium</v>
      </c>
      <c r="AA406">
        <v>6.4000000000000001E-2</v>
      </c>
      <c r="AB406">
        <f>IF(Table1[[#This Row],[DiscountPct]]&gt;0.2,1,0)</f>
        <v>0</v>
      </c>
      <c r="AC406" s="6">
        <v>7</v>
      </c>
      <c r="AD406" s="8">
        <f>Table1[[#This Row],[UnitPrice]]*Table1[[#This Row],[Quantity]]</f>
        <v>14356.09</v>
      </c>
      <c r="AE406" s="8">
        <f>Table1[[#This Row],[UnitCost]]*Table1[[#This Row],[Quantity]]</f>
        <v>7884.03</v>
      </c>
      <c r="AF406" s="8">
        <f>Table1[[#This Row],[GrossRevenue]]-Table1[[#This Row],[CostOfGoods]]</f>
        <v>6472.06</v>
      </c>
      <c r="AG406" s="9">
        <f>IF(Table1[[#This Row],[GrossRevenue]]=0,0,Table1[[#This Row],[GrossProfit]]/Table1[[#This Row],[GrossRevenue]])</f>
        <v>0.45082330913222196</v>
      </c>
    </row>
    <row r="407" spans="1:33" x14ac:dyDescent="0.45">
      <c r="A407" t="s">
        <v>420</v>
      </c>
      <c r="B407">
        <v>1</v>
      </c>
      <c r="C407" s="3">
        <v>45646</v>
      </c>
      <c r="D407" s="6">
        <f>YEAR(Table1[[#This Row],[OrderDate]]) * 100 + MONTH(Table1[[#This Row],[OrderDate]])</f>
        <v>202412</v>
      </c>
      <c r="E407" s="6">
        <f>_xlfn.MINIFS(Table1[OrderMonthKey],Table1[Country],Table1[[#This Row],[Country]])</f>
        <v>202302</v>
      </c>
      <c r="F407" s="6">
        <f>Table1[[#This Row],[CountryFirstMonthKey]]</f>
        <v>202302</v>
      </c>
      <c r="G407" s="6">
        <f>12*(INT(Table1[[#This Row],[OrderMonthKey]]/100)-INT(Table1[[#This Row],[CohortMonthKey]]/100)) + (MOD(Table1[[#This Row],[OrderMonthKey]],100)-MOD(Table1[[#This Row],[CohortMonthKey]],100))</f>
        <v>22</v>
      </c>
      <c r="H407" s="3" t="str">
        <f>TEXT(Table1[[#This Row],[OrderDate]],"MMM-YYYY")</f>
        <v>Dec-2024</v>
      </c>
      <c r="I407" s="3" t="str">
        <f t="shared" si="18"/>
        <v>Q1-2023</v>
      </c>
      <c r="J407" s="26" t="str">
        <f>IF(Table1[[#This Row],[LeadTimeDays]]&lt;=7,"Yes","No")</f>
        <v>No</v>
      </c>
      <c r="K407" s="6">
        <f>_xlfn.DAYS(Table1[[#This Row],[CorrectedRequiredDate]],Table1[[#This Row],[OrderDate]])</f>
        <v>25</v>
      </c>
      <c r="L407" s="3">
        <f>IF(Table1[[#This Row],[RequiredDate]]&lt;Table1[[#This Row],[OrderDate]],Table1[[#This Row],[OrderDate]],Table1[[#This Row],[RequiredDate]])</f>
        <v>45671</v>
      </c>
      <c r="M407" s="3">
        <v>45671</v>
      </c>
      <c r="N407" t="s">
        <v>647</v>
      </c>
      <c r="O407" t="s">
        <v>654</v>
      </c>
      <c r="P407" t="s">
        <v>680</v>
      </c>
      <c r="Q407" t="s">
        <v>705</v>
      </c>
      <c r="R407" t="s">
        <v>707</v>
      </c>
      <c r="S407" t="s">
        <v>724</v>
      </c>
      <c r="T407" t="s">
        <v>728</v>
      </c>
      <c r="U407" t="s">
        <v>1138</v>
      </c>
      <c r="V407" s="8">
        <v>1361.34</v>
      </c>
      <c r="W407" s="8">
        <v>1737.9</v>
      </c>
      <c r="X407" s="8">
        <f t="shared" si="19"/>
        <v>815.10700000000008</v>
      </c>
      <c r="Y407" s="8">
        <f t="shared" si="20"/>
        <v>1620.05</v>
      </c>
      <c r="Z407" s="8" t="str">
        <f t="shared" si="21"/>
        <v>High</v>
      </c>
      <c r="AA407">
        <v>7.6999999999999999E-2</v>
      </c>
      <c r="AB407">
        <f>IF(Table1[[#This Row],[DiscountPct]]&gt;0.2,1,0)</f>
        <v>0</v>
      </c>
      <c r="AC407" s="6">
        <v>14</v>
      </c>
      <c r="AD407" s="8">
        <f>Table1[[#This Row],[UnitPrice]]*Table1[[#This Row],[Quantity]]</f>
        <v>24330.600000000002</v>
      </c>
      <c r="AE407" s="8">
        <f>Table1[[#This Row],[UnitCost]]*Table1[[#This Row],[Quantity]]</f>
        <v>19058.759999999998</v>
      </c>
      <c r="AF407" s="8">
        <f>Table1[[#This Row],[GrossRevenue]]-Table1[[#This Row],[CostOfGoods]]</f>
        <v>5271.8400000000038</v>
      </c>
      <c r="AG407" s="9">
        <f>IF(Table1[[#This Row],[GrossRevenue]]=0,0,Table1[[#This Row],[GrossProfit]]/Table1[[#This Row],[GrossRevenue]])</f>
        <v>0.21667529777317465</v>
      </c>
    </row>
    <row r="408" spans="1:33" x14ac:dyDescent="0.45">
      <c r="A408" t="s">
        <v>421</v>
      </c>
      <c r="B408">
        <v>1</v>
      </c>
      <c r="C408" s="3">
        <v>45709</v>
      </c>
      <c r="D408" s="6">
        <f>YEAR(Table1[[#This Row],[OrderDate]]) * 100 + MONTH(Table1[[#This Row],[OrderDate]])</f>
        <v>202502</v>
      </c>
      <c r="E408" s="6">
        <f>_xlfn.MINIFS(Table1[OrderMonthKey],Table1[Country],Table1[[#This Row],[Country]])</f>
        <v>202301</v>
      </c>
      <c r="F408" s="6">
        <f>Table1[[#This Row],[CountryFirstMonthKey]]</f>
        <v>202301</v>
      </c>
      <c r="G408" s="6">
        <f>12*(INT(Table1[[#This Row],[OrderMonthKey]]/100)-INT(Table1[[#This Row],[CohortMonthKey]]/100)) + (MOD(Table1[[#This Row],[OrderMonthKey]],100)-MOD(Table1[[#This Row],[CohortMonthKey]],100))</f>
        <v>25</v>
      </c>
      <c r="H408" s="3" t="str">
        <f>TEXT(Table1[[#This Row],[OrderDate]],"MMM-YYYY")</f>
        <v>Feb-2025</v>
      </c>
      <c r="I408" s="3" t="str">
        <f t="shared" si="18"/>
        <v>Q4-2024</v>
      </c>
      <c r="J408" s="26" t="str">
        <f>IF(Table1[[#This Row],[LeadTimeDays]]&lt;=7,"Yes","No")</f>
        <v>No</v>
      </c>
      <c r="K408" s="6">
        <f>_xlfn.DAYS(Table1[[#This Row],[CorrectedRequiredDate]],Table1[[#This Row],[OrderDate]])</f>
        <v>28</v>
      </c>
      <c r="L408" s="3">
        <f>IF(Table1[[#This Row],[RequiredDate]]&lt;Table1[[#This Row],[OrderDate]],Table1[[#This Row],[OrderDate]],Table1[[#This Row],[RequiredDate]])</f>
        <v>45737</v>
      </c>
      <c r="M408" s="3">
        <v>45737</v>
      </c>
      <c r="N408" t="s">
        <v>646</v>
      </c>
      <c r="O408" t="s">
        <v>651</v>
      </c>
      <c r="P408" t="s">
        <v>669</v>
      </c>
      <c r="Q408" t="s">
        <v>706</v>
      </c>
      <c r="R408" t="s">
        <v>709</v>
      </c>
      <c r="S408" t="s">
        <v>714</v>
      </c>
      <c r="T408" t="s">
        <v>730</v>
      </c>
      <c r="U408" t="s">
        <v>1139</v>
      </c>
      <c r="V408" s="8">
        <v>1437.39</v>
      </c>
      <c r="W408" s="8">
        <v>1388.31</v>
      </c>
      <c r="X408" s="8">
        <f t="shared" si="19"/>
        <v>815.10700000000008</v>
      </c>
      <c r="Y408" s="8">
        <f t="shared" si="20"/>
        <v>1620.05</v>
      </c>
      <c r="Z408" s="8" t="str">
        <f t="shared" si="21"/>
        <v>High</v>
      </c>
      <c r="AA408">
        <v>0.13800000000000001</v>
      </c>
      <c r="AB408">
        <f>IF(Table1[[#This Row],[DiscountPct]]&gt;0.2,1,0)</f>
        <v>0</v>
      </c>
      <c r="AC408" s="6">
        <v>18</v>
      </c>
      <c r="AD408" s="8">
        <f>Table1[[#This Row],[UnitPrice]]*Table1[[#This Row],[Quantity]]</f>
        <v>24989.579999999998</v>
      </c>
      <c r="AE408" s="8">
        <f>Table1[[#This Row],[UnitCost]]*Table1[[#This Row],[Quantity]]</f>
        <v>25873.02</v>
      </c>
      <c r="AF408" s="8">
        <f>Table1[[#This Row],[GrossRevenue]]-Table1[[#This Row],[CostOfGoods]]</f>
        <v>-883.44000000000233</v>
      </c>
      <c r="AG408" s="9">
        <f>IF(Table1[[#This Row],[GrossRevenue]]=0,0,Table1[[#This Row],[GrossProfit]]/Table1[[#This Row],[GrossRevenue]])</f>
        <v>-3.5352334853166897E-2</v>
      </c>
    </row>
    <row r="409" spans="1:33" x14ac:dyDescent="0.45">
      <c r="A409" t="s">
        <v>422</v>
      </c>
      <c r="B409">
        <v>1</v>
      </c>
      <c r="C409" s="3">
        <v>45724</v>
      </c>
      <c r="D409" s="6">
        <f>YEAR(Table1[[#This Row],[OrderDate]]) * 100 + MONTH(Table1[[#This Row],[OrderDate]])</f>
        <v>202503</v>
      </c>
      <c r="E409" s="6">
        <f>_xlfn.MINIFS(Table1[OrderMonthKey],Table1[Country],Table1[[#This Row],[Country]])</f>
        <v>202302</v>
      </c>
      <c r="F409" s="6">
        <f>Table1[[#This Row],[CountryFirstMonthKey]]</f>
        <v>202302</v>
      </c>
      <c r="G409" s="6">
        <f>12*(INT(Table1[[#This Row],[OrderMonthKey]]/100)-INT(Table1[[#This Row],[CohortMonthKey]]/100)) + (MOD(Table1[[#This Row],[OrderMonthKey]],100)-MOD(Table1[[#This Row],[CohortMonthKey]],100))</f>
        <v>25</v>
      </c>
      <c r="H409" s="3" t="str">
        <f>TEXT(Table1[[#This Row],[OrderDate]],"MMM-YYYY")</f>
        <v>Mar-2025</v>
      </c>
      <c r="I409" s="3" t="str">
        <f t="shared" si="18"/>
        <v>Q1-2025</v>
      </c>
      <c r="J409" s="26" t="str">
        <f>IF(Table1[[#This Row],[LeadTimeDays]]&lt;=7,"Yes","No")</f>
        <v>Yes</v>
      </c>
      <c r="K409" s="6">
        <f>_xlfn.DAYS(Table1[[#This Row],[CorrectedRequiredDate]],Table1[[#This Row],[OrderDate]])</f>
        <v>7</v>
      </c>
      <c r="L409" s="3">
        <f>IF(Table1[[#This Row],[RequiredDate]]&lt;Table1[[#This Row],[OrderDate]],Table1[[#This Row],[OrderDate]],Table1[[#This Row],[RequiredDate]])</f>
        <v>45731</v>
      </c>
      <c r="M409" s="3">
        <v>45731</v>
      </c>
      <c r="N409" t="s">
        <v>647</v>
      </c>
      <c r="O409" t="s">
        <v>654</v>
      </c>
      <c r="P409" t="s">
        <v>1421</v>
      </c>
      <c r="Q409" t="s">
        <v>701</v>
      </c>
      <c r="R409" t="s">
        <v>710</v>
      </c>
      <c r="S409" t="s">
        <v>723</v>
      </c>
      <c r="T409" t="s">
        <v>731</v>
      </c>
      <c r="U409" t="s">
        <v>1140</v>
      </c>
      <c r="V409" s="8">
        <v>475.66</v>
      </c>
      <c r="W409" s="8">
        <v>529.14</v>
      </c>
      <c r="X409" s="8">
        <f t="shared" si="19"/>
        <v>815.10700000000008</v>
      </c>
      <c r="Y409" s="8">
        <f t="shared" si="20"/>
        <v>1620.05</v>
      </c>
      <c r="Z409" s="8" t="str">
        <f t="shared" si="21"/>
        <v>Medium</v>
      </c>
      <c r="AA409">
        <v>0.19600000000000001</v>
      </c>
      <c r="AB409">
        <f>IF(Table1[[#This Row],[DiscountPct]]&gt;0.2,1,0)</f>
        <v>0</v>
      </c>
      <c r="AC409" s="6">
        <v>11</v>
      </c>
      <c r="AD409" s="8">
        <f>Table1[[#This Row],[UnitPrice]]*Table1[[#This Row],[Quantity]]</f>
        <v>5820.54</v>
      </c>
      <c r="AE409" s="8">
        <f>Table1[[#This Row],[UnitCost]]*Table1[[#This Row],[Quantity]]</f>
        <v>5232.26</v>
      </c>
      <c r="AF409" s="8">
        <f>Table1[[#This Row],[GrossRevenue]]-Table1[[#This Row],[CostOfGoods]]</f>
        <v>588.27999999999975</v>
      </c>
      <c r="AG409" s="9">
        <f>IF(Table1[[#This Row],[GrossRevenue]]=0,0,Table1[[#This Row],[GrossProfit]]/Table1[[#This Row],[GrossRevenue]])</f>
        <v>0.10106966020334879</v>
      </c>
    </row>
    <row r="410" spans="1:33" x14ac:dyDescent="0.45">
      <c r="A410" t="s">
        <v>423</v>
      </c>
      <c r="B410">
        <v>1</v>
      </c>
      <c r="C410" s="3">
        <v>45276</v>
      </c>
      <c r="D410" s="6">
        <f>YEAR(Table1[[#This Row],[OrderDate]]) * 100 + MONTH(Table1[[#This Row],[OrderDate]])</f>
        <v>202312</v>
      </c>
      <c r="E410" s="6">
        <f>_xlfn.MINIFS(Table1[OrderMonthKey],Table1[Country],Table1[[#This Row],[Country]])</f>
        <v>202301</v>
      </c>
      <c r="F410" s="6">
        <f>Table1[[#This Row],[CountryFirstMonthKey]]</f>
        <v>202301</v>
      </c>
      <c r="G410" s="6">
        <f>12*(INT(Table1[[#This Row],[OrderMonthKey]]/100)-INT(Table1[[#This Row],[CohortMonthKey]]/100)) + (MOD(Table1[[#This Row],[OrderMonthKey]],100)-MOD(Table1[[#This Row],[CohortMonthKey]],100))</f>
        <v>11</v>
      </c>
      <c r="H410" s="3" t="str">
        <f>TEXT(Table1[[#This Row],[OrderDate]],"MMM-YYYY")</f>
        <v>Dec-2023</v>
      </c>
      <c r="I410" s="3" t="str">
        <f t="shared" si="18"/>
        <v>Q1-2025</v>
      </c>
      <c r="J410" s="26" t="str">
        <f>IF(Table1[[#This Row],[LeadTimeDays]]&lt;=7,"Yes","No")</f>
        <v>Yes</v>
      </c>
      <c r="K410" s="6">
        <f>_xlfn.DAYS(Table1[[#This Row],[CorrectedRequiredDate]],Table1[[#This Row],[OrderDate]])</f>
        <v>3</v>
      </c>
      <c r="L410" s="3">
        <f>IF(Table1[[#This Row],[RequiredDate]]&lt;Table1[[#This Row],[OrderDate]],Table1[[#This Row],[OrderDate]],Table1[[#This Row],[RequiredDate]])</f>
        <v>45279</v>
      </c>
      <c r="M410" s="3">
        <v>45279</v>
      </c>
      <c r="N410" t="s">
        <v>647</v>
      </c>
      <c r="O410" t="s">
        <v>659</v>
      </c>
      <c r="P410" t="s">
        <v>699</v>
      </c>
      <c r="Q410" t="s">
        <v>702</v>
      </c>
      <c r="R410" t="s">
        <v>707</v>
      </c>
      <c r="S410" t="s">
        <v>720</v>
      </c>
      <c r="T410" t="s">
        <v>733</v>
      </c>
      <c r="U410" t="s">
        <v>1141</v>
      </c>
      <c r="V410" s="8">
        <v>1415.05</v>
      </c>
      <c r="W410" s="8">
        <v>1972.38</v>
      </c>
      <c r="X410" s="8">
        <f t="shared" si="19"/>
        <v>815.10700000000008</v>
      </c>
      <c r="Y410" s="8">
        <f t="shared" si="20"/>
        <v>1620.05</v>
      </c>
      <c r="Z410" s="8" t="str">
        <f t="shared" si="21"/>
        <v>Low</v>
      </c>
      <c r="AA410">
        <v>0</v>
      </c>
      <c r="AB410">
        <f>IF(Table1[[#This Row],[DiscountPct]]&gt;0.2,1,0)</f>
        <v>0</v>
      </c>
      <c r="AC410" s="6">
        <v>12</v>
      </c>
      <c r="AD410" s="8">
        <f>Table1[[#This Row],[UnitPrice]]*Table1[[#This Row],[Quantity]]</f>
        <v>23668.560000000001</v>
      </c>
      <c r="AE410" s="8">
        <f>Table1[[#This Row],[UnitCost]]*Table1[[#This Row],[Quantity]]</f>
        <v>16980.599999999999</v>
      </c>
      <c r="AF410" s="8">
        <f>Table1[[#This Row],[GrossRevenue]]-Table1[[#This Row],[CostOfGoods]]</f>
        <v>6687.9600000000028</v>
      </c>
      <c r="AG410" s="9">
        <f>IF(Table1[[#This Row],[GrossRevenue]]=0,0,Table1[[#This Row],[GrossProfit]]/Table1[[#This Row],[GrossRevenue]])</f>
        <v>0.28256725377462771</v>
      </c>
    </row>
    <row r="411" spans="1:33" hidden="1" x14ac:dyDescent="0.45">
      <c r="A411" t="s">
        <v>424</v>
      </c>
      <c r="C411" s="3">
        <v>45534</v>
      </c>
      <c r="D411" s="3">
        <f>YEAR(Table1[[#This Row],[OrderDate]]) * 100 + MONTH(Table1[[#This Row],[OrderDate]])</f>
        <v>202408</v>
      </c>
      <c r="E411" s="3">
        <f>_xlfn.MINIFS(Table1[OrderMonthKey],Table1[Country],Table1[[#This Row],[Country]])</f>
        <v>202303</v>
      </c>
      <c r="F411" s="3">
        <f>Table1[[#This Row],[CountryFirstMonthKey]]</f>
        <v>202303</v>
      </c>
      <c r="G411" s="3">
        <f>12*(INT(Table1[[#This Row],[OrderMonthKey]]/100)-INT(Table1[[#This Row],[CohortMonthKey]]/100)) + (MOD(Table1[[#This Row],[OrderMonthKey]],100)-MOD(Table1[[#This Row],[CohortMonthKey]],100))</f>
        <v>17</v>
      </c>
      <c r="H411" s="3" t="str">
        <f>TEXT(Table1[[#This Row],[OrderDate]],"MMM-YYYY")</f>
        <v>Aug-2024</v>
      </c>
      <c r="I411" s="3" t="str">
        <f t="shared" si="18"/>
        <v>Q4-2023</v>
      </c>
      <c r="J411" s="3" t="str">
        <f>IF(Table1[[#This Row],[LeadTimeDays]]&lt;=7,"Yes","No")</f>
        <v>Yes</v>
      </c>
      <c r="K411" s="3">
        <f>_xlfn.DAYS(Table1[[#This Row],[CorrectedRequiredDate]],Table1[[#This Row],[OrderDate]])</f>
        <v>6</v>
      </c>
      <c r="L411" s="3">
        <f>IF(Table1[[#This Row],[RequiredDate]]&lt;Table1[[#This Row],[OrderDate]],Table1[[#This Row],[OrderDate]],Table1[[#This Row],[RequiredDate]])</f>
        <v>45540</v>
      </c>
      <c r="M411" s="3">
        <v>45540</v>
      </c>
      <c r="N411" t="s">
        <v>647</v>
      </c>
      <c r="O411" t="s">
        <v>652</v>
      </c>
      <c r="P411" t="s">
        <v>694</v>
      </c>
      <c r="Q411" t="s">
        <v>702</v>
      </c>
      <c r="R411" t="s">
        <v>708</v>
      </c>
      <c r="S411" t="s">
        <v>725</v>
      </c>
      <c r="T411" t="s">
        <v>731</v>
      </c>
      <c r="U411" t="s">
        <v>1142</v>
      </c>
      <c r="V411" s="8">
        <v>466.16</v>
      </c>
      <c r="W411" s="8">
        <v>876.81</v>
      </c>
      <c r="X411" s="8">
        <f t="shared" si="19"/>
        <v>815.10700000000008</v>
      </c>
      <c r="Y411" s="8">
        <f t="shared" si="20"/>
        <v>1620.05</v>
      </c>
      <c r="AA411">
        <v>0.24099999999999999</v>
      </c>
      <c r="AB411">
        <f>IF(Table1[[#This Row],[DiscountPct]]&gt;0.2,1,0)</f>
        <v>1</v>
      </c>
      <c r="AC411" s="6">
        <v>8</v>
      </c>
      <c r="AD411" s="8">
        <f>Table1[[#This Row],[UnitPrice]]*Table1[[#This Row],[Quantity]]</f>
        <v>7014.48</v>
      </c>
      <c r="AE411" s="8">
        <f>Table1[[#This Row],[UnitCost]]*Table1[[#This Row],[Quantity]]</f>
        <v>3729.28</v>
      </c>
      <c r="AF411" s="8">
        <f>Table1[[#This Row],[GrossRevenue]]-Table1[[#This Row],[CostOfGoods]]</f>
        <v>3285.1999999999994</v>
      </c>
      <c r="AG411" s="8">
        <f>IF(Table1[[#This Row],[GrossRevenue]]=0,0,Table1[[#This Row],[GrossProfit]]/Table1[[#This Row],[GrossRevenue]])</f>
        <v>0.46834547963640921</v>
      </c>
    </row>
    <row r="412" spans="1:33" hidden="1" x14ac:dyDescent="0.45">
      <c r="A412" t="s">
        <v>425</v>
      </c>
      <c r="C412" s="3">
        <v>45430</v>
      </c>
      <c r="D412" s="3">
        <f>YEAR(Table1[[#This Row],[OrderDate]]) * 100 + MONTH(Table1[[#This Row],[OrderDate]])</f>
        <v>202405</v>
      </c>
      <c r="E412" s="3">
        <f>_xlfn.MINIFS(Table1[OrderMonthKey],Table1[Country],Table1[[#This Row],[Country]])</f>
        <v>202301</v>
      </c>
      <c r="F412" s="3">
        <f>Table1[[#This Row],[CountryFirstMonthKey]]</f>
        <v>202301</v>
      </c>
      <c r="G412" s="3">
        <f>12*(INT(Table1[[#This Row],[OrderMonthKey]]/100)-INT(Table1[[#This Row],[CohortMonthKey]]/100)) + (MOD(Table1[[#This Row],[OrderMonthKey]],100)-MOD(Table1[[#This Row],[CohortMonthKey]],100))</f>
        <v>16</v>
      </c>
      <c r="H412" s="3" t="str">
        <f>TEXT(Table1[[#This Row],[OrderDate]],"MMM-YYYY")</f>
        <v>May-2024</v>
      </c>
      <c r="I412" s="3" t="str">
        <f t="shared" si="18"/>
        <v>Q3-2024</v>
      </c>
      <c r="J412" s="3" t="str">
        <f>IF(Table1[[#This Row],[LeadTimeDays]]&lt;=7,"Yes","No")</f>
        <v>Yes</v>
      </c>
      <c r="K412" s="3">
        <f>_xlfn.DAYS(Table1[[#This Row],[CorrectedRequiredDate]],Table1[[#This Row],[OrderDate]])</f>
        <v>3</v>
      </c>
      <c r="L412" s="3">
        <f>IF(Table1[[#This Row],[RequiredDate]]&lt;Table1[[#This Row],[OrderDate]],Table1[[#This Row],[OrderDate]],Table1[[#This Row],[RequiredDate]])</f>
        <v>45433</v>
      </c>
      <c r="M412" s="3">
        <v>45433</v>
      </c>
      <c r="N412" t="s">
        <v>649</v>
      </c>
      <c r="O412" t="s">
        <v>657</v>
      </c>
      <c r="P412" t="s">
        <v>673</v>
      </c>
      <c r="Q412" t="s">
        <v>703</v>
      </c>
      <c r="R412" t="s">
        <v>709</v>
      </c>
      <c r="S412" t="s">
        <v>726</v>
      </c>
      <c r="T412" t="s">
        <v>728</v>
      </c>
      <c r="U412" t="s">
        <v>1143</v>
      </c>
      <c r="V412" s="8">
        <v>663.66</v>
      </c>
      <c r="W412" s="8">
        <v>824.26</v>
      </c>
      <c r="X412" s="8">
        <f t="shared" si="19"/>
        <v>815.10700000000008</v>
      </c>
      <c r="Y412" s="8">
        <f t="shared" si="20"/>
        <v>1620.05</v>
      </c>
      <c r="AA412">
        <v>0.23899999999999999</v>
      </c>
      <c r="AB412">
        <f>IF(Table1[[#This Row],[DiscountPct]]&gt;0.2,1,0)</f>
        <v>1</v>
      </c>
      <c r="AC412" s="6">
        <v>11</v>
      </c>
      <c r="AD412" s="8">
        <f>Table1[[#This Row],[UnitPrice]]*Table1[[#This Row],[Quantity]]</f>
        <v>9066.86</v>
      </c>
      <c r="AE412" s="8">
        <f>Table1[[#This Row],[UnitCost]]*Table1[[#This Row],[Quantity]]</f>
        <v>7300.2599999999993</v>
      </c>
      <c r="AF412" s="8">
        <f>Table1[[#This Row],[GrossRevenue]]-Table1[[#This Row],[CostOfGoods]]</f>
        <v>1766.6000000000013</v>
      </c>
      <c r="AG412" s="8">
        <f>IF(Table1[[#This Row],[GrossRevenue]]=0,0,Table1[[#This Row],[GrossProfit]]/Table1[[#This Row],[GrossRevenue]])</f>
        <v>0.19484143352825578</v>
      </c>
    </row>
    <row r="413" spans="1:33" hidden="1" x14ac:dyDescent="0.45">
      <c r="A413" t="s">
        <v>426</v>
      </c>
      <c r="C413" s="3">
        <v>45002</v>
      </c>
      <c r="D413" s="3">
        <f>YEAR(Table1[[#This Row],[OrderDate]]) * 100 + MONTH(Table1[[#This Row],[OrderDate]])</f>
        <v>202303</v>
      </c>
      <c r="E413" s="3">
        <f>_xlfn.MINIFS(Table1[OrderMonthKey],Table1[Country],Table1[[#This Row],[Country]])</f>
        <v>202301</v>
      </c>
      <c r="F413" s="3">
        <f>Table1[[#This Row],[CountryFirstMonthKey]]</f>
        <v>202301</v>
      </c>
      <c r="G413" s="3">
        <f>12*(INT(Table1[[#This Row],[OrderMonthKey]]/100)-INT(Table1[[#This Row],[CohortMonthKey]]/100)) + (MOD(Table1[[#This Row],[OrderMonthKey]],100)-MOD(Table1[[#This Row],[CohortMonthKey]],100))</f>
        <v>2</v>
      </c>
      <c r="H413" s="3" t="str">
        <f>TEXT(Table1[[#This Row],[OrderDate]],"MMM-YYYY")</f>
        <v>Mar-2023</v>
      </c>
      <c r="I413" s="3" t="str">
        <f t="shared" si="18"/>
        <v>Q2-2024</v>
      </c>
      <c r="J413" s="3" t="str">
        <f>IF(Table1[[#This Row],[LeadTimeDays]]&lt;=7,"Yes","No")</f>
        <v>No</v>
      </c>
      <c r="K413" s="3">
        <f>_xlfn.DAYS(Table1[[#This Row],[CorrectedRequiredDate]],Table1[[#This Row],[OrderDate]])</f>
        <v>20</v>
      </c>
      <c r="L413" s="3">
        <f>IF(Table1[[#This Row],[RequiredDate]]&lt;Table1[[#This Row],[OrderDate]],Table1[[#This Row],[OrderDate]],Table1[[#This Row],[RequiredDate]])</f>
        <v>45022</v>
      </c>
      <c r="M413" s="3">
        <v>45022</v>
      </c>
      <c r="N413" t="s">
        <v>649</v>
      </c>
      <c r="O413" t="s">
        <v>656</v>
      </c>
      <c r="P413" t="s">
        <v>684</v>
      </c>
      <c r="Q413" t="s">
        <v>704</v>
      </c>
      <c r="R413" t="s">
        <v>707</v>
      </c>
      <c r="S413" t="s">
        <v>719</v>
      </c>
      <c r="T413" t="s">
        <v>730</v>
      </c>
      <c r="U413" t="s">
        <v>1144</v>
      </c>
      <c r="V413" s="8">
        <v>692.18</v>
      </c>
      <c r="W413" s="8">
        <v>1159.3499999999999</v>
      </c>
      <c r="X413" s="8">
        <f t="shared" si="19"/>
        <v>815.10700000000008</v>
      </c>
      <c r="Y413" s="8">
        <f t="shared" si="20"/>
        <v>1620.05</v>
      </c>
      <c r="AA413">
        <v>0.112</v>
      </c>
      <c r="AB413">
        <f>IF(Table1[[#This Row],[DiscountPct]]&gt;0.2,1,0)</f>
        <v>0</v>
      </c>
      <c r="AC413" s="6">
        <v>2</v>
      </c>
      <c r="AD413" s="8">
        <f>Table1[[#This Row],[UnitPrice]]*Table1[[#This Row],[Quantity]]</f>
        <v>2318.6999999999998</v>
      </c>
      <c r="AE413" s="8">
        <f>Table1[[#This Row],[UnitCost]]*Table1[[#This Row],[Quantity]]</f>
        <v>1384.36</v>
      </c>
      <c r="AF413" s="8">
        <f>Table1[[#This Row],[GrossRevenue]]-Table1[[#This Row],[CostOfGoods]]</f>
        <v>934.33999999999992</v>
      </c>
      <c r="AG413" s="8">
        <f>IF(Table1[[#This Row],[GrossRevenue]]=0,0,Table1[[#This Row],[GrossProfit]]/Table1[[#This Row],[GrossRevenue]])</f>
        <v>0.40295855436235822</v>
      </c>
    </row>
    <row r="414" spans="1:33" x14ac:dyDescent="0.45">
      <c r="A414" t="s">
        <v>427</v>
      </c>
      <c r="B414">
        <v>1</v>
      </c>
      <c r="C414" s="3">
        <v>45163</v>
      </c>
      <c r="D414" s="6">
        <f>YEAR(Table1[[#This Row],[OrderDate]]) * 100 + MONTH(Table1[[#This Row],[OrderDate]])</f>
        <v>202308</v>
      </c>
      <c r="E414" s="6">
        <f>_xlfn.MINIFS(Table1[OrderMonthKey],Table1[Country],Table1[[#This Row],[Country]])</f>
        <v>202301</v>
      </c>
      <c r="F414" s="6">
        <f>Table1[[#This Row],[CountryFirstMonthKey]]</f>
        <v>202301</v>
      </c>
      <c r="G414" s="6">
        <f>12*(INT(Table1[[#This Row],[OrderMonthKey]]/100)-INT(Table1[[#This Row],[CohortMonthKey]]/100)) + (MOD(Table1[[#This Row],[OrderMonthKey]],100)-MOD(Table1[[#This Row],[CohortMonthKey]],100))</f>
        <v>7</v>
      </c>
      <c r="H414" s="3" t="str">
        <f>TEXT(Table1[[#This Row],[OrderDate]],"MMM-YYYY")</f>
        <v>Aug-2023</v>
      </c>
      <c r="I414" s="3" t="str">
        <f t="shared" si="18"/>
        <v>Q1-2023</v>
      </c>
      <c r="J414" s="26" t="str">
        <f>IF(Table1[[#This Row],[LeadTimeDays]]&lt;=7,"Yes","No")</f>
        <v>No</v>
      </c>
      <c r="K414" s="6">
        <f>_xlfn.DAYS(Table1[[#This Row],[CorrectedRequiredDate]],Table1[[#This Row],[OrderDate]])</f>
        <v>22</v>
      </c>
      <c r="L414" s="3">
        <f>IF(Table1[[#This Row],[RequiredDate]]&lt;Table1[[#This Row],[OrderDate]],Table1[[#This Row],[OrderDate]],Table1[[#This Row],[RequiredDate]])</f>
        <v>45185</v>
      </c>
      <c r="M414" s="3">
        <v>45185</v>
      </c>
      <c r="N414" t="s">
        <v>646</v>
      </c>
      <c r="O414" t="s">
        <v>651</v>
      </c>
      <c r="P414" t="s">
        <v>669</v>
      </c>
      <c r="Q414" t="s">
        <v>701</v>
      </c>
      <c r="R414" t="s">
        <v>709</v>
      </c>
      <c r="S414" t="s">
        <v>716</v>
      </c>
      <c r="T414" t="s">
        <v>730</v>
      </c>
      <c r="U414" t="s">
        <v>1145</v>
      </c>
      <c r="V414" s="8">
        <v>1196.83</v>
      </c>
      <c r="W414" s="8">
        <v>2513.5100000000002</v>
      </c>
      <c r="X414" s="8">
        <f t="shared" si="19"/>
        <v>815.10700000000008</v>
      </c>
      <c r="Y414" s="8">
        <f t="shared" si="20"/>
        <v>1620.05</v>
      </c>
      <c r="Z414" s="8" t="str">
        <f t="shared" ref="Z414:Z419" si="22">IF(W413 &lt;= X412, "Low",IF(W413 &lt;= Y413, "Medium", "High"))</f>
        <v>Medium</v>
      </c>
      <c r="AA414">
        <v>8.3000000000000004E-2</v>
      </c>
      <c r="AB414">
        <f>IF(Table1[[#This Row],[DiscountPct]]&gt;0.2,1,0)</f>
        <v>0</v>
      </c>
      <c r="AC414" s="6">
        <v>7</v>
      </c>
      <c r="AD414" s="8">
        <f>Table1[[#This Row],[UnitPrice]]*Table1[[#This Row],[Quantity]]</f>
        <v>17594.57</v>
      </c>
      <c r="AE414" s="8">
        <f>Table1[[#This Row],[UnitCost]]*Table1[[#This Row],[Quantity]]</f>
        <v>8377.81</v>
      </c>
      <c r="AF414" s="8">
        <f>Table1[[#This Row],[GrossRevenue]]-Table1[[#This Row],[CostOfGoods]]</f>
        <v>9216.76</v>
      </c>
      <c r="AG414" s="9">
        <f>IF(Table1[[#This Row],[GrossRevenue]]=0,0,Table1[[#This Row],[GrossProfit]]/Table1[[#This Row],[GrossRevenue]])</f>
        <v>0.52384116235861411</v>
      </c>
    </row>
    <row r="415" spans="1:33" x14ac:dyDescent="0.45">
      <c r="A415" t="s">
        <v>428</v>
      </c>
      <c r="B415">
        <v>1</v>
      </c>
      <c r="C415" s="3">
        <v>45449</v>
      </c>
      <c r="D415" s="6">
        <f>YEAR(Table1[[#This Row],[OrderDate]]) * 100 + MONTH(Table1[[#This Row],[OrderDate]])</f>
        <v>202406</v>
      </c>
      <c r="E415" s="6">
        <f>_xlfn.MINIFS(Table1[OrderMonthKey],Table1[Country],Table1[[#This Row],[Country]])</f>
        <v>202302</v>
      </c>
      <c r="F415" s="6">
        <f>Table1[[#This Row],[CountryFirstMonthKey]]</f>
        <v>202302</v>
      </c>
      <c r="G415" s="6">
        <f>12*(INT(Table1[[#This Row],[OrderMonthKey]]/100)-INT(Table1[[#This Row],[CohortMonthKey]]/100)) + (MOD(Table1[[#This Row],[OrderMonthKey]],100)-MOD(Table1[[#This Row],[CohortMonthKey]],100))</f>
        <v>16</v>
      </c>
      <c r="H415" s="3" t="str">
        <f>TEXT(Table1[[#This Row],[OrderDate]],"MMM-YYYY")</f>
        <v>Jun-2024</v>
      </c>
      <c r="I415" s="3" t="str">
        <f t="shared" si="18"/>
        <v>Q3-2023</v>
      </c>
      <c r="J415" s="26" t="str">
        <f>IF(Table1[[#This Row],[LeadTimeDays]]&lt;=7,"Yes","No")</f>
        <v>No</v>
      </c>
      <c r="K415" s="6">
        <f>_xlfn.DAYS(Table1[[#This Row],[CorrectedRequiredDate]],Table1[[#This Row],[OrderDate]])</f>
        <v>18</v>
      </c>
      <c r="L415" s="3">
        <f>IF(Table1[[#This Row],[RequiredDate]]&lt;Table1[[#This Row],[OrderDate]],Table1[[#This Row],[OrderDate]],Table1[[#This Row],[RequiredDate]])</f>
        <v>45467</v>
      </c>
      <c r="M415" s="3">
        <v>45467</v>
      </c>
      <c r="N415" t="s">
        <v>647</v>
      </c>
      <c r="O415" t="s">
        <v>654</v>
      </c>
      <c r="P415" t="s">
        <v>668</v>
      </c>
      <c r="Q415" t="s">
        <v>705</v>
      </c>
      <c r="R415" t="s">
        <v>711</v>
      </c>
      <c r="S415" t="s">
        <v>722</v>
      </c>
      <c r="T415" t="s">
        <v>729</v>
      </c>
      <c r="U415" t="s">
        <v>1146</v>
      </c>
      <c r="V415" s="8">
        <v>1253.25</v>
      </c>
      <c r="W415" s="8">
        <v>3087.13</v>
      </c>
      <c r="X415" s="8">
        <f t="shared" si="19"/>
        <v>815.10700000000008</v>
      </c>
      <c r="Y415" s="8">
        <f t="shared" si="20"/>
        <v>1620.05</v>
      </c>
      <c r="Z415" s="8" t="str">
        <f t="shared" si="22"/>
        <v>High</v>
      </c>
      <c r="AA415">
        <v>7.1999999999999995E-2</v>
      </c>
      <c r="AB415">
        <f>IF(Table1[[#This Row],[DiscountPct]]&gt;0.2,1,0)</f>
        <v>0</v>
      </c>
      <c r="AC415" s="6">
        <v>11</v>
      </c>
      <c r="AD415" s="8">
        <f>Table1[[#This Row],[UnitPrice]]*Table1[[#This Row],[Quantity]]</f>
        <v>33958.43</v>
      </c>
      <c r="AE415" s="8">
        <f>Table1[[#This Row],[UnitCost]]*Table1[[#This Row],[Quantity]]</f>
        <v>13785.75</v>
      </c>
      <c r="AF415" s="8">
        <f>Table1[[#This Row],[GrossRevenue]]-Table1[[#This Row],[CostOfGoods]]</f>
        <v>20172.68</v>
      </c>
      <c r="AG415" s="9">
        <f>IF(Table1[[#This Row],[GrossRevenue]]=0,0,Table1[[#This Row],[GrossProfit]]/Table1[[#This Row],[GrossRevenue]])</f>
        <v>0.59404041941868335</v>
      </c>
    </row>
    <row r="416" spans="1:33" x14ac:dyDescent="0.45">
      <c r="A416" t="s">
        <v>429</v>
      </c>
      <c r="B416">
        <v>1</v>
      </c>
      <c r="C416" s="3">
        <v>45167</v>
      </c>
      <c r="D416" s="6">
        <f>YEAR(Table1[[#This Row],[OrderDate]]) * 100 + MONTH(Table1[[#This Row],[OrderDate]])</f>
        <v>202308</v>
      </c>
      <c r="E416" s="6">
        <f>_xlfn.MINIFS(Table1[OrderMonthKey],Table1[Country],Table1[[#This Row],[Country]])</f>
        <v>202301</v>
      </c>
      <c r="F416" s="6">
        <f>Table1[[#This Row],[CountryFirstMonthKey]]</f>
        <v>202301</v>
      </c>
      <c r="G416" s="6">
        <f>12*(INT(Table1[[#This Row],[OrderMonthKey]]/100)-INT(Table1[[#This Row],[CohortMonthKey]]/100)) + (MOD(Table1[[#This Row],[OrderMonthKey]],100)-MOD(Table1[[#This Row],[CohortMonthKey]],100))</f>
        <v>7</v>
      </c>
      <c r="H416" s="3" t="str">
        <f>TEXT(Table1[[#This Row],[OrderDate]],"MMM-YYYY")</f>
        <v>Aug-2023</v>
      </c>
      <c r="I416" s="3" t="str">
        <f t="shared" si="18"/>
        <v>Q2-2024</v>
      </c>
      <c r="J416" s="26" t="str">
        <f>IF(Table1[[#This Row],[LeadTimeDays]]&lt;=7,"Yes","No")</f>
        <v>No</v>
      </c>
      <c r="K416" s="6">
        <f>_xlfn.DAYS(Table1[[#This Row],[CorrectedRequiredDate]],Table1[[#This Row],[OrderDate]])</f>
        <v>15</v>
      </c>
      <c r="L416" s="3">
        <f>IF(Table1[[#This Row],[RequiredDate]]&lt;Table1[[#This Row],[OrderDate]],Table1[[#This Row],[OrderDate]],Table1[[#This Row],[RequiredDate]])</f>
        <v>45182</v>
      </c>
      <c r="M416" s="3">
        <v>45182</v>
      </c>
      <c r="N416" t="s">
        <v>648</v>
      </c>
      <c r="O416" t="s">
        <v>653</v>
      </c>
      <c r="P416" t="s">
        <v>688</v>
      </c>
      <c r="Q416" t="s">
        <v>705</v>
      </c>
      <c r="R416" t="s">
        <v>709</v>
      </c>
      <c r="S416" t="s">
        <v>719</v>
      </c>
      <c r="T416" t="s">
        <v>728</v>
      </c>
      <c r="U416" t="s">
        <v>1147</v>
      </c>
      <c r="V416" s="8">
        <v>1287.6400000000001</v>
      </c>
      <c r="W416" s="8">
        <v>2717.15</v>
      </c>
      <c r="X416" s="8">
        <f t="shared" si="19"/>
        <v>815.10700000000008</v>
      </c>
      <c r="Y416" s="8">
        <f t="shared" si="20"/>
        <v>1620.05</v>
      </c>
      <c r="Z416" s="8" t="str">
        <f t="shared" si="22"/>
        <v>High</v>
      </c>
      <c r="AA416">
        <v>3.2000000000000001E-2</v>
      </c>
      <c r="AB416">
        <f>IF(Table1[[#This Row],[DiscountPct]]&gt;0.2,1,0)</f>
        <v>0</v>
      </c>
      <c r="AC416" s="6">
        <v>7</v>
      </c>
      <c r="AD416" s="8">
        <f>Table1[[#This Row],[UnitPrice]]*Table1[[#This Row],[Quantity]]</f>
        <v>19020.05</v>
      </c>
      <c r="AE416" s="8">
        <f>Table1[[#This Row],[UnitCost]]*Table1[[#This Row],[Quantity]]</f>
        <v>9013.4800000000014</v>
      </c>
      <c r="AF416" s="8">
        <f>Table1[[#This Row],[GrossRevenue]]-Table1[[#This Row],[CostOfGoods]]</f>
        <v>10006.569999999998</v>
      </c>
      <c r="AG416" s="9">
        <f>IF(Table1[[#This Row],[GrossRevenue]]=0,0,Table1[[#This Row],[GrossProfit]]/Table1[[#This Row],[GrossRevenue]])</f>
        <v>0.5261063982481643</v>
      </c>
    </row>
    <row r="417" spans="1:33" x14ac:dyDescent="0.45">
      <c r="A417" t="s">
        <v>430</v>
      </c>
      <c r="B417">
        <v>1</v>
      </c>
      <c r="C417" s="3">
        <v>45626</v>
      </c>
      <c r="D417" s="6">
        <f>YEAR(Table1[[#This Row],[OrderDate]]) * 100 + MONTH(Table1[[#This Row],[OrderDate]])</f>
        <v>202411</v>
      </c>
      <c r="E417" s="6">
        <f>_xlfn.MINIFS(Table1[OrderMonthKey],Table1[Country],Table1[[#This Row],[Country]])</f>
        <v>202302</v>
      </c>
      <c r="F417" s="6">
        <f>Table1[[#This Row],[CountryFirstMonthKey]]</f>
        <v>202302</v>
      </c>
      <c r="G417" s="6">
        <f>12*(INT(Table1[[#This Row],[OrderMonthKey]]/100)-INT(Table1[[#This Row],[CohortMonthKey]]/100)) + (MOD(Table1[[#This Row],[OrderMonthKey]],100)-MOD(Table1[[#This Row],[CohortMonthKey]],100))</f>
        <v>21</v>
      </c>
      <c r="H417" s="3" t="str">
        <f>TEXT(Table1[[#This Row],[OrderDate]],"MMM-YYYY")</f>
        <v>Nov-2024</v>
      </c>
      <c r="I417" s="3" t="str">
        <f t="shared" si="18"/>
        <v>Q3-2023</v>
      </c>
      <c r="J417" s="26" t="str">
        <f>IF(Table1[[#This Row],[LeadTimeDays]]&lt;=7,"Yes","No")</f>
        <v>No</v>
      </c>
      <c r="K417" s="6">
        <f>_xlfn.DAYS(Table1[[#This Row],[CorrectedRequiredDate]],Table1[[#This Row],[OrderDate]])</f>
        <v>10</v>
      </c>
      <c r="L417" s="3">
        <f>IF(Table1[[#This Row],[RequiredDate]]&lt;Table1[[#This Row],[OrderDate]],Table1[[#This Row],[OrderDate]],Table1[[#This Row],[RequiredDate]])</f>
        <v>45636</v>
      </c>
      <c r="M417" s="3">
        <v>45636</v>
      </c>
      <c r="N417" t="s">
        <v>647</v>
      </c>
      <c r="O417" t="s">
        <v>654</v>
      </c>
      <c r="P417" t="s">
        <v>696</v>
      </c>
      <c r="Q417" t="s">
        <v>705</v>
      </c>
      <c r="R417" t="s">
        <v>707</v>
      </c>
      <c r="S417" t="s">
        <v>721</v>
      </c>
      <c r="T417" t="s">
        <v>733</v>
      </c>
      <c r="U417" t="s">
        <v>1148</v>
      </c>
      <c r="V417" s="8">
        <v>851.49</v>
      </c>
      <c r="W417" s="8">
        <v>901.79</v>
      </c>
      <c r="X417" s="8">
        <f t="shared" si="19"/>
        <v>815.10700000000008</v>
      </c>
      <c r="Y417" s="8">
        <f t="shared" si="20"/>
        <v>1620.05</v>
      </c>
      <c r="Z417" s="8" t="str">
        <f t="shared" si="22"/>
        <v>High</v>
      </c>
      <c r="AA417">
        <v>0.245</v>
      </c>
      <c r="AB417">
        <f>IF(Table1[[#This Row],[DiscountPct]]&gt;0.2,1,0)</f>
        <v>1</v>
      </c>
      <c r="AC417" s="6">
        <v>16</v>
      </c>
      <c r="AD417" s="8">
        <f>Table1[[#This Row],[UnitPrice]]*Table1[[#This Row],[Quantity]]</f>
        <v>14428.64</v>
      </c>
      <c r="AE417" s="8">
        <f>Table1[[#This Row],[UnitCost]]*Table1[[#This Row],[Quantity]]</f>
        <v>13623.84</v>
      </c>
      <c r="AF417" s="8">
        <f>Table1[[#This Row],[GrossRevenue]]-Table1[[#This Row],[CostOfGoods]]</f>
        <v>804.79999999999927</v>
      </c>
      <c r="AG417" s="9">
        <f>IF(Table1[[#This Row],[GrossRevenue]]=0,0,Table1[[#This Row],[GrossProfit]]/Table1[[#This Row],[GrossRevenue]])</f>
        <v>5.5777952738442382E-2</v>
      </c>
    </row>
    <row r="418" spans="1:33" x14ac:dyDescent="0.45">
      <c r="A418" t="s">
        <v>431</v>
      </c>
      <c r="B418">
        <v>1</v>
      </c>
      <c r="C418" s="3">
        <v>45813</v>
      </c>
      <c r="D418" s="6">
        <f>YEAR(Table1[[#This Row],[OrderDate]]) * 100 + MONTH(Table1[[#This Row],[OrderDate]])</f>
        <v>202506</v>
      </c>
      <c r="E418" s="6">
        <f>_xlfn.MINIFS(Table1[OrderMonthKey],Table1[Country],Table1[[#This Row],[Country]])</f>
        <v>202302</v>
      </c>
      <c r="F418" s="6">
        <f>Table1[[#This Row],[CountryFirstMonthKey]]</f>
        <v>202302</v>
      </c>
      <c r="G418" s="6">
        <f>12*(INT(Table1[[#This Row],[OrderMonthKey]]/100)-INT(Table1[[#This Row],[CohortMonthKey]]/100)) + (MOD(Table1[[#This Row],[OrderMonthKey]],100)-MOD(Table1[[#This Row],[CohortMonthKey]],100))</f>
        <v>28</v>
      </c>
      <c r="H418" s="3" t="str">
        <f>TEXT(Table1[[#This Row],[OrderDate]],"MMM-YYYY")</f>
        <v>Jun-2025</v>
      </c>
      <c r="I418" s="3" t="str">
        <f t="shared" si="18"/>
        <v>Q4-2024</v>
      </c>
      <c r="J418" s="26" t="str">
        <f>IF(Table1[[#This Row],[LeadTimeDays]]&lt;=7,"Yes","No")</f>
        <v>No</v>
      </c>
      <c r="K418" s="6">
        <f>_xlfn.DAYS(Table1[[#This Row],[CorrectedRequiredDate]],Table1[[#This Row],[OrderDate]])</f>
        <v>9</v>
      </c>
      <c r="L418" s="3">
        <f>IF(Table1[[#This Row],[RequiredDate]]&lt;Table1[[#This Row],[OrderDate]],Table1[[#This Row],[OrderDate]],Table1[[#This Row],[RequiredDate]])</f>
        <v>45822</v>
      </c>
      <c r="M418" s="3">
        <v>45822</v>
      </c>
      <c r="N418" t="s">
        <v>647</v>
      </c>
      <c r="O418" t="s">
        <v>654</v>
      </c>
      <c r="P418" t="s">
        <v>680</v>
      </c>
      <c r="Q418" t="s">
        <v>703</v>
      </c>
      <c r="R418" t="s">
        <v>707</v>
      </c>
      <c r="S418" t="s">
        <v>720</v>
      </c>
      <c r="T418" t="s">
        <v>733</v>
      </c>
      <c r="U418" t="s">
        <v>1149</v>
      </c>
      <c r="V418" s="8">
        <v>618.69000000000005</v>
      </c>
      <c r="W418" s="8">
        <v>796.15</v>
      </c>
      <c r="X418" s="8">
        <f t="shared" si="19"/>
        <v>815.10700000000008</v>
      </c>
      <c r="Y418" s="8">
        <f t="shared" si="20"/>
        <v>1620.05</v>
      </c>
      <c r="Z418" s="8" t="str">
        <f t="shared" si="22"/>
        <v>Medium</v>
      </c>
      <c r="AA418">
        <v>0.09</v>
      </c>
      <c r="AB418">
        <f>IF(Table1[[#This Row],[DiscountPct]]&gt;0.2,1,0)</f>
        <v>0</v>
      </c>
      <c r="AC418" s="6">
        <v>11</v>
      </c>
      <c r="AD418" s="8">
        <f>Table1[[#This Row],[UnitPrice]]*Table1[[#This Row],[Quantity]]</f>
        <v>8757.65</v>
      </c>
      <c r="AE418" s="8">
        <f>Table1[[#This Row],[UnitCost]]*Table1[[#This Row],[Quantity]]</f>
        <v>6805.59</v>
      </c>
      <c r="AF418" s="8">
        <f>Table1[[#This Row],[GrossRevenue]]-Table1[[#This Row],[CostOfGoods]]</f>
        <v>1952.0599999999995</v>
      </c>
      <c r="AG418" s="9">
        <f>IF(Table1[[#This Row],[GrossRevenue]]=0,0,Table1[[#This Row],[GrossProfit]]/Table1[[#This Row],[GrossRevenue]])</f>
        <v>0.22289769515794758</v>
      </c>
    </row>
    <row r="419" spans="1:33" x14ac:dyDescent="0.45">
      <c r="A419" t="s">
        <v>432</v>
      </c>
      <c r="B419">
        <v>1</v>
      </c>
      <c r="C419" s="3">
        <v>45730</v>
      </c>
      <c r="D419" s="6">
        <f>YEAR(Table1[[#This Row],[OrderDate]]) * 100 + MONTH(Table1[[#This Row],[OrderDate]])</f>
        <v>202503</v>
      </c>
      <c r="E419" s="6">
        <f>_xlfn.MINIFS(Table1[OrderMonthKey],Table1[Country],Table1[[#This Row],[Country]])</f>
        <v>202301</v>
      </c>
      <c r="F419" s="6">
        <f>Table1[[#This Row],[CountryFirstMonthKey]]</f>
        <v>202301</v>
      </c>
      <c r="G419" s="6">
        <f>12*(INT(Table1[[#This Row],[OrderMonthKey]]/100)-INT(Table1[[#This Row],[CohortMonthKey]]/100)) + (MOD(Table1[[#This Row],[OrderMonthKey]],100)-MOD(Table1[[#This Row],[CohortMonthKey]],100))</f>
        <v>26</v>
      </c>
      <c r="H419" s="3" t="str">
        <f>TEXT(Table1[[#This Row],[OrderDate]],"MMM-YYYY")</f>
        <v>Mar-2025</v>
      </c>
      <c r="I419" s="3" t="str">
        <f t="shared" si="18"/>
        <v>Q2-2025</v>
      </c>
      <c r="J419" s="26" t="str">
        <f>IF(Table1[[#This Row],[LeadTimeDays]]&lt;=7,"Yes","No")</f>
        <v>No</v>
      </c>
      <c r="K419" s="6">
        <f>_xlfn.DAYS(Table1[[#This Row],[CorrectedRequiredDate]],Table1[[#This Row],[OrderDate]])</f>
        <v>25</v>
      </c>
      <c r="L419" s="3">
        <f>IF(Table1[[#This Row],[RequiredDate]]&lt;Table1[[#This Row],[OrderDate]],Table1[[#This Row],[OrderDate]],Table1[[#This Row],[RequiredDate]])</f>
        <v>45755</v>
      </c>
      <c r="M419" s="3">
        <v>45755</v>
      </c>
      <c r="N419" t="s">
        <v>647</v>
      </c>
      <c r="O419" t="s">
        <v>659</v>
      </c>
      <c r="P419" t="s">
        <v>699</v>
      </c>
      <c r="Q419" t="s">
        <v>701</v>
      </c>
      <c r="R419" t="s">
        <v>710</v>
      </c>
      <c r="S419" t="s">
        <v>726</v>
      </c>
      <c r="T419" t="s">
        <v>728</v>
      </c>
      <c r="U419" t="s">
        <v>1150</v>
      </c>
      <c r="V419" s="8">
        <v>80.59</v>
      </c>
      <c r="W419" s="8">
        <v>157.82</v>
      </c>
      <c r="X419" s="8">
        <f t="shared" si="19"/>
        <v>815.10700000000008</v>
      </c>
      <c r="Y419" s="8">
        <f t="shared" si="20"/>
        <v>1620.05</v>
      </c>
      <c r="Z419" s="8" t="str">
        <f t="shared" si="22"/>
        <v>Low</v>
      </c>
      <c r="AA419">
        <v>0.217</v>
      </c>
      <c r="AB419">
        <f>IF(Table1[[#This Row],[DiscountPct]]&gt;0.2,1,0)</f>
        <v>1</v>
      </c>
      <c r="AC419" s="6">
        <v>6</v>
      </c>
      <c r="AD419" s="8">
        <f>Table1[[#This Row],[UnitPrice]]*Table1[[#This Row],[Quantity]]</f>
        <v>946.92</v>
      </c>
      <c r="AE419" s="8">
        <f>Table1[[#This Row],[UnitCost]]*Table1[[#This Row],[Quantity]]</f>
        <v>483.54</v>
      </c>
      <c r="AF419" s="8">
        <f>Table1[[#This Row],[GrossRevenue]]-Table1[[#This Row],[CostOfGoods]]</f>
        <v>463.37999999999994</v>
      </c>
      <c r="AG419" s="9">
        <f>IF(Table1[[#This Row],[GrossRevenue]]=0,0,Table1[[#This Row],[GrossProfit]]/Table1[[#This Row],[GrossRevenue]])</f>
        <v>0.48935496134837153</v>
      </c>
    </row>
    <row r="420" spans="1:33" hidden="1" x14ac:dyDescent="0.45">
      <c r="A420" t="s">
        <v>433</v>
      </c>
      <c r="C420" s="3">
        <v>45307</v>
      </c>
      <c r="D420" s="3">
        <f>YEAR(Table1[[#This Row],[OrderDate]]) * 100 + MONTH(Table1[[#This Row],[OrderDate]])</f>
        <v>202401</v>
      </c>
      <c r="E420" s="3">
        <f>_xlfn.MINIFS(Table1[OrderMonthKey],Table1[Country],Table1[[#This Row],[Country]])</f>
        <v>202301</v>
      </c>
      <c r="F420" s="3">
        <f>Table1[[#This Row],[CountryFirstMonthKey]]</f>
        <v>202301</v>
      </c>
      <c r="G420" s="3">
        <f>12*(INT(Table1[[#This Row],[OrderMonthKey]]/100)-INT(Table1[[#This Row],[CohortMonthKey]]/100)) + (MOD(Table1[[#This Row],[OrderMonthKey]],100)-MOD(Table1[[#This Row],[CohortMonthKey]],100))</f>
        <v>12</v>
      </c>
      <c r="H420" s="3" t="str">
        <f>TEXT(Table1[[#This Row],[OrderDate]],"MMM-YYYY")</f>
        <v>Jan-2024</v>
      </c>
      <c r="I420" s="3" t="str">
        <f t="shared" si="18"/>
        <v>Q1-2025</v>
      </c>
      <c r="J420" s="3" t="str">
        <f>IF(Table1[[#This Row],[LeadTimeDays]]&lt;=7,"Yes","No")</f>
        <v>No</v>
      </c>
      <c r="K420" s="3">
        <f>_xlfn.DAYS(Table1[[#This Row],[CorrectedRequiredDate]],Table1[[#This Row],[OrderDate]])</f>
        <v>26</v>
      </c>
      <c r="L420" s="3">
        <f>IF(Table1[[#This Row],[RequiredDate]]&lt;Table1[[#This Row],[OrderDate]],Table1[[#This Row],[OrderDate]],Table1[[#This Row],[RequiredDate]])</f>
        <v>45333</v>
      </c>
      <c r="M420" s="3">
        <v>45333</v>
      </c>
      <c r="N420" t="s">
        <v>649</v>
      </c>
      <c r="O420" t="s">
        <v>656</v>
      </c>
      <c r="P420" t="s">
        <v>698</v>
      </c>
      <c r="Q420" t="s">
        <v>703</v>
      </c>
      <c r="R420" t="s">
        <v>710</v>
      </c>
      <c r="S420" t="s">
        <v>718</v>
      </c>
      <c r="T420" t="s">
        <v>732</v>
      </c>
      <c r="U420" t="s">
        <v>1151</v>
      </c>
      <c r="V420" s="8">
        <v>504.93</v>
      </c>
      <c r="W420" s="8">
        <v>819.06</v>
      </c>
      <c r="X420" s="8">
        <f t="shared" si="19"/>
        <v>815.10700000000008</v>
      </c>
      <c r="Y420" s="8">
        <f t="shared" si="20"/>
        <v>1620.05</v>
      </c>
      <c r="AA420">
        <v>0.22600000000000001</v>
      </c>
      <c r="AB420">
        <f>IF(Table1[[#This Row],[DiscountPct]]&gt;0.2,1,0)</f>
        <v>1</v>
      </c>
      <c r="AC420" s="6">
        <v>15</v>
      </c>
      <c r="AD420" s="8">
        <f>Table1[[#This Row],[UnitPrice]]*Table1[[#This Row],[Quantity]]</f>
        <v>12285.9</v>
      </c>
      <c r="AE420" s="8">
        <f>Table1[[#This Row],[UnitCost]]*Table1[[#This Row],[Quantity]]</f>
        <v>7573.95</v>
      </c>
      <c r="AF420" s="8">
        <f>Table1[[#This Row],[GrossRevenue]]-Table1[[#This Row],[CostOfGoods]]</f>
        <v>4711.95</v>
      </c>
      <c r="AG420" s="8">
        <f>IF(Table1[[#This Row],[GrossRevenue]]=0,0,Table1[[#This Row],[GrossProfit]]/Table1[[#This Row],[GrossRevenue]])</f>
        <v>0.38352501648230897</v>
      </c>
    </row>
    <row r="421" spans="1:33" hidden="1" x14ac:dyDescent="0.45">
      <c r="A421" t="s">
        <v>434</v>
      </c>
      <c r="C421" s="3">
        <v>45211</v>
      </c>
      <c r="D421" s="3">
        <f>YEAR(Table1[[#This Row],[OrderDate]]) * 100 + MONTH(Table1[[#This Row],[OrderDate]])</f>
        <v>202310</v>
      </c>
      <c r="E421" s="3">
        <f>_xlfn.MINIFS(Table1[OrderMonthKey],Table1[Country],Table1[[#This Row],[Country]])</f>
        <v>202303</v>
      </c>
      <c r="F421" s="3">
        <f>Table1[[#This Row],[CountryFirstMonthKey]]</f>
        <v>202303</v>
      </c>
      <c r="G421" s="3">
        <f>12*(INT(Table1[[#This Row],[OrderMonthKey]]/100)-INT(Table1[[#This Row],[CohortMonthKey]]/100)) + (MOD(Table1[[#This Row],[OrderMonthKey]],100)-MOD(Table1[[#This Row],[CohortMonthKey]],100))</f>
        <v>7</v>
      </c>
      <c r="H421" s="3" t="str">
        <f>TEXT(Table1[[#This Row],[OrderDate]],"MMM-YYYY")</f>
        <v>Oct-2023</v>
      </c>
      <c r="I421" s="3" t="str">
        <f t="shared" si="18"/>
        <v>Q1-2024</v>
      </c>
      <c r="J421" s="3" t="str">
        <f>IF(Table1[[#This Row],[LeadTimeDays]]&lt;=7,"Yes","No")</f>
        <v>No</v>
      </c>
      <c r="K421" s="3">
        <f>_xlfn.DAYS(Table1[[#This Row],[CorrectedRequiredDate]],Table1[[#This Row],[OrderDate]])</f>
        <v>17</v>
      </c>
      <c r="L421" s="3">
        <f>IF(Table1[[#This Row],[RequiredDate]]&lt;Table1[[#This Row],[OrderDate]],Table1[[#This Row],[OrderDate]],Table1[[#This Row],[RequiredDate]])</f>
        <v>45228</v>
      </c>
      <c r="M421" s="3">
        <v>45228</v>
      </c>
      <c r="N421" t="s">
        <v>647</v>
      </c>
      <c r="O421" t="s">
        <v>652</v>
      </c>
      <c r="P421" t="s">
        <v>694</v>
      </c>
      <c r="Q421" t="s">
        <v>703</v>
      </c>
      <c r="R421" t="s">
        <v>711</v>
      </c>
      <c r="S421" t="s">
        <v>722</v>
      </c>
      <c r="T421" t="s">
        <v>730</v>
      </c>
      <c r="U421" t="s">
        <v>1152</v>
      </c>
      <c r="V421" s="8">
        <v>1102.19</v>
      </c>
      <c r="W421" s="8">
        <v>1711.16</v>
      </c>
      <c r="X421" s="8">
        <f t="shared" si="19"/>
        <v>815.10700000000008</v>
      </c>
      <c r="Y421" s="8">
        <f t="shared" si="20"/>
        <v>1620.05</v>
      </c>
      <c r="AA421">
        <v>0.151</v>
      </c>
      <c r="AB421">
        <f>IF(Table1[[#This Row],[DiscountPct]]&gt;0.2,1,0)</f>
        <v>0</v>
      </c>
      <c r="AC421" s="6">
        <v>10</v>
      </c>
      <c r="AD421" s="8">
        <f>Table1[[#This Row],[UnitPrice]]*Table1[[#This Row],[Quantity]]</f>
        <v>17111.600000000002</v>
      </c>
      <c r="AE421" s="8">
        <f>Table1[[#This Row],[UnitCost]]*Table1[[#This Row],[Quantity]]</f>
        <v>11021.900000000001</v>
      </c>
      <c r="AF421" s="8">
        <f>Table1[[#This Row],[GrossRevenue]]-Table1[[#This Row],[CostOfGoods]]</f>
        <v>6089.7000000000007</v>
      </c>
      <c r="AG421" s="8">
        <f>IF(Table1[[#This Row],[GrossRevenue]]=0,0,Table1[[#This Row],[GrossProfit]]/Table1[[#This Row],[GrossRevenue]])</f>
        <v>0.3558813904018327</v>
      </c>
    </row>
    <row r="422" spans="1:33" hidden="1" x14ac:dyDescent="0.45">
      <c r="A422" t="s">
        <v>435</v>
      </c>
      <c r="C422" s="3">
        <v>45713</v>
      </c>
      <c r="D422" s="3">
        <f>YEAR(Table1[[#This Row],[OrderDate]]) * 100 + MONTH(Table1[[#This Row],[OrderDate]])</f>
        <v>202502</v>
      </c>
      <c r="E422" s="3">
        <f>_xlfn.MINIFS(Table1[OrderMonthKey],Table1[Country],Table1[[#This Row],[Country]])</f>
        <v>202301</v>
      </c>
      <c r="F422" s="3">
        <f>Table1[[#This Row],[CountryFirstMonthKey]]</f>
        <v>202301</v>
      </c>
      <c r="G422" s="3">
        <f>12*(INT(Table1[[#This Row],[OrderMonthKey]]/100)-INT(Table1[[#This Row],[CohortMonthKey]]/100)) + (MOD(Table1[[#This Row],[OrderMonthKey]],100)-MOD(Table1[[#This Row],[CohortMonthKey]],100))</f>
        <v>25</v>
      </c>
      <c r="H422" s="3" t="str">
        <f>TEXT(Table1[[#This Row],[OrderDate]],"MMM-YYYY")</f>
        <v>Feb-2025</v>
      </c>
      <c r="I422" s="3" t="str">
        <f t="shared" si="18"/>
        <v>Q4-2023</v>
      </c>
      <c r="J422" s="3" t="str">
        <f>IF(Table1[[#This Row],[LeadTimeDays]]&lt;=7,"Yes","No")</f>
        <v>No</v>
      </c>
      <c r="K422" s="3">
        <f>_xlfn.DAYS(Table1[[#This Row],[CorrectedRequiredDate]],Table1[[#This Row],[OrderDate]])</f>
        <v>20</v>
      </c>
      <c r="L422" s="3">
        <f>IF(Table1[[#This Row],[RequiredDate]]&lt;Table1[[#This Row],[OrderDate]],Table1[[#This Row],[OrderDate]],Table1[[#This Row],[RequiredDate]])</f>
        <v>45733</v>
      </c>
      <c r="M422" s="3">
        <v>45733</v>
      </c>
      <c r="N422" t="s">
        <v>648</v>
      </c>
      <c r="O422" t="s">
        <v>660</v>
      </c>
      <c r="P422" t="s">
        <v>686</v>
      </c>
      <c r="Q422" t="s">
        <v>703</v>
      </c>
      <c r="R422" t="s">
        <v>709</v>
      </c>
      <c r="S422" t="s">
        <v>722</v>
      </c>
      <c r="T422" t="s">
        <v>730</v>
      </c>
      <c r="U422" t="s">
        <v>1153</v>
      </c>
      <c r="V422" s="8">
        <v>1205.26</v>
      </c>
      <c r="W422" s="8">
        <v>1696.35</v>
      </c>
      <c r="X422" s="8">
        <f t="shared" si="19"/>
        <v>815.10700000000008</v>
      </c>
      <c r="Y422" s="8">
        <f t="shared" si="20"/>
        <v>1620.05</v>
      </c>
      <c r="AA422">
        <v>1.9E-2</v>
      </c>
      <c r="AB422">
        <f>IF(Table1[[#This Row],[DiscountPct]]&gt;0.2,1,0)</f>
        <v>0</v>
      </c>
      <c r="AC422" s="6">
        <v>6</v>
      </c>
      <c r="AD422" s="8">
        <f>Table1[[#This Row],[UnitPrice]]*Table1[[#This Row],[Quantity]]</f>
        <v>10178.099999999999</v>
      </c>
      <c r="AE422" s="8">
        <f>Table1[[#This Row],[UnitCost]]*Table1[[#This Row],[Quantity]]</f>
        <v>7231.5599999999995</v>
      </c>
      <c r="AF422" s="8">
        <f>Table1[[#This Row],[GrossRevenue]]-Table1[[#This Row],[CostOfGoods]]</f>
        <v>2946.5399999999991</v>
      </c>
      <c r="AG422" s="8">
        <f>IF(Table1[[#This Row],[GrossRevenue]]=0,0,Table1[[#This Row],[GrossProfit]]/Table1[[#This Row],[GrossRevenue]])</f>
        <v>0.2894980399092168</v>
      </c>
    </row>
    <row r="423" spans="1:33" x14ac:dyDescent="0.45">
      <c r="A423" t="s">
        <v>436</v>
      </c>
      <c r="B423">
        <v>1</v>
      </c>
      <c r="C423" s="3">
        <v>45841</v>
      </c>
      <c r="D423" s="6">
        <f>YEAR(Table1[[#This Row],[OrderDate]]) * 100 + MONTH(Table1[[#This Row],[OrderDate]])</f>
        <v>202507</v>
      </c>
      <c r="E423" s="6">
        <f>_xlfn.MINIFS(Table1[OrderMonthKey],Table1[Country],Table1[[#This Row],[Country]])</f>
        <v>202301</v>
      </c>
      <c r="F423" s="6">
        <f>Table1[[#This Row],[CountryFirstMonthKey]]</f>
        <v>202301</v>
      </c>
      <c r="G423" s="6">
        <f>12*(INT(Table1[[#This Row],[OrderMonthKey]]/100)-INT(Table1[[#This Row],[CohortMonthKey]]/100)) + (MOD(Table1[[#This Row],[OrderMonthKey]],100)-MOD(Table1[[#This Row],[CohortMonthKey]],100))</f>
        <v>30</v>
      </c>
      <c r="H423" s="3" t="str">
        <f>TEXT(Table1[[#This Row],[OrderDate]],"MMM-YYYY")</f>
        <v>Jul-2025</v>
      </c>
      <c r="I423" s="3" t="str">
        <f t="shared" si="18"/>
        <v>Q1-2025</v>
      </c>
      <c r="J423" s="26" t="str">
        <f>IF(Table1[[#This Row],[LeadTimeDays]]&lt;=7,"Yes","No")</f>
        <v>Yes</v>
      </c>
      <c r="K423" s="6">
        <f>_xlfn.DAYS(Table1[[#This Row],[CorrectedRequiredDate]],Table1[[#This Row],[OrderDate]])</f>
        <v>3</v>
      </c>
      <c r="L423" s="3">
        <f>IF(Table1[[#This Row],[RequiredDate]]&lt;Table1[[#This Row],[OrderDate]],Table1[[#This Row],[OrderDate]],Table1[[#This Row],[RequiredDate]])</f>
        <v>45844</v>
      </c>
      <c r="M423" s="3">
        <v>45844</v>
      </c>
      <c r="N423" t="s">
        <v>646</v>
      </c>
      <c r="O423" t="s">
        <v>651</v>
      </c>
      <c r="P423" t="s">
        <v>665</v>
      </c>
      <c r="Q423" t="s">
        <v>704</v>
      </c>
      <c r="R423" t="s">
        <v>708</v>
      </c>
      <c r="T423" t="s">
        <v>731</v>
      </c>
      <c r="U423" t="s">
        <v>1154</v>
      </c>
      <c r="V423" s="8">
        <v>1313.3</v>
      </c>
      <c r="W423" s="8">
        <v>2884.34</v>
      </c>
      <c r="X423" s="8">
        <f t="shared" si="19"/>
        <v>815.10700000000008</v>
      </c>
      <c r="Y423" s="8">
        <f t="shared" si="20"/>
        <v>1620.05</v>
      </c>
      <c r="Z423" s="8" t="str">
        <f t="shared" ref="Z423:Z428" si="23">IF(W422 &lt;= X421, "Low",IF(W422 &lt;= Y422, "Medium", "High"))</f>
        <v>High</v>
      </c>
      <c r="AA423">
        <v>0.157</v>
      </c>
      <c r="AB423">
        <f>IF(Table1[[#This Row],[DiscountPct]]&gt;0.2,1,0)</f>
        <v>0</v>
      </c>
      <c r="AC423" s="6">
        <v>42</v>
      </c>
      <c r="AD423" s="8">
        <f>Table1[[#This Row],[UnitPrice]]*Table1[[#This Row],[Quantity]]</f>
        <v>121142.28</v>
      </c>
      <c r="AE423" s="8">
        <f>Table1[[#This Row],[UnitCost]]*Table1[[#This Row],[Quantity]]</f>
        <v>55158.6</v>
      </c>
      <c r="AF423" s="8">
        <f>Table1[[#This Row],[GrossRevenue]]-Table1[[#This Row],[CostOfGoods]]</f>
        <v>65983.679999999993</v>
      </c>
      <c r="AG423" s="9">
        <f>IF(Table1[[#This Row],[GrossRevenue]]=0,0,Table1[[#This Row],[GrossProfit]]/Table1[[#This Row],[GrossRevenue]])</f>
        <v>0.54467919870750325</v>
      </c>
    </row>
    <row r="424" spans="1:33" x14ac:dyDescent="0.45">
      <c r="A424" t="s">
        <v>437</v>
      </c>
      <c r="B424">
        <v>1</v>
      </c>
      <c r="C424" s="3">
        <v>45915</v>
      </c>
      <c r="D424" s="6">
        <f>YEAR(Table1[[#This Row],[OrderDate]]) * 100 + MONTH(Table1[[#This Row],[OrderDate]])</f>
        <v>202509</v>
      </c>
      <c r="E424" s="6">
        <f>_xlfn.MINIFS(Table1[OrderMonthKey],Table1[Country],Table1[[#This Row],[Country]])</f>
        <v>202302</v>
      </c>
      <c r="F424" s="6">
        <f>Table1[[#This Row],[CountryFirstMonthKey]]</f>
        <v>202302</v>
      </c>
      <c r="G424" s="6">
        <f>12*(INT(Table1[[#This Row],[OrderMonthKey]]/100)-INT(Table1[[#This Row],[CohortMonthKey]]/100)) + (MOD(Table1[[#This Row],[OrderMonthKey]],100)-MOD(Table1[[#This Row],[CohortMonthKey]],100))</f>
        <v>31</v>
      </c>
      <c r="H424" s="3" t="str">
        <f>TEXT(Table1[[#This Row],[OrderDate]],"MMM-YYYY")</f>
        <v>Sep-2025</v>
      </c>
      <c r="I424" s="3" t="str">
        <f t="shared" si="18"/>
        <v>Q3-2025</v>
      </c>
      <c r="J424" s="26" t="str">
        <f>IF(Table1[[#This Row],[LeadTimeDays]]&lt;=7,"Yes","No")</f>
        <v>No</v>
      </c>
      <c r="K424" s="6">
        <f>_xlfn.DAYS(Table1[[#This Row],[CorrectedRequiredDate]],Table1[[#This Row],[OrderDate]])</f>
        <v>10</v>
      </c>
      <c r="L424" s="3">
        <f>IF(Table1[[#This Row],[RequiredDate]]&lt;Table1[[#This Row],[OrderDate]],Table1[[#This Row],[OrderDate]],Table1[[#This Row],[RequiredDate]])</f>
        <v>45925</v>
      </c>
      <c r="M424" s="3">
        <v>45925</v>
      </c>
      <c r="N424" t="s">
        <v>647</v>
      </c>
      <c r="O424" t="s">
        <v>654</v>
      </c>
      <c r="P424" t="s">
        <v>680</v>
      </c>
      <c r="Q424" t="s">
        <v>704</v>
      </c>
      <c r="R424" t="s">
        <v>707</v>
      </c>
      <c r="S424" t="s">
        <v>720</v>
      </c>
      <c r="T424" t="s">
        <v>730</v>
      </c>
      <c r="U424" t="s">
        <v>1155</v>
      </c>
      <c r="V424" s="8">
        <v>1488.91</v>
      </c>
      <c r="W424" s="8">
        <v>1483.74</v>
      </c>
      <c r="X424" s="8">
        <f t="shared" si="19"/>
        <v>815.10700000000008</v>
      </c>
      <c r="Y424" s="8">
        <f t="shared" si="20"/>
        <v>1620.05</v>
      </c>
      <c r="Z424" s="8" t="str">
        <f t="shared" si="23"/>
        <v>High</v>
      </c>
      <c r="AA424">
        <v>0.16800000000000001</v>
      </c>
      <c r="AB424">
        <f>IF(Table1[[#This Row],[DiscountPct]]&gt;0.2,1,0)</f>
        <v>0</v>
      </c>
      <c r="AC424" s="6">
        <v>24</v>
      </c>
      <c r="AD424" s="8">
        <f>Table1[[#This Row],[UnitPrice]]*Table1[[#This Row],[Quantity]]</f>
        <v>35609.760000000002</v>
      </c>
      <c r="AE424" s="8">
        <f>Table1[[#This Row],[UnitCost]]*Table1[[#This Row],[Quantity]]</f>
        <v>35733.840000000004</v>
      </c>
      <c r="AF424" s="8">
        <f>Table1[[#This Row],[GrossRevenue]]-Table1[[#This Row],[CostOfGoods]]</f>
        <v>-124.08000000000175</v>
      </c>
      <c r="AG424" s="9">
        <f>IF(Table1[[#This Row],[GrossRevenue]]=0,0,Table1[[#This Row],[GrossProfit]]/Table1[[#This Row],[GrossRevenue]])</f>
        <v>-3.4844379743082161E-3</v>
      </c>
    </row>
    <row r="425" spans="1:33" x14ac:dyDescent="0.45">
      <c r="A425" t="s">
        <v>438</v>
      </c>
      <c r="B425">
        <v>1</v>
      </c>
      <c r="C425" s="3">
        <v>45341</v>
      </c>
      <c r="D425" s="6">
        <f>YEAR(Table1[[#This Row],[OrderDate]]) * 100 + MONTH(Table1[[#This Row],[OrderDate]])</f>
        <v>202402</v>
      </c>
      <c r="E425" s="6">
        <f>_xlfn.MINIFS(Table1[OrderMonthKey],Table1[Country],Table1[[#This Row],[Country]])</f>
        <v>202301</v>
      </c>
      <c r="F425" s="6">
        <f>Table1[[#This Row],[CountryFirstMonthKey]]</f>
        <v>202301</v>
      </c>
      <c r="G425" s="6">
        <f>12*(INT(Table1[[#This Row],[OrderMonthKey]]/100)-INT(Table1[[#This Row],[CohortMonthKey]]/100)) + (MOD(Table1[[#This Row],[OrderMonthKey]],100)-MOD(Table1[[#This Row],[CohortMonthKey]],100))</f>
        <v>13</v>
      </c>
      <c r="H425" s="3" t="str">
        <f>TEXT(Table1[[#This Row],[OrderDate]],"MMM-YYYY")</f>
        <v>Feb-2024</v>
      </c>
      <c r="I425" s="3" t="str">
        <f t="shared" si="18"/>
        <v>Q3-2025</v>
      </c>
      <c r="J425" s="26" t="str">
        <f>IF(Table1[[#This Row],[LeadTimeDays]]&lt;=7,"Yes","No")</f>
        <v>No</v>
      </c>
      <c r="K425" s="6">
        <f>_xlfn.DAYS(Table1[[#This Row],[CorrectedRequiredDate]],Table1[[#This Row],[OrderDate]])</f>
        <v>16</v>
      </c>
      <c r="L425" s="3">
        <f>IF(Table1[[#This Row],[RequiredDate]]&lt;Table1[[#This Row],[OrderDate]],Table1[[#This Row],[OrderDate]],Table1[[#This Row],[RequiredDate]])</f>
        <v>45357</v>
      </c>
      <c r="M425" s="3">
        <v>45357</v>
      </c>
      <c r="N425" t="s">
        <v>647</v>
      </c>
      <c r="O425" t="s">
        <v>659</v>
      </c>
      <c r="P425" t="s">
        <v>699</v>
      </c>
      <c r="Q425" t="s">
        <v>702</v>
      </c>
      <c r="R425" t="s">
        <v>709</v>
      </c>
      <c r="S425" t="s">
        <v>719</v>
      </c>
      <c r="T425" t="s">
        <v>728</v>
      </c>
      <c r="U425" t="s">
        <v>1156</v>
      </c>
      <c r="V425" s="8">
        <v>1477.84</v>
      </c>
      <c r="W425" s="8">
        <v>3197.47</v>
      </c>
      <c r="X425" s="8">
        <f t="shared" si="19"/>
        <v>815.10700000000008</v>
      </c>
      <c r="Y425" s="8">
        <f t="shared" si="20"/>
        <v>1620.05</v>
      </c>
      <c r="Z425" s="8" t="str">
        <f t="shared" si="23"/>
        <v>Medium</v>
      </c>
      <c r="AA425">
        <v>0.24299999999999999</v>
      </c>
      <c r="AB425">
        <f>IF(Table1[[#This Row],[DiscountPct]]&gt;0.2,1,0)</f>
        <v>1</v>
      </c>
      <c r="AC425" s="6">
        <v>24</v>
      </c>
      <c r="AD425" s="8">
        <f>Table1[[#This Row],[UnitPrice]]*Table1[[#This Row],[Quantity]]</f>
        <v>76739.28</v>
      </c>
      <c r="AE425" s="8">
        <f>Table1[[#This Row],[UnitCost]]*Table1[[#This Row],[Quantity]]</f>
        <v>35468.159999999996</v>
      </c>
      <c r="AF425" s="8">
        <f>Table1[[#This Row],[GrossRevenue]]-Table1[[#This Row],[CostOfGoods]]</f>
        <v>41271.120000000003</v>
      </c>
      <c r="AG425" s="9">
        <f>IF(Table1[[#This Row],[GrossRevenue]]=0,0,Table1[[#This Row],[GrossProfit]]/Table1[[#This Row],[GrossRevenue]])</f>
        <v>0.53780958069974083</v>
      </c>
    </row>
    <row r="426" spans="1:33" x14ac:dyDescent="0.45">
      <c r="A426" t="s">
        <v>439</v>
      </c>
      <c r="B426">
        <v>1</v>
      </c>
      <c r="C426" s="3">
        <v>45349</v>
      </c>
      <c r="D426" s="6">
        <f>YEAR(Table1[[#This Row],[OrderDate]]) * 100 + MONTH(Table1[[#This Row],[OrderDate]])</f>
        <v>202402</v>
      </c>
      <c r="E426" s="6">
        <f>_xlfn.MINIFS(Table1[OrderMonthKey],Table1[Country],Table1[[#This Row],[Country]])</f>
        <v>202302</v>
      </c>
      <c r="F426" s="6">
        <f>Table1[[#This Row],[CountryFirstMonthKey]]</f>
        <v>202302</v>
      </c>
      <c r="G426" s="6">
        <f>12*(INT(Table1[[#This Row],[OrderMonthKey]]/100)-INT(Table1[[#This Row],[CohortMonthKey]]/100)) + (MOD(Table1[[#This Row],[OrderMonthKey]],100)-MOD(Table1[[#This Row],[CohortMonthKey]],100))</f>
        <v>12</v>
      </c>
      <c r="H426" s="3" t="str">
        <f>TEXT(Table1[[#This Row],[OrderDate]],"MMM-YYYY")</f>
        <v>Feb-2024</v>
      </c>
      <c r="I426" s="3" t="str">
        <f t="shared" si="18"/>
        <v>Q1-2024</v>
      </c>
      <c r="J426" s="26" t="str">
        <f>IF(Table1[[#This Row],[LeadTimeDays]]&lt;=7,"Yes","No")</f>
        <v>No</v>
      </c>
      <c r="K426" s="6">
        <f>_xlfn.DAYS(Table1[[#This Row],[CorrectedRequiredDate]],Table1[[#This Row],[OrderDate]])</f>
        <v>28</v>
      </c>
      <c r="L426" s="3">
        <f>IF(Table1[[#This Row],[RequiredDate]]&lt;Table1[[#This Row],[OrderDate]],Table1[[#This Row],[OrderDate]],Table1[[#This Row],[RequiredDate]])</f>
        <v>45377</v>
      </c>
      <c r="M426" s="3">
        <v>45377</v>
      </c>
      <c r="N426" t="s">
        <v>647</v>
      </c>
      <c r="O426" t="s">
        <v>654</v>
      </c>
      <c r="P426" t="s">
        <v>691</v>
      </c>
      <c r="Q426" t="s">
        <v>702</v>
      </c>
      <c r="R426" t="s">
        <v>709</v>
      </c>
      <c r="S426" t="s">
        <v>715</v>
      </c>
      <c r="T426" t="s">
        <v>731</v>
      </c>
      <c r="U426" t="s">
        <v>1157</v>
      </c>
      <c r="V426" s="8">
        <v>1035.19</v>
      </c>
      <c r="W426" s="8">
        <v>2322.6999999999998</v>
      </c>
      <c r="X426" s="8">
        <f t="shared" si="19"/>
        <v>815.10700000000008</v>
      </c>
      <c r="Y426" s="8">
        <f t="shared" si="20"/>
        <v>1620.05</v>
      </c>
      <c r="Z426" s="8" t="str">
        <f t="shared" si="23"/>
        <v>High</v>
      </c>
      <c r="AA426">
        <v>0.17299999999999999</v>
      </c>
      <c r="AB426">
        <f>IF(Table1[[#This Row],[DiscountPct]]&gt;0.2,1,0)</f>
        <v>0</v>
      </c>
      <c r="AC426" s="6">
        <v>8</v>
      </c>
      <c r="AD426" s="8">
        <f>Table1[[#This Row],[UnitPrice]]*Table1[[#This Row],[Quantity]]</f>
        <v>18581.599999999999</v>
      </c>
      <c r="AE426" s="8">
        <f>Table1[[#This Row],[UnitCost]]*Table1[[#This Row],[Quantity]]</f>
        <v>8281.52</v>
      </c>
      <c r="AF426" s="8">
        <f>Table1[[#This Row],[GrossRevenue]]-Table1[[#This Row],[CostOfGoods]]</f>
        <v>10300.079999999998</v>
      </c>
      <c r="AG426" s="9">
        <f>IF(Table1[[#This Row],[GrossRevenue]]=0,0,Table1[[#This Row],[GrossProfit]]/Table1[[#This Row],[GrossRevenue]])</f>
        <v>0.55431609764498202</v>
      </c>
    </row>
    <row r="427" spans="1:33" x14ac:dyDescent="0.45">
      <c r="A427" t="s">
        <v>440</v>
      </c>
      <c r="B427">
        <v>1</v>
      </c>
      <c r="C427" s="3">
        <v>45897</v>
      </c>
      <c r="D427" s="6">
        <f>YEAR(Table1[[#This Row],[OrderDate]]) * 100 + MONTH(Table1[[#This Row],[OrderDate]])</f>
        <v>202508</v>
      </c>
      <c r="E427" s="6">
        <f>_xlfn.MINIFS(Table1[OrderMonthKey],Table1[Country],Table1[[#This Row],[Country]])</f>
        <v>202301</v>
      </c>
      <c r="F427" s="6">
        <f>Table1[[#This Row],[CountryFirstMonthKey]]</f>
        <v>202301</v>
      </c>
      <c r="G427" s="6">
        <f>12*(INT(Table1[[#This Row],[OrderMonthKey]]/100)-INT(Table1[[#This Row],[CohortMonthKey]]/100)) + (MOD(Table1[[#This Row],[OrderMonthKey]],100)-MOD(Table1[[#This Row],[CohortMonthKey]],100))</f>
        <v>31</v>
      </c>
      <c r="H427" s="3" t="str">
        <f>TEXT(Table1[[#This Row],[OrderDate]],"MMM-YYYY")</f>
        <v>Aug-2025</v>
      </c>
      <c r="I427" s="3" t="str">
        <f t="shared" si="18"/>
        <v>Q1-2024</v>
      </c>
      <c r="J427" s="26" t="str">
        <f>IF(Table1[[#This Row],[LeadTimeDays]]&lt;=7,"Yes","No")</f>
        <v>No</v>
      </c>
      <c r="K427" s="6">
        <f>_xlfn.DAYS(Table1[[#This Row],[CorrectedRequiredDate]],Table1[[#This Row],[OrderDate]])</f>
        <v>8</v>
      </c>
      <c r="L427" s="3">
        <f>IF(Table1[[#This Row],[RequiredDate]]&lt;Table1[[#This Row],[OrderDate]],Table1[[#This Row],[OrderDate]],Table1[[#This Row],[RequiredDate]])</f>
        <v>45905</v>
      </c>
      <c r="M427" s="3">
        <v>45905</v>
      </c>
      <c r="N427" t="s">
        <v>646</v>
      </c>
      <c r="O427" t="s">
        <v>651</v>
      </c>
      <c r="P427" t="s">
        <v>663</v>
      </c>
      <c r="Q427" t="s">
        <v>705</v>
      </c>
      <c r="R427" t="s">
        <v>709</v>
      </c>
      <c r="S427" t="s">
        <v>718</v>
      </c>
      <c r="T427" t="s">
        <v>731</v>
      </c>
      <c r="U427" t="s">
        <v>1158</v>
      </c>
      <c r="V427" s="8">
        <v>1271.0999999999999</v>
      </c>
      <c r="W427" s="8">
        <v>1932.42</v>
      </c>
      <c r="X427" s="8">
        <f t="shared" si="19"/>
        <v>815.10700000000008</v>
      </c>
      <c r="Y427" s="8">
        <f t="shared" si="20"/>
        <v>1620.05</v>
      </c>
      <c r="Z427" s="8" t="str">
        <f t="shared" si="23"/>
        <v>High</v>
      </c>
      <c r="AA427">
        <v>0.25</v>
      </c>
      <c r="AB427">
        <f>IF(Table1[[#This Row],[DiscountPct]]&gt;0.2,1,0)</f>
        <v>1</v>
      </c>
      <c r="AC427" s="6">
        <v>21</v>
      </c>
      <c r="AD427" s="8">
        <f>Table1[[#This Row],[UnitPrice]]*Table1[[#This Row],[Quantity]]</f>
        <v>40580.82</v>
      </c>
      <c r="AE427" s="8">
        <f>Table1[[#This Row],[UnitCost]]*Table1[[#This Row],[Quantity]]</f>
        <v>26693.1</v>
      </c>
      <c r="AF427" s="8">
        <f>Table1[[#This Row],[GrossRevenue]]-Table1[[#This Row],[CostOfGoods]]</f>
        <v>13887.720000000001</v>
      </c>
      <c r="AG427" s="9">
        <f>IF(Table1[[#This Row],[GrossRevenue]]=0,0,Table1[[#This Row],[GrossProfit]]/Table1[[#This Row],[GrossRevenue]])</f>
        <v>0.34222374018070612</v>
      </c>
    </row>
    <row r="428" spans="1:33" x14ac:dyDescent="0.45">
      <c r="A428" t="s">
        <v>441</v>
      </c>
      <c r="B428">
        <v>1</v>
      </c>
      <c r="C428" s="3">
        <v>45522</v>
      </c>
      <c r="D428" s="6">
        <f>YEAR(Table1[[#This Row],[OrderDate]]) * 100 + MONTH(Table1[[#This Row],[OrderDate]])</f>
        <v>202408</v>
      </c>
      <c r="E428" s="6">
        <f>_xlfn.MINIFS(Table1[OrderMonthKey],Table1[Country],Table1[[#This Row],[Country]])</f>
        <v>202302</v>
      </c>
      <c r="F428" s="6">
        <f>Table1[[#This Row],[CountryFirstMonthKey]]</f>
        <v>202302</v>
      </c>
      <c r="G428" s="6">
        <f>12*(INT(Table1[[#This Row],[OrderMonthKey]]/100)-INT(Table1[[#This Row],[CohortMonthKey]]/100)) + (MOD(Table1[[#This Row],[OrderMonthKey]],100)-MOD(Table1[[#This Row],[CohortMonthKey]],100))</f>
        <v>18</v>
      </c>
      <c r="H428" s="3" t="str">
        <f>TEXT(Table1[[#This Row],[OrderDate]],"MMM-YYYY")</f>
        <v>Aug-2024</v>
      </c>
      <c r="I428" s="3" t="str">
        <f t="shared" si="18"/>
        <v>Q3-2025</v>
      </c>
      <c r="J428" s="26" t="str">
        <f>IF(Table1[[#This Row],[LeadTimeDays]]&lt;=7,"Yes","No")</f>
        <v>No</v>
      </c>
      <c r="K428" s="6">
        <f>_xlfn.DAYS(Table1[[#This Row],[CorrectedRequiredDate]],Table1[[#This Row],[OrderDate]])</f>
        <v>25</v>
      </c>
      <c r="L428" s="3">
        <f>IF(Table1[[#This Row],[RequiredDate]]&lt;Table1[[#This Row],[OrderDate]],Table1[[#This Row],[OrderDate]],Table1[[#This Row],[RequiredDate]])</f>
        <v>45547</v>
      </c>
      <c r="M428" s="3">
        <v>45547</v>
      </c>
      <c r="N428" t="s">
        <v>647</v>
      </c>
      <c r="O428" t="s">
        <v>654</v>
      </c>
      <c r="P428" t="s">
        <v>691</v>
      </c>
      <c r="Q428" t="s">
        <v>704</v>
      </c>
      <c r="R428" t="s">
        <v>709</v>
      </c>
      <c r="S428" t="s">
        <v>712</v>
      </c>
      <c r="T428" t="s">
        <v>730</v>
      </c>
      <c r="U428" t="s">
        <v>1159</v>
      </c>
      <c r="V428" s="8">
        <v>1154.03</v>
      </c>
      <c r="W428" s="8">
        <v>1590.36</v>
      </c>
      <c r="X428" s="8">
        <f t="shared" si="19"/>
        <v>815.10700000000008</v>
      </c>
      <c r="Y428" s="8">
        <f t="shared" si="20"/>
        <v>1620.05</v>
      </c>
      <c r="Z428" s="8" t="str">
        <f t="shared" si="23"/>
        <v>High</v>
      </c>
      <c r="AA428">
        <v>0.314</v>
      </c>
      <c r="AB428">
        <f>IF(Table1[[#This Row],[DiscountPct]]&gt;0.2,1,0)</f>
        <v>1</v>
      </c>
      <c r="AC428" s="6">
        <v>18</v>
      </c>
      <c r="AD428" s="8">
        <f>Table1[[#This Row],[UnitPrice]]*Table1[[#This Row],[Quantity]]</f>
        <v>28626.48</v>
      </c>
      <c r="AE428" s="8">
        <f>Table1[[#This Row],[UnitCost]]*Table1[[#This Row],[Quantity]]</f>
        <v>20772.54</v>
      </c>
      <c r="AF428" s="8">
        <f>Table1[[#This Row],[GrossRevenue]]-Table1[[#This Row],[CostOfGoods]]</f>
        <v>7853.9399999999987</v>
      </c>
      <c r="AG428" s="9">
        <f>IF(Table1[[#This Row],[GrossRevenue]]=0,0,Table1[[#This Row],[GrossProfit]]/Table1[[#This Row],[GrossRevenue]])</f>
        <v>0.27435926456902837</v>
      </c>
    </row>
    <row r="429" spans="1:33" hidden="1" x14ac:dyDescent="0.45">
      <c r="A429" t="s">
        <v>442</v>
      </c>
      <c r="C429" s="3">
        <v>45347</v>
      </c>
      <c r="D429" s="3">
        <f>YEAR(Table1[[#This Row],[OrderDate]]) * 100 + MONTH(Table1[[#This Row],[OrderDate]])</f>
        <v>202402</v>
      </c>
      <c r="E429" s="3">
        <f>_xlfn.MINIFS(Table1[OrderMonthKey],Table1[Country],Table1[[#This Row],[Country]])</f>
        <v>202301</v>
      </c>
      <c r="F429" s="3">
        <f>Table1[[#This Row],[CountryFirstMonthKey]]</f>
        <v>202301</v>
      </c>
      <c r="G429" s="3">
        <f>12*(INT(Table1[[#This Row],[OrderMonthKey]]/100)-INT(Table1[[#This Row],[CohortMonthKey]]/100)) + (MOD(Table1[[#This Row],[OrderMonthKey]],100)-MOD(Table1[[#This Row],[CohortMonthKey]],100))</f>
        <v>13</v>
      </c>
      <c r="H429" s="3" t="str">
        <f>TEXT(Table1[[#This Row],[OrderDate]],"MMM-YYYY")</f>
        <v>Feb-2024</v>
      </c>
      <c r="I429" s="3" t="str">
        <f t="shared" si="18"/>
        <v>Q3-2024</v>
      </c>
      <c r="J429" s="3" t="str">
        <f>IF(Table1[[#This Row],[LeadTimeDays]]&lt;=7,"Yes","No")</f>
        <v>No</v>
      </c>
      <c r="K429" s="3">
        <f>_xlfn.DAYS(Table1[[#This Row],[CorrectedRequiredDate]],Table1[[#This Row],[OrderDate]])</f>
        <v>13</v>
      </c>
      <c r="L429" s="3">
        <f>IF(Table1[[#This Row],[RequiredDate]]&lt;Table1[[#This Row],[OrderDate]],Table1[[#This Row],[OrderDate]],Table1[[#This Row],[RequiredDate]])</f>
        <v>45360</v>
      </c>
      <c r="M429" s="3">
        <v>45360</v>
      </c>
      <c r="N429" t="s">
        <v>649</v>
      </c>
      <c r="O429" t="s">
        <v>657</v>
      </c>
      <c r="P429" t="s">
        <v>673</v>
      </c>
      <c r="Q429" t="s">
        <v>705</v>
      </c>
      <c r="R429" t="s">
        <v>710</v>
      </c>
      <c r="S429" t="s">
        <v>718</v>
      </c>
      <c r="T429" t="s">
        <v>732</v>
      </c>
      <c r="U429" t="s">
        <v>1160</v>
      </c>
      <c r="V429" s="8">
        <v>322.44</v>
      </c>
      <c r="W429" s="8">
        <v>395.61</v>
      </c>
      <c r="X429" s="8">
        <f t="shared" si="19"/>
        <v>815.10700000000008</v>
      </c>
      <c r="Y429" s="8">
        <f t="shared" si="20"/>
        <v>1620.05</v>
      </c>
      <c r="AA429">
        <v>0</v>
      </c>
      <c r="AB429">
        <f>IF(Table1[[#This Row],[DiscountPct]]&gt;0.2,1,0)</f>
        <v>0</v>
      </c>
      <c r="AC429" s="6">
        <v>34</v>
      </c>
      <c r="AD429" s="8">
        <f>Table1[[#This Row],[UnitPrice]]*Table1[[#This Row],[Quantity]]</f>
        <v>13450.74</v>
      </c>
      <c r="AE429" s="8">
        <f>Table1[[#This Row],[UnitCost]]*Table1[[#This Row],[Quantity]]</f>
        <v>10962.96</v>
      </c>
      <c r="AF429" s="8">
        <f>Table1[[#This Row],[GrossRevenue]]-Table1[[#This Row],[CostOfGoods]]</f>
        <v>2487.7800000000007</v>
      </c>
      <c r="AG429" s="8">
        <f>IF(Table1[[#This Row],[GrossRevenue]]=0,0,Table1[[#This Row],[GrossProfit]]/Table1[[#This Row],[GrossRevenue]])</f>
        <v>0.18495487980586947</v>
      </c>
    </row>
    <row r="430" spans="1:33" x14ac:dyDescent="0.45">
      <c r="A430" t="s">
        <v>443</v>
      </c>
      <c r="B430">
        <v>1</v>
      </c>
      <c r="C430" s="3">
        <v>45784</v>
      </c>
      <c r="D430" s="6">
        <f>YEAR(Table1[[#This Row],[OrderDate]]) * 100 + MONTH(Table1[[#This Row],[OrderDate]])</f>
        <v>202505</v>
      </c>
      <c r="E430" s="6">
        <f>_xlfn.MINIFS(Table1[OrderMonthKey],Table1[Country],Table1[[#This Row],[Country]])</f>
        <v>202302</v>
      </c>
      <c r="F430" s="6">
        <f>Table1[[#This Row],[CountryFirstMonthKey]]</f>
        <v>202302</v>
      </c>
      <c r="G430" s="6">
        <f>12*(INT(Table1[[#This Row],[OrderMonthKey]]/100)-INT(Table1[[#This Row],[CohortMonthKey]]/100)) + (MOD(Table1[[#This Row],[OrderMonthKey]],100)-MOD(Table1[[#This Row],[CohortMonthKey]],100))</f>
        <v>27</v>
      </c>
      <c r="H430" s="3" t="str">
        <f>TEXT(Table1[[#This Row],[OrderDate]],"MMM-YYYY")</f>
        <v>May-2025</v>
      </c>
      <c r="I430" s="3" t="str">
        <f t="shared" si="18"/>
        <v>Q1-2024</v>
      </c>
      <c r="J430" s="26" t="str">
        <f>IF(Table1[[#This Row],[LeadTimeDays]]&lt;=7,"Yes","No")</f>
        <v>Yes</v>
      </c>
      <c r="K430" s="6">
        <f>_xlfn.DAYS(Table1[[#This Row],[CorrectedRequiredDate]],Table1[[#This Row],[OrderDate]])</f>
        <v>6</v>
      </c>
      <c r="L430" s="3">
        <f>IF(Table1[[#This Row],[RequiredDate]]&lt;Table1[[#This Row],[OrderDate]],Table1[[#This Row],[OrderDate]],Table1[[#This Row],[RequiredDate]])</f>
        <v>45790</v>
      </c>
      <c r="M430" s="3">
        <v>45790</v>
      </c>
      <c r="N430" t="s">
        <v>647</v>
      </c>
      <c r="O430" t="s">
        <v>654</v>
      </c>
      <c r="P430" t="s">
        <v>668</v>
      </c>
      <c r="Q430" t="s">
        <v>706</v>
      </c>
      <c r="R430" t="s">
        <v>711</v>
      </c>
      <c r="S430" t="s">
        <v>713</v>
      </c>
      <c r="T430" t="s">
        <v>730</v>
      </c>
      <c r="U430" t="s">
        <v>1161</v>
      </c>
      <c r="V430" s="8">
        <v>935.98</v>
      </c>
      <c r="W430" s="8">
        <v>2077.69</v>
      </c>
      <c r="X430" s="8">
        <f t="shared" si="19"/>
        <v>815.10700000000008</v>
      </c>
      <c r="Y430" s="8">
        <f t="shared" si="20"/>
        <v>1620.05</v>
      </c>
      <c r="Z430" s="8" t="str">
        <f>IF(W429 &lt;= X428, "Low",IF(W429 &lt;= Y429, "Medium", "High"))</f>
        <v>Low</v>
      </c>
      <c r="AA430">
        <v>0.17499999999999999</v>
      </c>
      <c r="AB430">
        <f>IF(Table1[[#This Row],[DiscountPct]]&gt;0.2,1,0)</f>
        <v>0</v>
      </c>
      <c r="AC430" s="6">
        <v>24</v>
      </c>
      <c r="AD430" s="8">
        <f>Table1[[#This Row],[UnitPrice]]*Table1[[#This Row],[Quantity]]</f>
        <v>49864.56</v>
      </c>
      <c r="AE430" s="8">
        <f>Table1[[#This Row],[UnitCost]]*Table1[[#This Row],[Quantity]]</f>
        <v>22463.52</v>
      </c>
      <c r="AF430" s="8">
        <f>Table1[[#This Row],[GrossRevenue]]-Table1[[#This Row],[CostOfGoods]]</f>
        <v>27401.039999999997</v>
      </c>
      <c r="AG430" s="9">
        <f>IF(Table1[[#This Row],[GrossRevenue]]=0,0,Table1[[#This Row],[GrossProfit]]/Table1[[#This Row],[GrossRevenue]])</f>
        <v>0.54950931082115229</v>
      </c>
    </row>
    <row r="431" spans="1:33" hidden="1" x14ac:dyDescent="0.45">
      <c r="A431" t="s">
        <v>444</v>
      </c>
      <c r="C431" s="3">
        <v>45597</v>
      </c>
      <c r="D431" s="3">
        <f>YEAR(Table1[[#This Row],[OrderDate]]) * 100 + MONTH(Table1[[#This Row],[OrderDate]])</f>
        <v>202411</v>
      </c>
      <c r="E431" s="3">
        <f>_xlfn.MINIFS(Table1[OrderMonthKey],Table1[Country],Table1[[#This Row],[Country]])</f>
        <v>202301</v>
      </c>
      <c r="F431" s="3">
        <f>Table1[[#This Row],[CountryFirstMonthKey]]</f>
        <v>202301</v>
      </c>
      <c r="G431" s="3">
        <f>12*(INT(Table1[[#This Row],[OrderMonthKey]]/100)-INT(Table1[[#This Row],[CohortMonthKey]]/100)) + (MOD(Table1[[#This Row],[OrderMonthKey]],100)-MOD(Table1[[#This Row],[CohortMonthKey]],100))</f>
        <v>22</v>
      </c>
      <c r="H431" s="3" t="str">
        <f>TEXT(Table1[[#This Row],[OrderDate]],"MMM-YYYY")</f>
        <v>Nov-2024</v>
      </c>
      <c r="I431" s="3" t="str">
        <f t="shared" si="18"/>
        <v>Q2-2025</v>
      </c>
      <c r="J431" s="3" t="str">
        <f>IF(Table1[[#This Row],[LeadTimeDays]]&lt;=7,"Yes","No")</f>
        <v>No</v>
      </c>
      <c r="K431" s="3">
        <f>_xlfn.DAYS(Table1[[#This Row],[CorrectedRequiredDate]],Table1[[#This Row],[OrderDate]])</f>
        <v>11</v>
      </c>
      <c r="L431" s="3">
        <f>IF(Table1[[#This Row],[RequiredDate]]&lt;Table1[[#This Row],[OrderDate]],Table1[[#This Row],[OrderDate]],Table1[[#This Row],[RequiredDate]])</f>
        <v>45608</v>
      </c>
      <c r="M431" s="3">
        <v>45608</v>
      </c>
      <c r="N431" t="s">
        <v>649</v>
      </c>
      <c r="O431" t="s">
        <v>656</v>
      </c>
      <c r="P431" t="s">
        <v>698</v>
      </c>
      <c r="Q431" t="s">
        <v>704</v>
      </c>
      <c r="R431" t="s">
        <v>708</v>
      </c>
      <c r="S431" t="s">
        <v>717</v>
      </c>
      <c r="T431" t="s">
        <v>728</v>
      </c>
      <c r="U431" t="s">
        <v>1162</v>
      </c>
      <c r="V431" s="8">
        <v>599.84</v>
      </c>
      <c r="W431" s="8">
        <v>1330.85</v>
      </c>
      <c r="X431" s="8">
        <f t="shared" si="19"/>
        <v>815.10700000000008</v>
      </c>
      <c r="Y431" s="8">
        <f t="shared" si="20"/>
        <v>1620.05</v>
      </c>
      <c r="AA431">
        <v>0.115</v>
      </c>
      <c r="AB431">
        <f>IF(Table1[[#This Row],[DiscountPct]]&gt;0.2,1,0)</f>
        <v>0</v>
      </c>
      <c r="AC431" s="6">
        <v>11</v>
      </c>
      <c r="AD431" s="8">
        <f>Table1[[#This Row],[UnitPrice]]*Table1[[#This Row],[Quantity]]</f>
        <v>14639.349999999999</v>
      </c>
      <c r="AE431" s="8">
        <f>Table1[[#This Row],[UnitCost]]*Table1[[#This Row],[Quantity]]</f>
        <v>6598.2400000000007</v>
      </c>
      <c r="AF431" s="8">
        <f>Table1[[#This Row],[GrossRevenue]]-Table1[[#This Row],[CostOfGoods]]</f>
        <v>8041.1099999999979</v>
      </c>
      <c r="AG431" s="8">
        <f>IF(Table1[[#This Row],[GrossRevenue]]=0,0,Table1[[#This Row],[GrossProfit]]/Table1[[#This Row],[GrossRevenue]])</f>
        <v>0.54928053499643081</v>
      </c>
    </row>
    <row r="432" spans="1:33" x14ac:dyDescent="0.45">
      <c r="A432" t="s">
        <v>445</v>
      </c>
      <c r="B432">
        <v>1</v>
      </c>
      <c r="C432" s="3">
        <v>45654</v>
      </c>
      <c r="D432" s="6">
        <f>YEAR(Table1[[#This Row],[OrderDate]]) * 100 + MONTH(Table1[[#This Row],[OrderDate]])</f>
        <v>202412</v>
      </c>
      <c r="E432" s="6">
        <f>_xlfn.MINIFS(Table1[OrderMonthKey],Table1[Country],Table1[[#This Row],[Country]])</f>
        <v>202301</v>
      </c>
      <c r="F432" s="6">
        <f>Table1[[#This Row],[CountryFirstMonthKey]]</f>
        <v>202301</v>
      </c>
      <c r="G432" s="6">
        <f>12*(INT(Table1[[#This Row],[OrderMonthKey]]/100)-INT(Table1[[#This Row],[CohortMonthKey]]/100)) + (MOD(Table1[[#This Row],[OrderMonthKey]],100)-MOD(Table1[[#This Row],[CohortMonthKey]],100))</f>
        <v>23</v>
      </c>
      <c r="H432" s="3" t="str">
        <f>TEXT(Table1[[#This Row],[OrderDate]],"MMM-YYYY")</f>
        <v>Dec-2024</v>
      </c>
      <c r="I432" s="3" t="str">
        <f t="shared" si="18"/>
        <v>Q4-2024</v>
      </c>
      <c r="J432" s="26" t="str">
        <f>IF(Table1[[#This Row],[LeadTimeDays]]&lt;=7,"Yes","No")</f>
        <v>No</v>
      </c>
      <c r="K432" s="6">
        <f>_xlfn.DAYS(Table1[[#This Row],[CorrectedRequiredDate]],Table1[[#This Row],[OrderDate]])</f>
        <v>11</v>
      </c>
      <c r="L432" s="3">
        <f>IF(Table1[[#This Row],[RequiredDate]]&lt;Table1[[#This Row],[OrderDate]],Table1[[#This Row],[OrderDate]],Table1[[#This Row],[RequiredDate]])</f>
        <v>45665</v>
      </c>
      <c r="M432" s="3">
        <v>45665</v>
      </c>
      <c r="N432" t="s">
        <v>647</v>
      </c>
      <c r="O432" t="s">
        <v>659</v>
      </c>
      <c r="P432" t="s">
        <v>676</v>
      </c>
      <c r="Q432" t="s">
        <v>706</v>
      </c>
      <c r="R432" t="s">
        <v>708</v>
      </c>
      <c r="S432" t="s">
        <v>723</v>
      </c>
      <c r="T432" t="s">
        <v>731</v>
      </c>
      <c r="U432" t="s">
        <v>1163</v>
      </c>
      <c r="V432" s="8">
        <v>1201.31</v>
      </c>
      <c r="W432" s="8">
        <v>2764.65</v>
      </c>
      <c r="X432" s="8">
        <f t="shared" si="19"/>
        <v>815.10700000000008</v>
      </c>
      <c r="Y432" s="8">
        <f t="shared" si="20"/>
        <v>1620.05</v>
      </c>
      <c r="Z432" s="8" t="str">
        <f>IF(W431 &lt;= X430, "Low",IF(W431 &lt;= Y431, "Medium", "High"))</f>
        <v>Medium</v>
      </c>
      <c r="AA432">
        <v>0</v>
      </c>
      <c r="AB432">
        <f>IF(Table1[[#This Row],[DiscountPct]]&gt;0.2,1,0)</f>
        <v>0</v>
      </c>
      <c r="AC432" s="6">
        <v>21</v>
      </c>
      <c r="AD432" s="8">
        <f>Table1[[#This Row],[UnitPrice]]*Table1[[#This Row],[Quantity]]</f>
        <v>58057.65</v>
      </c>
      <c r="AE432" s="8">
        <f>Table1[[#This Row],[UnitCost]]*Table1[[#This Row],[Quantity]]</f>
        <v>25227.51</v>
      </c>
      <c r="AF432" s="8">
        <f>Table1[[#This Row],[GrossRevenue]]-Table1[[#This Row],[CostOfGoods]]</f>
        <v>32830.14</v>
      </c>
      <c r="AG432" s="9">
        <f>IF(Table1[[#This Row],[GrossRevenue]]=0,0,Table1[[#This Row],[GrossProfit]]/Table1[[#This Row],[GrossRevenue]])</f>
        <v>0.56547483406579491</v>
      </c>
    </row>
    <row r="433" spans="1:33" x14ac:dyDescent="0.45">
      <c r="A433" t="s">
        <v>446</v>
      </c>
      <c r="B433">
        <v>1</v>
      </c>
      <c r="C433" s="3">
        <v>45220</v>
      </c>
      <c r="D433" s="6">
        <f>YEAR(Table1[[#This Row],[OrderDate]]) * 100 + MONTH(Table1[[#This Row],[OrderDate]])</f>
        <v>202310</v>
      </c>
      <c r="E433" s="6">
        <f>_xlfn.MINIFS(Table1[OrderMonthKey],Table1[Country],Table1[[#This Row],[Country]])</f>
        <v>202301</v>
      </c>
      <c r="F433" s="6">
        <f>Table1[[#This Row],[CountryFirstMonthKey]]</f>
        <v>202301</v>
      </c>
      <c r="G433" s="6">
        <f>12*(INT(Table1[[#This Row],[OrderMonthKey]]/100)-INT(Table1[[#This Row],[CohortMonthKey]]/100)) + (MOD(Table1[[#This Row],[OrderMonthKey]],100)-MOD(Table1[[#This Row],[CohortMonthKey]],100))</f>
        <v>9</v>
      </c>
      <c r="H433" s="3" t="str">
        <f>TEXT(Table1[[#This Row],[OrderDate]],"MMM-YYYY")</f>
        <v>Oct-2023</v>
      </c>
      <c r="I433" s="3" t="str">
        <f t="shared" si="18"/>
        <v>Q4-2024</v>
      </c>
      <c r="J433" s="26" t="str">
        <f>IF(Table1[[#This Row],[LeadTimeDays]]&lt;=7,"Yes","No")</f>
        <v>Yes</v>
      </c>
      <c r="K433" s="6">
        <f>_xlfn.DAYS(Table1[[#This Row],[CorrectedRequiredDate]],Table1[[#This Row],[OrderDate]])</f>
        <v>0</v>
      </c>
      <c r="L433" s="3">
        <f>IF(Table1[[#This Row],[RequiredDate]]&lt;Table1[[#This Row],[OrderDate]],Table1[[#This Row],[OrderDate]],Table1[[#This Row],[RequiredDate]])</f>
        <v>45220</v>
      </c>
      <c r="M433" s="3">
        <v>45220</v>
      </c>
      <c r="N433" t="s">
        <v>649</v>
      </c>
      <c r="O433" t="s">
        <v>658</v>
      </c>
      <c r="P433" t="s">
        <v>693</v>
      </c>
      <c r="Q433" t="s">
        <v>706</v>
      </c>
      <c r="R433" t="s">
        <v>710</v>
      </c>
      <c r="S433" t="s">
        <v>713</v>
      </c>
      <c r="T433" t="s">
        <v>732</v>
      </c>
      <c r="U433" t="s">
        <v>1164</v>
      </c>
      <c r="V433" s="8">
        <v>384.19</v>
      </c>
      <c r="W433" s="8">
        <v>278.35000000000002</v>
      </c>
      <c r="X433" s="8">
        <f t="shared" si="19"/>
        <v>815.10700000000008</v>
      </c>
      <c r="Y433" s="8">
        <f t="shared" si="20"/>
        <v>1620.05</v>
      </c>
      <c r="Z433" s="8" t="str">
        <f>IF(W432 &lt;= X431, "Low",IF(W432 &lt;= Y432, "Medium", "High"))</f>
        <v>High</v>
      </c>
      <c r="AA433">
        <v>5.6000000000000001E-2</v>
      </c>
      <c r="AB433">
        <f>IF(Table1[[#This Row],[DiscountPct]]&gt;0.2,1,0)</f>
        <v>0</v>
      </c>
      <c r="AC433" s="6">
        <v>10</v>
      </c>
      <c r="AD433" s="8">
        <f>Table1[[#This Row],[UnitPrice]]*Table1[[#This Row],[Quantity]]</f>
        <v>2783.5</v>
      </c>
      <c r="AE433" s="8">
        <f>Table1[[#This Row],[UnitCost]]*Table1[[#This Row],[Quantity]]</f>
        <v>3841.9</v>
      </c>
      <c r="AF433" s="8">
        <f>Table1[[#This Row],[GrossRevenue]]-Table1[[#This Row],[CostOfGoods]]</f>
        <v>-1058.4000000000001</v>
      </c>
      <c r="AG433" s="9">
        <f>IF(Table1[[#This Row],[GrossRevenue]]=0,0,Table1[[#This Row],[GrossProfit]]/Table1[[#This Row],[GrossRevenue]])</f>
        <v>-0.38024070414945216</v>
      </c>
    </row>
    <row r="434" spans="1:33" x14ac:dyDescent="0.45">
      <c r="A434" t="s">
        <v>447</v>
      </c>
      <c r="B434">
        <v>1</v>
      </c>
      <c r="C434" s="3">
        <v>45636</v>
      </c>
      <c r="D434" s="6">
        <f>YEAR(Table1[[#This Row],[OrderDate]]) * 100 + MONTH(Table1[[#This Row],[OrderDate]])</f>
        <v>202412</v>
      </c>
      <c r="E434" s="6">
        <f>_xlfn.MINIFS(Table1[OrderMonthKey],Table1[Country],Table1[[#This Row],[Country]])</f>
        <v>202301</v>
      </c>
      <c r="F434" s="6">
        <f>Table1[[#This Row],[CountryFirstMonthKey]]</f>
        <v>202301</v>
      </c>
      <c r="G434" s="6">
        <f>12*(INT(Table1[[#This Row],[OrderMonthKey]]/100)-INT(Table1[[#This Row],[CohortMonthKey]]/100)) + (MOD(Table1[[#This Row],[OrderMonthKey]],100)-MOD(Table1[[#This Row],[CohortMonthKey]],100))</f>
        <v>23</v>
      </c>
      <c r="H434" s="3" t="str">
        <f>TEXT(Table1[[#This Row],[OrderDate]],"MMM-YYYY")</f>
        <v>Dec-2024</v>
      </c>
      <c r="I434" s="3" t="str">
        <f t="shared" si="18"/>
        <v>Q4-2023</v>
      </c>
      <c r="J434" s="26" t="str">
        <f>IF(Table1[[#This Row],[LeadTimeDays]]&lt;=7,"Yes","No")</f>
        <v>No</v>
      </c>
      <c r="K434" s="6">
        <f>_xlfn.DAYS(Table1[[#This Row],[CorrectedRequiredDate]],Table1[[#This Row],[OrderDate]])</f>
        <v>9</v>
      </c>
      <c r="L434" s="3">
        <f>IF(Table1[[#This Row],[RequiredDate]]&lt;Table1[[#This Row],[OrderDate]],Table1[[#This Row],[OrderDate]],Table1[[#This Row],[RequiredDate]])</f>
        <v>45645</v>
      </c>
      <c r="M434" s="3">
        <v>45645</v>
      </c>
      <c r="N434" t="s">
        <v>646</v>
      </c>
      <c r="O434" t="s">
        <v>651</v>
      </c>
      <c r="P434" t="s">
        <v>665</v>
      </c>
      <c r="Q434" t="s">
        <v>701</v>
      </c>
      <c r="R434" t="s">
        <v>707</v>
      </c>
      <c r="S434" t="s">
        <v>719</v>
      </c>
      <c r="T434" t="s">
        <v>732</v>
      </c>
      <c r="U434" t="s">
        <v>1165</v>
      </c>
      <c r="V434" s="8">
        <v>488.68</v>
      </c>
      <c r="W434" s="8">
        <v>984.36</v>
      </c>
      <c r="X434" s="8">
        <f t="shared" si="19"/>
        <v>815.10700000000008</v>
      </c>
      <c r="Y434" s="8">
        <f t="shared" si="20"/>
        <v>1620.05</v>
      </c>
      <c r="Z434" s="8" t="str">
        <f>IF(W433 &lt;= X432, "Low",IF(W433 &lt;= Y433, "Medium", "High"))</f>
        <v>Low</v>
      </c>
      <c r="AA434">
        <v>5.8999999999999997E-2</v>
      </c>
      <c r="AB434">
        <f>IF(Table1[[#This Row],[DiscountPct]]&gt;0.2,1,0)</f>
        <v>0</v>
      </c>
      <c r="AC434" s="6">
        <v>14</v>
      </c>
      <c r="AD434" s="8">
        <f>Table1[[#This Row],[UnitPrice]]*Table1[[#This Row],[Quantity]]</f>
        <v>13781.04</v>
      </c>
      <c r="AE434" s="8">
        <f>Table1[[#This Row],[UnitCost]]*Table1[[#This Row],[Quantity]]</f>
        <v>6841.52</v>
      </c>
      <c r="AF434" s="8">
        <f>Table1[[#This Row],[GrossRevenue]]-Table1[[#This Row],[CostOfGoods]]</f>
        <v>6939.52</v>
      </c>
      <c r="AG434" s="9">
        <f>IF(Table1[[#This Row],[GrossRevenue]]=0,0,Table1[[#This Row],[GrossProfit]]/Table1[[#This Row],[GrossRevenue]])</f>
        <v>0.50355560973627533</v>
      </c>
    </row>
    <row r="435" spans="1:33" x14ac:dyDescent="0.45">
      <c r="A435" t="s">
        <v>448</v>
      </c>
      <c r="B435">
        <v>1</v>
      </c>
      <c r="C435" s="3">
        <v>45542</v>
      </c>
      <c r="D435" s="6">
        <f>YEAR(Table1[[#This Row],[OrderDate]]) * 100 + MONTH(Table1[[#This Row],[OrderDate]])</f>
        <v>202409</v>
      </c>
      <c r="E435" s="6">
        <f>_xlfn.MINIFS(Table1[OrderMonthKey],Table1[Country],Table1[[#This Row],[Country]])</f>
        <v>202301</v>
      </c>
      <c r="F435" s="6">
        <f>Table1[[#This Row],[CountryFirstMonthKey]]</f>
        <v>202301</v>
      </c>
      <c r="G435" s="6">
        <f>12*(INT(Table1[[#This Row],[OrderMonthKey]]/100)-INT(Table1[[#This Row],[CohortMonthKey]]/100)) + (MOD(Table1[[#This Row],[OrderMonthKey]],100)-MOD(Table1[[#This Row],[CohortMonthKey]],100))</f>
        <v>20</v>
      </c>
      <c r="H435" s="3" t="str">
        <f>TEXT(Table1[[#This Row],[OrderDate]],"MMM-YYYY")</f>
        <v>Sep-2024</v>
      </c>
      <c r="I435" s="3" t="str">
        <f t="shared" si="18"/>
        <v>Q4-2024</v>
      </c>
      <c r="J435" s="26" t="str">
        <f>IF(Table1[[#This Row],[LeadTimeDays]]&lt;=7,"Yes","No")</f>
        <v>No</v>
      </c>
      <c r="K435" s="6">
        <f>_xlfn.DAYS(Table1[[#This Row],[CorrectedRequiredDate]],Table1[[#This Row],[OrderDate]])</f>
        <v>11</v>
      </c>
      <c r="L435" s="3">
        <f>IF(Table1[[#This Row],[RequiredDate]]&lt;Table1[[#This Row],[OrderDate]],Table1[[#This Row],[OrderDate]],Table1[[#This Row],[RequiredDate]])</f>
        <v>45553</v>
      </c>
      <c r="M435" s="3">
        <v>45553</v>
      </c>
      <c r="N435" t="s">
        <v>647</v>
      </c>
      <c r="O435" t="s">
        <v>659</v>
      </c>
      <c r="P435" t="s">
        <v>699</v>
      </c>
      <c r="Q435" t="s">
        <v>704</v>
      </c>
      <c r="R435" t="s">
        <v>710</v>
      </c>
      <c r="S435" t="s">
        <v>719</v>
      </c>
      <c r="T435" t="s">
        <v>729</v>
      </c>
      <c r="U435" t="s">
        <v>1166</v>
      </c>
      <c r="V435" s="8">
        <v>181.74</v>
      </c>
      <c r="W435" s="8">
        <v>190.84</v>
      </c>
      <c r="X435" s="8">
        <f t="shared" si="19"/>
        <v>815.10700000000008</v>
      </c>
      <c r="Y435" s="8">
        <f t="shared" si="20"/>
        <v>1620.05</v>
      </c>
      <c r="Z435" s="8" t="str">
        <f>IF(W434 &lt;= X433, "Low",IF(W434 &lt;= Y434, "Medium", "High"))</f>
        <v>Medium</v>
      </c>
      <c r="AA435">
        <v>0.214</v>
      </c>
      <c r="AB435">
        <f>IF(Table1[[#This Row],[DiscountPct]]&gt;0.2,1,0)</f>
        <v>1</v>
      </c>
      <c r="AC435" s="6">
        <v>13</v>
      </c>
      <c r="AD435" s="8">
        <f>Table1[[#This Row],[UnitPrice]]*Table1[[#This Row],[Quantity]]</f>
        <v>2480.92</v>
      </c>
      <c r="AE435" s="8">
        <f>Table1[[#This Row],[UnitCost]]*Table1[[#This Row],[Quantity]]</f>
        <v>2362.62</v>
      </c>
      <c r="AF435" s="8">
        <f>Table1[[#This Row],[GrossRevenue]]-Table1[[#This Row],[CostOfGoods]]</f>
        <v>118.30000000000018</v>
      </c>
      <c r="AG435" s="9">
        <f>IF(Table1[[#This Row],[GrossRevenue]]=0,0,Table1[[#This Row],[GrossProfit]]/Table1[[#This Row],[GrossRevenue]])</f>
        <v>4.7683923705722144E-2</v>
      </c>
    </row>
    <row r="436" spans="1:33" hidden="1" x14ac:dyDescent="0.45">
      <c r="A436" t="s">
        <v>449</v>
      </c>
      <c r="C436" s="3">
        <v>45217</v>
      </c>
      <c r="D436" s="3">
        <f>YEAR(Table1[[#This Row],[OrderDate]]) * 100 + MONTH(Table1[[#This Row],[OrderDate]])</f>
        <v>202310</v>
      </c>
      <c r="E436" s="3">
        <f>_xlfn.MINIFS(Table1[OrderMonthKey],Table1[Country],Table1[[#This Row],[Country]])</f>
        <v>202301</v>
      </c>
      <c r="F436" s="3">
        <f>Table1[[#This Row],[CountryFirstMonthKey]]</f>
        <v>202301</v>
      </c>
      <c r="G436" s="3">
        <f>12*(INT(Table1[[#This Row],[OrderMonthKey]]/100)-INT(Table1[[#This Row],[CohortMonthKey]]/100)) + (MOD(Table1[[#This Row],[OrderMonthKey]],100)-MOD(Table1[[#This Row],[CohortMonthKey]],100))</f>
        <v>9</v>
      </c>
      <c r="H436" s="3" t="str">
        <f>TEXT(Table1[[#This Row],[OrderDate]],"MMM-YYYY")</f>
        <v>Oct-2023</v>
      </c>
      <c r="I436" s="3" t="str">
        <f t="shared" si="18"/>
        <v>Q3-2024</v>
      </c>
      <c r="J436" s="3" t="str">
        <f>IF(Table1[[#This Row],[LeadTimeDays]]&lt;=7,"Yes","No")</f>
        <v>Yes</v>
      </c>
      <c r="K436" s="3">
        <f>_xlfn.DAYS(Table1[[#This Row],[CorrectedRequiredDate]],Table1[[#This Row],[OrderDate]])</f>
        <v>2</v>
      </c>
      <c r="L436" s="3">
        <f>IF(Table1[[#This Row],[RequiredDate]]&lt;Table1[[#This Row],[OrderDate]],Table1[[#This Row],[OrderDate]],Table1[[#This Row],[RequiredDate]])</f>
        <v>45219</v>
      </c>
      <c r="M436" s="3">
        <v>45219</v>
      </c>
      <c r="N436" t="s">
        <v>646</v>
      </c>
      <c r="O436" t="s">
        <v>650</v>
      </c>
      <c r="P436" t="s">
        <v>662</v>
      </c>
      <c r="Q436" t="s">
        <v>704</v>
      </c>
      <c r="R436" t="s">
        <v>707</v>
      </c>
      <c r="S436" t="s">
        <v>713</v>
      </c>
      <c r="T436" t="s">
        <v>730</v>
      </c>
      <c r="U436" t="s">
        <v>1167</v>
      </c>
      <c r="V436" s="8">
        <v>774.12</v>
      </c>
      <c r="W436" s="8">
        <v>908.3</v>
      </c>
      <c r="X436" s="8">
        <f t="shared" si="19"/>
        <v>815.10700000000008</v>
      </c>
      <c r="Y436" s="8">
        <f t="shared" si="20"/>
        <v>1620.05</v>
      </c>
      <c r="AA436">
        <v>0</v>
      </c>
      <c r="AB436">
        <f>IF(Table1[[#This Row],[DiscountPct]]&gt;0.2,1,0)</f>
        <v>0</v>
      </c>
      <c r="AC436" s="6">
        <v>30</v>
      </c>
      <c r="AD436" s="8">
        <f>Table1[[#This Row],[UnitPrice]]*Table1[[#This Row],[Quantity]]</f>
        <v>27249</v>
      </c>
      <c r="AE436" s="8">
        <f>Table1[[#This Row],[UnitCost]]*Table1[[#This Row],[Quantity]]</f>
        <v>23223.599999999999</v>
      </c>
      <c r="AF436" s="8">
        <f>Table1[[#This Row],[GrossRevenue]]-Table1[[#This Row],[CostOfGoods]]</f>
        <v>4025.4000000000015</v>
      </c>
      <c r="AG436" s="8">
        <f>IF(Table1[[#This Row],[GrossRevenue]]=0,0,Table1[[#This Row],[GrossProfit]]/Table1[[#This Row],[GrossRevenue]])</f>
        <v>0.14772652207420461</v>
      </c>
    </row>
    <row r="437" spans="1:33" x14ac:dyDescent="0.45">
      <c r="A437" t="s">
        <v>450</v>
      </c>
      <c r="B437">
        <v>1</v>
      </c>
      <c r="C437" s="3">
        <v>45650</v>
      </c>
      <c r="D437" s="6">
        <f>YEAR(Table1[[#This Row],[OrderDate]]) * 100 + MONTH(Table1[[#This Row],[OrderDate]])</f>
        <v>202412</v>
      </c>
      <c r="E437" s="6">
        <f>_xlfn.MINIFS(Table1[OrderMonthKey],Table1[Country],Table1[[#This Row],[Country]])</f>
        <v>202302</v>
      </c>
      <c r="F437" s="6">
        <f>Table1[[#This Row],[CountryFirstMonthKey]]</f>
        <v>202302</v>
      </c>
      <c r="G437" s="6">
        <f>12*(INT(Table1[[#This Row],[OrderMonthKey]]/100)-INT(Table1[[#This Row],[CohortMonthKey]]/100)) + (MOD(Table1[[#This Row],[OrderMonthKey]],100)-MOD(Table1[[#This Row],[CohortMonthKey]],100))</f>
        <v>22</v>
      </c>
      <c r="H437" s="3" t="str">
        <f>TEXT(Table1[[#This Row],[OrderDate]],"MMM-YYYY")</f>
        <v>Dec-2024</v>
      </c>
      <c r="I437" s="3" t="str">
        <f t="shared" si="18"/>
        <v>Q4-2023</v>
      </c>
      <c r="J437" s="26" t="str">
        <f>IF(Table1[[#This Row],[LeadTimeDays]]&lt;=7,"Yes","No")</f>
        <v>No</v>
      </c>
      <c r="K437" s="6">
        <f>_xlfn.DAYS(Table1[[#This Row],[CorrectedRequiredDate]],Table1[[#This Row],[OrderDate]])</f>
        <v>20</v>
      </c>
      <c r="L437" s="3">
        <f>IF(Table1[[#This Row],[RequiredDate]]&lt;Table1[[#This Row],[OrderDate]],Table1[[#This Row],[OrderDate]],Table1[[#This Row],[RequiredDate]])</f>
        <v>45670</v>
      </c>
      <c r="M437" s="3">
        <v>45670</v>
      </c>
      <c r="N437" t="s">
        <v>647</v>
      </c>
      <c r="O437" t="s">
        <v>654</v>
      </c>
      <c r="P437" t="s">
        <v>668</v>
      </c>
      <c r="Q437" t="s">
        <v>701</v>
      </c>
      <c r="R437" t="s">
        <v>709</v>
      </c>
      <c r="S437" t="s">
        <v>726</v>
      </c>
      <c r="T437" t="s">
        <v>729</v>
      </c>
      <c r="U437" t="s">
        <v>1168</v>
      </c>
      <c r="V437" s="8">
        <v>126.15</v>
      </c>
      <c r="W437" s="8">
        <v>284.23</v>
      </c>
      <c r="X437" s="8">
        <f t="shared" si="19"/>
        <v>815.10700000000008</v>
      </c>
      <c r="Y437" s="8">
        <f t="shared" si="20"/>
        <v>1620.05</v>
      </c>
      <c r="Z437" s="8" t="str">
        <f>IF(W436 &lt;= X435, "Low",IF(W436 &lt;= Y436, "Medium", "High"))</f>
        <v>Medium</v>
      </c>
      <c r="AA437">
        <v>0.113</v>
      </c>
      <c r="AB437">
        <f>IF(Table1[[#This Row],[DiscountPct]]&gt;0.2,1,0)</f>
        <v>0</v>
      </c>
      <c r="AC437" s="6">
        <v>22</v>
      </c>
      <c r="AD437" s="8">
        <f>Table1[[#This Row],[UnitPrice]]*Table1[[#This Row],[Quantity]]</f>
        <v>6253.06</v>
      </c>
      <c r="AE437" s="8">
        <f>Table1[[#This Row],[UnitCost]]*Table1[[#This Row],[Quantity]]</f>
        <v>2775.3</v>
      </c>
      <c r="AF437" s="8">
        <f>Table1[[#This Row],[GrossRevenue]]-Table1[[#This Row],[CostOfGoods]]</f>
        <v>3477.76</v>
      </c>
      <c r="AG437" s="9">
        <f>IF(Table1[[#This Row],[GrossRevenue]]=0,0,Table1[[#This Row],[GrossProfit]]/Table1[[#This Row],[GrossRevenue]])</f>
        <v>0.55616929951095939</v>
      </c>
    </row>
    <row r="438" spans="1:33" hidden="1" x14ac:dyDescent="0.45">
      <c r="A438" t="s">
        <v>451</v>
      </c>
      <c r="C438" s="3">
        <v>45037</v>
      </c>
      <c r="D438" s="3">
        <f>YEAR(Table1[[#This Row],[OrderDate]]) * 100 + MONTH(Table1[[#This Row],[OrderDate]])</f>
        <v>202304</v>
      </c>
      <c r="E438" s="3">
        <f>_xlfn.MINIFS(Table1[OrderMonthKey],Table1[Country],Table1[[#This Row],[Country]])</f>
        <v>202303</v>
      </c>
      <c r="F438" s="3">
        <f>Table1[[#This Row],[CountryFirstMonthKey]]</f>
        <v>202303</v>
      </c>
      <c r="G438" s="3">
        <f>12*(INT(Table1[[#This Row],[OrderMonthKey]]/100)-INT(Table1[[#This Row],[CohortMonthKey]]/100)) + (MOD(Table1[[#This Row],[OrderMonthKey]],100)-MOD(Table1[[#This Row],[CohortMonthKey]],100))</f>
        <v>1</v>
      </c>
      <c r="H438" s="3" t="str">
        <f>TEXT(Table1[[#This Row],[OrderDate]],"MMM-YYYY")</f>
        <v>Apr-2023</v>
      </c>
      <c r="I438" s="3" t="str">
        <f t="shared" si="18"/>
        <v>Q4-2024</v>
      </c>
      <c r="J438" s="3" t="str">
        <f>IF(Table1[[#This Row],[LeadTimeDays]]&lt;=7,"Yes","No")</f>
        <v>Yes</v>
      </c>
      <c r="K438" s="3">
        <f>_xlfn.DAYS(Table1[[#This Row],[CorrectedRequiredDate]],Table1[[#This Row],[OrderDate]])</f>
        <v>0</v>
      </c>
      <c r="L438" s="3">
        <f>IF(Table1[[#This Row],[RequiredDate]]&lt;Table1[[#This Row],[OrderDate]],Table1[[#This Row],[OrderDate]],Table1[[#This Row],[RequiredDate]])</f>
        <v>45037</v>
      </c>
      <c r="M438" s="3">
        <v>45035</v>
      </c>
      <c r="N438" t="s">
        <v>647</v>
      </c>
      <c r="O438" t="s">
        <v>652</v>
      </c>
      <c r="P438" t="s">
        <v>694</v>
      </c>
      <c r="Q438" t="s">
        <v>705</v>
      </c>
      <c r="R438" t="s">
        <v>711</v>
      </c>
      <c r="S438" t="s">
        <v>724</v>
      </c>
      <c r="T438" t="s">
        <v>727</v>
      </c>
      <c r="U438" t="s">
        <v>1169</v>
      </c>
      <c r="V438" s="8">
        <v>607.04</v>
      </c>
      <c r="W438" s="8">
        <v>1229.3399999999999</v>
      </c>
      <c r="X438" s="8">
        <f t="shared" si="19"/>
        <v>815.10700000000008</v>
      </c>
      <c r="Y438" s="8">
        <f t="shared" si="20"/>
        <v>1620.05</v>
      </c>
      <c r="AA438">
        <v>0.14699999999999999</v>
      </c>
      <c r="AB438">
        <f>IF(Table1[[#This Row],[DiscountPct]]&gt;0.2,1,0)</f>
        <v>0</v>
      </c>
      <c r="AC438" s="6">
        <v>7</v>
      </c>
      <c r="AD438" s="8">
        <f>Table1[[#This Row],[UnitPrice]]*Table1[[#This Row],[Quantity]]</f>
        <v>8605.3799999999992</v>
      </c>
      <c r="AE438" s="8">
        <f>Table1[[#This Row],[UnitCost]]*Table1[[#This Row],[Quantity]]</f>
        <v>4249.28</v>
      </c>
      <c r="AF438" s="8">
        <f>Table1[[#This Row],[GrossRevenue]]-Table1[[#This Row],[CostOfGoods]]</f>
        <v>4356.0999999999995</v>
      </c>
      <c r="AG438" s="8">
        <f>IF(Table1[[#This Row],[GrossRevenue]]=0,0,Table1[[#This Row],[GrossProfit]]/Table1[[#This Row],[GrossRevenue]])</f>
        <v>0.50620658239380478</v>
      </c>
    </row>
    <row r="439" spans="1:33" hidden="1" x14ac:dyDescent="0.45">
      <c r="A439" t="s">
        <v>452</v>
      </c>
      <c r="C439" s="3">
        <v>45290</v>
      </c>
      <c r="D439" s="3">
        <f>YEAR(Table1[[#This Row],[OrderDate]]) * 100 + MONTH(Table1[[#This Row],[OrderDate]])</f>
        <v>202312</v>
      </c>
      <c r="E439" s="3">
        <f>_xlfn.MINIFS(Table1[OrderMonthKey],Table1[Country],Table1[[#This Row],[Country]])</f>
        <v>202301</v>
      </c>
      <c r="F439" s="3">
        <f>Table1[[#This Row],[CountryFirstMonthKey]]</f>
        <v>202301</v>
      </c>
      <c r="G439" s="3">
        <f>12*(INT(Table1[[#This Row],[OrderMonthKey]]/100)-INT(Table1[[#This Row],[CohortMonthKey]]/100)) + (MOD(Table1[[#This Row],[OrderMonthKey]],100)-MOD(Table1[[#This Row],[CohortMonthKey]],100))</f>
        <v>11</v>
      </c>
      <c r="H439" s="3" t="str">
        <f>TEXT(Table1[[#This Row],[OrderDate]],"MMM-YYYY")</f>
        <v>Dec-2023</v>
      </c>
      <c r="I439" s="3" t="str">
        <f t="shared" si="18"/>
        <v>Q2-2023</v>
      </c>
      <c r="J439" s="3" t="str">
        <f>IF(Table1[[#This Row],[LeadTimeDays]]&lt;=7,"Yes","No")</f>
        <v>No</v>
      </c>
      <c r="K439" s="3">
        <f>_xlfn.DAYS(Table1[[#This Row],[CorrectedRequiredDate]],Table1[[#This Row],[OrderDate]])</f>
        <v>9</v>
      </c>
      <c r="L439" s="3">
        <f>IF(Table1[[#This Row],[RequiredDate]]&lt;Table1[[#This Row],[OrderDate]],Table1[[#This Row],[OrderDate]],Table1[[#This Row],[RequiredDate]])</f>
        <v>45299</v>
      </c>
      <c r="M439" s="3">
        <v>45299</v>
      </c>
      <c r="N439" t="s">
        <v>649</v>
      </c>
      <c r="O439" t="s">
        <v>657</v>
      </c>
      <c r="P439" t="s">
        <v>673</v>
      </c>
      <c r="Q439" t="s">
        <v>704</v>
      </c>
      <c r="R439" t="s">
        <v>709</v>
      </c>
      <c r="S439" t="s">
        <v>716</v>
      </c>
      <c r="T439" t="s">
        <v>733</v>
      </c>
      <c r="U439" t="s">
        <v>1170</v>
      </c>
      <c r="V439" s="8">
        <v>861.1</v>
      </c>
      <c r="W439" s="8">
        <v>1224.72</v>
      </c>
      <c r="X439" s="8">
        <f t="shared" si="19"/>
        <v>815.10700000000008</v>
      </c>
      <c r="Y439" s="8">
        <f t="shared" si="20"/>
        <v>1620.05</v>
      </c>
      <c r="AA439">
        <v>0.17399999999999999</v>
      </c>
      <c r="AB439">
        <f>IF(Table1[[#This Row],[DiscountPct]]&gt;0.2,1,0)</f>
        <v>0</v>
      </c>
      <c r="AC439" s="6">
        <v>24</v>
      </c>
      <c r="AD439" s="8">
        <f>Table1[[#This Row],[UnitPrice]]*Table1[[#This Row],[Quantity]]</f>
        <v>29393.279999999999</v>
      </c>
      <c r="AE439" s="8">
        <f>Table1[[#This Row],[UnitCost]]*Table1[[#This Row],[Quantity]]</f>
        <v>20666.400000000001</v>
      </c>
      <c r="AF439" s="8">
        <f>Table1[[#This Row],[GrossRevenue]]-Table1[[#This Row],[CostOfGoods]]</f>
        <v>8726.8799999999974</v>
      </c>
      <c r="AG439" s="8">
        <f>IF(Table1[[#This Row],[GrossRevenue]]=0,0,Table1[[#This Row],[GrossProfit]]/Table1[[#This Row],[GrossRevenue]])</f>
        <v>0.29690051603631845</v>
      </c>
    </row>
    <row r="440" spans="1:33" hidden="1" x14ac:dyDescent="0.45">
      <c r="A440" t="s">
        <v>453</v>
      </c>
      <c r="C440" s="3">
        <v>44978</v>
      </c>
      <c r="D440" s="3">
        <f>YEAR(Table1[[#This Row],[OrderDate]]) * 100 + MONTH(Table1[[#This Row],[OrderDate]])</f>
        <v>202302</v>
      </c>
      <c r="E440" s="3">
        <f>_xlfn.MINIFS(Table1[OrderMonthKey],Table1[Country],Table1[[#This Row],[Country]])</f>
        <v>202301</v>
      </c>
      <c r="F440" s="3">
        <f>Table1[[#This Row],[CountryFirstMonthKey]]</f>
        <v>202301</v>
      </c>
      <c r="G440" s="3">
        <f>12*(INT(Table1[[#This Row],[OrderMonthKey]]/100)-INT(Table1[[#This Row],[CohortMonthKey]]/100)) + (MOD(Table1[[#This Row],[OrderMonthKey]],100)-MOD(Table1[[#This Row],[CohortMonthKey]],100))</f>
        <v>1</v>
      </c>
      <c r="H440" s="3" t="str">
        <f>TEXT(Table1[[#This Row],[OrderDate]],"MMM-YYYY")</f>
        <v>Feb-2023</v>
      </c>
      <c r="I440" s="3" t="str">
        <f t="shared" si="18"/>
        <v>Q4-2023</v>
      </c>
      <c r="J440" s="3" t="str">
        <f>IF(Table1[[#This Row],[LeadTimeDays]]&lt;=7,"Yes","No")</f>
        <v>No</v>
      </c>
      <c r="K440" s="3">
        <f>_xlfn.DAYS(Table1[[#This Row],[CorrectedRequiredDate]],Table1[[#This Row],[OrderDate]])</f>
        <v>19</v>
      </c>
      <c r="L440" s="3">
        <f>IF(Table1[[#This Row],[RequiredDate]]&lt;Table1[[#This Row],[OrderDate]],Table1[[#This Row],[OrderDate]],Table1[[#This Row],[RequiredDate]])</f>
        <v>44997</v>
      </c>
      <c r="M440" s="3">
        <v>44997</v>
      </c>
      <c r="N440" t="s">
        <v>646</v>
      </c>
      <c r="O440" t="s">
        <v>650</v>
      </c>
      <c r="P440" t="s">
        <v>678</v>
      </c>
      <c r="Q440" t="s">
        <v>701</v>
      </c>
      <c r="R440" t="s">
        <v>708</v>
      </c>
      <c r="S440" t="s">
        <v>721</v>
      </c>
      <c r="T440" t="s">
        <v>729</v>
      </c>
      <c r="U440" t="s">
        <v>1171</v>
      </c>
      <c r="V440" s="8">
        <v>352.65</v>
      </c>
      <c r="W440" s="8">
        <v>485.86</v>
      </c>
      <c r="X440" s="8">
        <f t="shared" si="19"/>
        <v>815.10700000000008</v>
      </c>
      <c r="Y440" s="8">
        <f t="shared" si="20"/>
        <v>1620.05</v>
      </c>
      <c r="AA440">
        <v>4.1000000000000002E-2</v>
      </c>
      <c r="AB440">
        <f>IF(Table1[[#This Row],[DiscountPct]]&gt;0.2,1,0)</f>
        <v>0</v>
      </c>
      <c r="AC440" s="6">
        <v>6</v>
      </c>
      <c r="AD440" s="8">
        <f>Table1[[#This Row],[UnitPrice]]*Table1[[#This Row],[Quantity]]</f>
        <v>2915.16</v>
      </c>
      <c r="AE440" s="8">
        <f>Table1[[#This Row],[UnitCost]]*Table1[[#This Row],[Quantity]]</f>
        <v>2115.8999999999996</v>
      </c>
      <c r="AF440" s="8">
        <f>Table1[[#This Row],[GrossRevenue]]-Table1[[#This Row],[CostOfGoods]]</f>
        <v>799.26000000000022</v>
      </c>
      <c r="AG440" s="8">
        <f>IF(Table1[[#This Row],[GrossRevenue]]=0,0,Table1[[#This Row],[GrossProfit]]/Table1[[#This Row],[GrossRevenue]])</f>
        <v>0.2741736302638621</v>
      </c>
    </row>
    <row r="441" spans="1:33" x14ac:dyDescent="0.45">
      <c r="A441" t="s">
        <v>454</v>
      </c>
      <c r="B441">
        <v>1</v>
      </c>
      <c r="C441" s="3">
        <v>45063</v>
      </c>
      <c r="D441" s="6">
        <f>YEAR(Table1[[#This Row],[OrderDate]]) * 100 + MONTH(Table1[[#This Row],[OrderDate]])</f>
        <v>202305</v>
      </c>
      <c r="E441" s="6">
        <f>_xlfn.MINIFS(Table1[OrderMonthKey],Table1[Country],Table1[[#This Row],[Country]])</f>
        <v>202301</v>
      </c>
      <c r="F441" s="6">
        <f>Table1[[#This Row],[CountryFirstMonthKey]]</f>
        <v>202301</v>
      </c>
      <c r="G441" s="6">
        <f>12*(INT(Table1[[#This Row],[OrderMonthKey]]/100)-INT(Table1[[#This Row],[CohortMonthKey]]/100)) + (MOD(Table1[[#This Row],[OrderMonthKey]],100)-MOD(Table1[[#This Row],[CohortMonthKey]],100))</f>
        <v>4</v>
      </c>
      <c r="H441" s="3" t="str">
        <f>TEXT(Table1[[#This Row],[OrderDate]],"MMM-YYYY")</f>
        <v>May-2023</v>
      </c>
      <c r="I441" s="3" t="str">
        <f t="shared" si="18"/>
        <v>Q1-2023</v>
      </c>
      <c r="J441" s="26" t="str">
        <f>IF(Table1[[#This Row],[LeadTimeDays]]&lt;=7,"Yes","No")</f>
        <v>No</v>
      </c>
      <c r="K441" s="6">
        <f>_xlfn.DAYS(Table1[[#This Row],[CorrectedRequiredDate]],Table1[[#This Row],[OrderDate]])</f>
        <v>17</v>
      </c>
      <c r="L441" s="3">
        <f>IF(Table1[[#This Row],[RequiredDate]]&lt;Table1[[#This Row],[OrderDate]],Table1[[#This Row],[OrderDate]],Table1[[#This Row],[RequiredDate]])</f>
        <v>45080</v>
      </c>
      <c r="M441" s="3">
        <v>45080</v>
      </c>
      <c r="N441" t="s">
        <v>647</v>
      </c>
      <c r="O441" t="s">
        <v>659</v>
      </c>
      <c r="P441" t="s">
        <v>699</v>
      </c>
      <c r="Q441" t="s">
        <v>703</v>
      </c>
      <c r="R441" t="s">
        <v>710</v>
      </c>
      <c r="S441" t="s">
        <v>724</v>
      </c>
      <c r="T441" t="s">
        <v>728</v>
      </c>
      <c r="U441" t="s">
        <v>1172</v>
      </c>
      <c r="V441" s="8">
        <v>979.59</v>
      </c>
      <c r="W441" s="8">
        <v>2210.94</v>
      </c>
      <c r="X441" s="8">
        <f t="shared" si="19"/>
        <v>815.10700000000008</v>
      </c>
      <c r="Y441" s="8">
        <f t="shared" si="20"/>
        <v>1620.05</v>
      </c>
      <c r="Z441" s="8" t="str">
        <f>IF(W440 &lt;= X439, "Low",IF(W440 &lt;= Y440, "Medium", "High"))</f>
        <v>Low</v>
      </c>
      <c r="AA441">
        <v>0.15</v>
      </c>
      <c r="AB441">
        <f>IF(Table1[[#This Row],[DiscountPct]]&gt;0.2,1,0)</f>
        <v>0</v>
      </c>
      <c r="AC441" s="6">
        <v>11</v>
      </c>
      <c r="AD441" s="8">
        <f>Table1[[#This Row],[UnitPrice]]*Table1[[#This Row],[Quantity]]</f>
        <v>24320.34</v>
      </c>
      <c r="AE441" s="8">
        <f>Table1[[#This Row],[UnitCost]]*Table1[[#This Row],[Quantity]]</f>
        <v>10775.49</v>
      </c>
      <c r="AF441" s="8">
        <f>Table1[[#This Row],[GrossRevenue]]-Table1[[#This Row],[CostOfGoods]]</f>
        <v>13544.85</v>
      </c>
      <c r="AG441" s="9">
        <f>IF(Table1[[#This Row],[GrossRevenue]]=0,0,Table1[[#This Row],[GrossProfit]]/Table1[[#This Row],[GrossRevenue]])</f>
        <v>0.55693505929604603</v>
      </c>
    </row>
    <row r="442" spans="1:33" x14ac:dyDescent="0.45">
      <c r="A442" t="s">
        <v>455</v>
      </c>
      <c r="B442">
        <v>1</v>
      </c>
      <c r="C442" s="3">
        <v>45374</v>
      </c>
      <c r="D442" s="6">
        <f>YEAR(Table1[[#This Row],[OrderDate]]) * 100 + MONTH(Table1[[#This Row],[OrderDate]])</f>
        <v>202403</v>
      </c>
      <c r="E442" s="6">
        <f>_xlfn.MINIFS(Table1[OrderMonthKey],Table1[Country],Table1[[#This Row],[Country]])</f>
        <v>202302</v>
      </c>
      <c r="F442" s="6">
        <f>Table1[[#This Row],[CountryFirstMonthKey]]</f>
        <v>202302</v>
      </c>
      <c r="G442" s="6">
        <f>12*(INT(Table1[[#This Row],[OrderMonthKey]]/100)-INT(Table1[[#This Row],[CohortMonthKey]]/100)) + (MOD(Table1[[#This Row],[OrderMonthKey]],100)-MOD(Table1[[#This Row],[CohortMonthKey]],100))</f>
        <v>13</v>
      </c>
      <c r="H442" s="3" t="str">
        <f>TEXT(Table1[[#This Row],[OrderDate]],"MMM-YYYY")</f>
        <v>Mar-2024</v>
      </c>
      <c r="I442" s="3" t="str">
        <f t="shared" si="18"/>
        <v>Q2-2023</v>
      </c>
      <c r="J442" s="26" t="str">
        <f>IF(Table1[[#This Row],[LeadTimeDays]]&lt;=7,"Yes","No")</f>
        <v>Yes</v>
      </c>
      <c r="K442" s="6">
        <f>_xlfn.DAYS(Table1[[#This Row],[CorrectedRequiredDate]],Table1[[#This Row],[OrderDate]])</f>
        <v>3</v>
      </c>
      <c r="L442" s="3">
        <f>IF(Table1[[#This Row],[RequiredDate]]&lt;Table1[[#This Row],[OrderDate]],Table1[[#This Row],[OrderDate]],Table1[[#This Row],[RequiredDate]])</f>
        <v>45377</v>
      </c>
      <c r="M442" s="3">
        <v>45377</v>
      </c>
      <c r="N442" t="s">
        <v>647</v>
      </c>
      <c r="O442" t="s">
        <v>654</v>
      </c>
      <c r="P442" t="s">
        <v>1421</v>
      </c>
      <c r="Q442" t="s">
        <v>702</v>
      </c>
      <c r="R442" t="s">
        <v>711</v>
      </c>
      <c r="S442" t="s">
        <v>715</v>
      </c>
      <c r="T442" t="s">
        <v>730</v>
      </c>
      <c r="U442" t="s">
        <v>1173</v>
      </c>
      <c r="V442" s="8">
        <v>382.21</v>
      </c>
      <c r="W442" s="8">
        <v>571.89</v>
      </c>
      <c r="X442" s="8">
        <f t="shared" si="19"/>
        <v>815.10700000000008</v>
      </c>
      <c r="Y442" s="8">
        <f t="shared" si="20"/>
        <v>1620.05</v>
      </c>
      <c r="Z442" s="8" t="str">
        <f>IF(W441 &lt;= X440, "Low",IF(W441 &lt;= Y441, "Medium", "High"))</f>
        <v>High</v>
      </c>
      <c r="AA442">
        <v>0.14799999999999999</v>
      </c>
      <c r="AB442">
        <f>IF(Table1[[#This Row],[DiscountPct]]&gt;0.2,1,0)</f>
        <v>0</v>
      </c>
      <c r="AC442" s="6">
        <v>26</v>
      </c>
      <c r="AD442" s="8">
        <f>Table1[[#This Row],[UnitPrice]]*Table1[[#This Row],[Quantity]]</f>
        <v>14869.14</v>
      </c>
      <c r="AE442" s="8">
        <f>Table1[[#This Row],[UnitCost]]*Table1[[#This Row],[Quantity]]</f>
        <v>9937.4599999999991</v>
      </c>
      <c r="AF442" s="8">
        <f>Table1[[#This Row],[GrossRevenue]]-Table1[[#This Row],[CostOfGoods]]</f>
        <v>4931.68</v>
      </c>
      <c r="AG442" s="9">
        <f>IF(Table1[[#This Row],[GrossRevenue]]=0,0,Table1[[#This Row],[GrossProfit]]/Table1[[#This Row],[GrossRevenue]])</f>
        <v>0.33167217471891453</v>
      </c>
    </row>
    <row r="443" spans="1:33" x14ac:dyDescent="0.45">
      <c r="A443" t="s">
        <v>456</v>
      </c>
      <c r="B443">
        <v>1</v>
      </c>
      <c r="C443" s="3">
        <v>45189</v>
      </c>
      <c r="D443" s="6">
        <f>YEAR(Table1[[#This Row],[OrderDate]]) * 100 + MONTH(Table1[[#This Row],[OrderDate]])</f>
        <v>202309</v>
      </c>
      <c r="E443" s="6">
        <f>_xlfn.MINIFS(Table1[OrderMonthKey],Table1[Country],Table1[[#This Row],[Country]])</f>
        <v>202302</v>
      </c>
      <c r="F443" s="6">
        <f>Table1[[#This Row],[CountryFirstMonthKey]]</f>
        <v>202302</v>
      </c>
      <c r="G443" s="6">
        <f>12*(INT(Table1[[#This Row],[OrderMonthKey]]/100)-INT(Table1[[#This Row],[CohortMonthKey]]/100)) + (MOD(Table1[[#This Row],[OrderMonthKey]],100)-MOD(Table1[[#This Row],[CohortMonthKey]],100))</f>
        <v>7</v>
      </c>
      <c r="H443" s="3" t="str">
        <f>TEXT(Table1[[#This Row],[OrderDate]],"MMM-YYYY")</f>
        <v>Sep-2023</v>
      </c>
      <c r="I443" s="3" t="str">
        <f t="shared" si="18"/>
        <v>Q1-2024</v>
      </c>
      <c r="J443" s="26" t="str">
        <f>IF(Table1[[#This Row],[LeadTimeDays]]&lt;=7,"Yes","No")</f>
        <v>No</v>
      </c>
      <c r="K443" s="6">
        <f>_xlfn.DAYS(Table1[[#This Row],[CorrectedRequiredDate]],Table1[[#This Row],[OrderDate]])</f>
        <v>8</v>
      </c>
      <c r="L443" s="3">
        <f>IF(Table1[[#This Row],[RequiredDate]]&lt;Table1[[#This Row],[OrderDate]],Table1[[#This Row],[OrderDate]],Table1[[#This Row],[RequiredDate]])</f>
        <v>45197</v>
      </c>
      <c r="M443" s="3">
        <v>45197</v>
      </c>
      <c r="N443" t="s">
        <v>647</v>
      </c>
      <c r="O443" t="s">
        <v>654</v>
      </c>
      <c r="P443" t="s">
        <v>668</v>
      </c>
      <c r="Q443" t="s">
        <v>701</v>
      </c>
      <c r="R443" t="s">
        <v>708</v>
      </c>
      <c r="S443" t="s">
        <v>717</v>
      </c>
      <c r="T443" t="s">
        <v>733</v>
      </c>
      <c r="U443" t="s">
        <v>1174</v>
      </c>
      <c r="V443" s="8">
        <v>1362.06</v>
      </c>
      <c r="W443" s="8">
        <v>3398.37</v>
      </c>
      <c r="X443" s="8">
        <f t="shared" si="19"/>
        <v>815.10700000000008</v>
      </c>
      <c r="Y443" s="8">
        <f t="shared" si="20"/>
        <v>1620.05</v>
      </c>
      <c r="Z443" s="8" t="str">
        <f>IF(W442 &lt;= X441, "Low",IF(W442 &lt;= Y442, "Medium", "High"))</f>
        <v>Low</v>
      </c>
      <c r="AA443">
        <v>0.157</v>
      </c>
      <c r="AB443">
        <f>IF(Table1[[#This Row],[DiscountPct]]&gt;0.2,1,0)</f>
        <v>0</v>
      </c>
      <c r="AC443" s="6">
        <v>11</v>
      </c>
      <c r="AD443" s="8">
        <f>Table1[[#This Row],[UnitPrice]]*Table1[[#This Row],[Quantity]]</f>
        <v>37382.07</v>
      </c>
      <c r="AE443" s="8">
        <f>Table1[[#This Row],[UnitCost]]*Table1[[#This Row],[Quantity]]</f>
        <v>14982.66</v>
      </c>
      <c r="AF443" s="8">
        <f>Table1[[#This Row],[GrossRevenue]]-Table1[[#This Row],[CostOfGoods]]</f>
        <v>22399.41</v>
      </c>
      <c r="AG443" s="9">
        <f>IF(Table1[[#This Row],[GrossRevenue]]=0,0,Table1[[#This Row],[GrossProfit]]/Table1[[#This Row],[GrossRevenue]])</f>
        <v>0.59920197035637679</v>
      </c>
    </row>
    <row r="444" spans="1:33" hidden="1" x14ac:dyDescent="0.45">
      <c r="A444" t="s">
        <v>457</v>
      </c>
      <c r="C444" s="3">
        <v>45526</v>
      </c>
      <c r="D444" s="3">
        <f>YEAR(Table1[[#This Row],[OrderDate]]) * 100 + MONTH(Table1[[#This Row],[OrderDate]])</f>
        <v>202408</v>
      </c>
      <c r="E444" s="3">
        <f>_xlfn.MINIFS(Table1[OrderMonthKey],Table1[Country],Table1[[#This Row],[Country]])</f>
        <v>202301</v>
      </c>
      <c r="F444" s="3">
        <f>Table1[[#This Row],[CountryFirstMonthKey]]</f>
        <v>202301</v>
      </c>
      <c r="G444" s="3">
        <f>12*(INT(Table1[[#This Row],[OrderMonthKey]]/100)-INT(Table1[[#This Row],[CohortMonthKey]]/100)) + (MOD(Table1[[#This Row],[OrderMonthKey]],100)-MOD(Table1[[#This Row],[CohortMonthKey]],100))</f>
        <v>19</v>
      </c>
      <c r="H444" s="3" t="str">
        <f>TEXT(Table1[[#This Row],[OrderDate]],"MMM-YYYY")</f>
        <v>Aug-2024</v>
      </c>
      <c r="I444" s="3" t="str">
        <f t="shared" si="18"/>
        <v>Q3-2023</v>
      </c>
      <c r="J444" s="3" t="str">
        <f>IF(Table1[[#This Row],[LeadTimeDays]]&lt;=7,"Yes","No")</f>
        <v>No</v>
      </c>
      <c r="K444" s="3">
        <f>_xlfn.DAYS(Table1[[#This Row],[CorrectedRequiredDate]],Table1[[#This Row],[OrderDate]])</f>
        <v>13</v>
      </c>
      <c r="L444" s="3">
        <f>IF(Table1[[#This Row],[RequiredDate]]&lt;Table1[[#This Row],[OrderDate]],Table1[[#This Row],[OrderDate]],Table1[[#This Row],[RequiredDate]])</f>
        <v>45539</v>
      </c>
      <c r="M444" s="3">
        <v>45539</v>
      </c>
      <c r="N444" t="s">
        <v>649</v>
      </c>
      <c r="O444" t="s">
        <v>656</v>
      </c>
      <c r="P444" t="s">
        <v>698</v>
      </c>
      <c r="Q444" t="s">
        <v>703</v>
      </c>
      <c r="R444" t="s">
        <v>707</v>
      </c>
      <c r="S444" t="s">
        <v>716</v>
      </c>
      <c r="T444" t="s">
        <v>728</v>
      </c>
      <c r="U444" t="s">
        <v>1175</v>
      </c>
      <c r="V444" s="8">
        <v>90.04</v>
      </c>
      <c r="W444" s="8">
        <v>194.62</v>
      </c>
      <c r="X444" s="8">
        <f t="shared" si="19"/>
        <v>815.10700000000008</v>
      </c>
      <c r="Y444" s="8">
        <f t="shared" si="20"/>
        <v>1620.05</v>
      </c>
      <c r="AA444">
        <v>4.2999999999999997E-2</v>
      </c>
      <c r="AB444">
        <f>IF(Table1[[#This Row],[DiscountPct]]&gt;0.2,1,0)</f>
        <v>0</v>
      </c>
      <c r="AC444" s="6">
        <v>32</v>
      </c>
      <c r="AD444" s="8">
        <f>Table1[[#This Row],[UnitPrice]]*Table1[[#This Row],[Quantity]]</f>
        <v>6227.84</v>
      </c>
      <c r="AE444" s="8">
        <f>Table1[[#This Row],[UnitCost]]*Table1[[#This Row],[Quantity]]</f>
        <v>2881.28</v>
      </c>
      <c r="AF444" s="8">
        <f>Table1[[#This Row],[GrossRevenue]]-Table1[[#This Row],[CostOfGoods]]</f>
        <v>3346.56</v>
      </c>
      <c r="AG444" s="8">
        <f>IF(Table1[[#This Row],[GrossRevenue]]=0,0,Table1[[#This Row],[GrossProfit]]/Table1[[#This Row],[GrossRevenue]])</f>
        <v>0.53735484533963618</v>
      </c>
    </row>
    <row r="445" spans="1:33" x14ac:dyDescent="0.45">
      <c r="A445" t="s">
        <v>458</v>
      </c>
      <c r="B445">
        <v>1</v>
      </c>
      <c r="C445" s="3">
        <v>45560</v>
      </c>
      <c r="D445" s="6">
        <f>YEAR(Table1[[#This Row],[OrderDate]]) * 100 + MONTH(Table1[[#This Row],[OrderDate]])</f>
        <v>202409</v>
      </c>
      <c r="E445" s="6">
        <f>_xlfn.MINIFS(Table1[OrderMonthKey],Table1[Country],Table1[[#This Row],[Country]])</f>
        <v>202301</v>
      </c>
      <c r="F445" s="6">
        <f>Table1[[#This Row],[CountryFirstMonthKey]]</f>
        <v>202301</v>
      </c>
      <c r="G445" s="6">
        <f>12*(INT(Table1[[#This Row],[OrderMonthKey]]/100)-INT(Table1[[#This Row],[CohortMonthKey]]/100)) + (MOD(Table1[[#This Row],[OrderMonthKey]],100)-MOD(Table1[[#This Row],[CohortMonthKey]],100))</f>
        <v>20</v>
      </c>
      <c r="H445" s="3" t="str">
        <f>TEXT(Table1[[#This Row],[OrderDate]],"MMM-YYYY")</f>
        <v>Sep-2024</v>
      </c>
      <c r="I445" s="3" t="str">
        <f t="shared" si="18"/>
        <v>Q3-2024</v>
      </c>
      <c r="J445" s="26" t="str">
        <f>IF(Table1[[#This Row],[LeadTimeDays]]&lt;=7,"Yes","No")</f>
        <v>No</v>
      </c>
      <c r="K445" s="6">
        <f>_xlfn.DAYS(Table1[[#This Row],[CorrectedRequiredDate]],Table1[[#This Row],[OrderDate]])</f>
        <v>8</v>
      </c>
      <c r="L445" s="3">
        <f>IF(Table1[[#This Row],[RequiredDate]]&lt;Table1[[#This Row],[OrderDate]],Table1[[#This Row],[OrderDate]],Table1[[#This Row],[RequiredDate]])</f>
        <v>45568</v>
      </c>
      <c r="M445" s="3">
        <v>45568</v>
      </c>
      <c r="N445" t="s">
        <v>648</v>
      </c>
      <c r="O445" t="s">
        <v>653</v>
      </c>
      <c r="P445" t="s">
        <v>667</v>
      </c>
      <c r="Q445" t="s">
        <v>704</v>
      </c>
      <c r="R445" t="s">
        <v>708</v>
      </c>
      <c r="S445" t="s">
        <v>718</v>
      </c>
      <c r="T445" t="s">
        <v>728</v>
      </c>
      <c r="U445" t="s">
        <v>1176</v>
      </c>
      <c r="V445" s="8">
        <v>558.19000000000005</v>
      </c>
      <c r="W445" s="8">
        <v>1031.6400000000001</v>
      </c>
      <c r="X445" s="8">
        <f t="shared" si="19"/>
        <v>815.10700000000008</v>
      </c>
      <c r="Y445" s="8">
        <f t="shared" si="20"/>
        <v>1620.05</v>
      </c>
      <c r="Z445" s="8" t="str">
        <f>IF(W444 &lt;= X443, "Low",IF(W444 &lt;= Y444, "Medium", "High"))</f>
        <v>Low</v>
      </c>
      <c r="AA445">
        <v>0</v>
      </c>
      <c r="AB445">
        <f>IF(Table1[[#This Row],[DiscountPct]]&gt;0.2,1,0)</f>
        <v>0</v>
      </c>
      <c r="AC445" s="6">
        <v>21</v>
      </c>
      <c r="AD445" s="8">
        <f>Table1[[#This Row],[UnitPrice]]*Table1[[#This Row],[Quantity]]</f>
        <v>21664.440000000002</v>
      </c>
      <c r="AE445" s="8">
        <f>Table1[[#This Row],[UnitCost]]*Table1[[#This Row],[Quantity]]</f>
        <v>11721.990000000002</v>
      </c>
      <c r="AF445" s="8">
        <f>Table1[[#This Row],[GrossRevenue]]-Table1[[#This Row],[CostOfGoods]]</f>
        <v>9942.4500000000007</v>
      </c>
      <c r="AG445" s="9">
        <f>IF(Table1[[#This Row],[GrossRevenue]]=0,0,Table1[[#This Row],[GrossProfit]]/Table1[[#This Row],[GrossRevenue]])</f>
        <v>0.45892947152107322</v>
      </c>
    </row>
    <row r="446" spans="1:33" x14ac:dyDescent="0.45">
      <c r="A446" t="s">
        <v>459</v>
      </c>
      <c r="B446">
        <v>1</v>
      </c>
      <c r="C446" s="3">
        <v>45090</v>
      </c>
      <c r="D446" s="6">
        <f>YEAR(Table1[[#This Row],[OrderDate]]) * 100 + MONTH(Table1[[#This Row],[OrderDate]])</f>
        <v>202306</v>
      </c>
      <c r="E446" s="6">
        <f>_xlfn.MINIFS(Table1[OrderMonthKey],Table1[Country],Table1[[#This Row],[Country]])</f>
        <v>202301</v>
      </c>
      <c r="F446" s="6">
        <f>Table1[[#This Row],[CountryFirstMonthKey]]</f>
        <v>202301</v>
      </c>
      <c r="G446" s="6">
        <f>12*(INT(Table1[[#This Row],[OrderMonthKey]]/100)-INT(Table1[[#This Row],[CohortMonthKey]]/100)) + (MOD(Table1[[#This Row],[OrderMonthKey]],100)-MOD(Table1[[#This Row],[CohortMonthKey]],100))</f>
        <v>5</v>
      </c>
      <c r="H446" s="3" t="str">
        <f>TEXT(Table1[[#This Row],[OrderDate]],"MMM-YYYY")</f>
        <v>Jun-2023</v>
      </c>
      <c r="I446" s="3" t="str">
        <f t="shared" si="18"/>
        <v>Q3-2024</v>
      </c>
      <c r="J446" s="26" t="str">
        <f>IF(Table1[[#This Row],[LeadTimeDays]]&lt;=7,"Yes","No")</f>
        <v>No</v>
      </c>
      <c r="K446" s="6">
        <f>_xlfn.DAYS(Table1[[#This Row],[CorrectedRequiredDate]],Table1[[#This Row],[OrderDate]])</f>
        <v>11</v>
      </c>
      <c r="L446" s="3">
        <f>IF(Table1[[#This Row],[RequiredDate]]&lt;Table1[[#This Row],[OrderDate]],Table1[[#This Row],[OrderDate]],Table1[[#This Row],[RequiredDate]])</f>
        <v>45101</v>
      </c>
      <c r="M446" s="3">
        <v>45101</v>
      </c>
      <c r="N446" t="s">
        <v>648</v>
      </c>
      <c r="O446" t="s">
        <v>653</v>
      </c>
      <c r="P446" t="s">
        <v>667</v>
      </c>
      <c r="Q446" t="s">
        <v>701</v>
      </c>
      <c r="R446" t="s">
        <v>708</v>
      </c>
      <c r="S446" t="s">
        <v>712</v>
      </c>
      <c r="T446" t="s">
        <v>728</v>
      </c>
      <c r="U446" t="s">
        <v>1177</v>
      </c>
      <c r="V446" s="8">
        <v>247.07</v>
      </c>
      <c r="W446" s="8">
        <v>495.19</v>
      </c>
      <c r="X446" s="8">
        <f t="shared" si="19"/>
        <v>815.10700000000008</v>
      </c>
      <c r="Y446" s="8">
        <f t="shared" si="20"/>
        <v>1620.05</v>
      </c>
      <c r="Z446" s="8" t="str">
        <f>IF(W445 &lt;= X444, "Low",IF(W445 &lt;= Y445, "Medium", "High"))</f>
        <v>Medium</v>
      </c>
      <c r="AA446">
        <v>2.8000000000000001E-2</v>
      </c>
      <c r="AB446">
        <f>IF(Table1[[#This Row],[DiscountPct]]&gt;0.2,1,0)</f>
        <v>0</v>
      </c>
      <c r="AC446" s="6">
        <v>4</v>
      </c>
      <c r="AD446" s="8">
        <f>Table1[[#This Row],[UnitPrice]]*Table1[[#This Row],[Quantity]]</f>
        <v>1980.76</v>
      </c>
      <c r="AE446" s="8">
        <f>Table1[[#This Row],[UnitCost]]*Table1[[#This Row],[Quantity]]</f>
        <v>988.28</v>
      </c>
      <c r="AF446" s="8">
        <f>Table1[[#This Row],[GrossRevenue]]-Table1[[#This Row],[CostOfGoods]]</f>
        <v>992.48</v>
      </c>
      <c r="AG446" s="9">
        <f>IF(Table1[[#This Row],[GrossRevenue]]=0,0,Table1[[#This Row],[GrossProfit]]/Table1[[#This Row],[GrossRevenue]])</f>
        <v>0.50106019911549105</v>
      </c>
    </row>
    <row r="447" spans="1:33" hidden="1" x14ac:dyDescent="0.45">
      <c r="A447" t="s">
        <v>460</v>
      </c>
      <c r="C447" s="3">
        <v>45284</v>
      </c>
      <c r="D447" s="3">
        <f>YEAR(Table1[[#This Row],[OrderDate]]) * 100 + MONTH(Table1[[#This Row],[OrderDate]])</f>
        <v>202312</v>
      </c>
      <c r="E447" s="3">
        <f>_xlfn.MINIFS(Table1[OrderMonthKey],Table1[Country],Table1[[#This Row],[Country]])</f>
        <v>202303</v>
      </c>
      <c r="F447" s="3">
        <f>Table1[[#This Row],[CountryFirstMonthKey]]</f>
        <v>202303</v>
      </c>
      <c r="G447" s="3">
        <f>12*(INT(Table1[[#This Row],[OrderMonthKey]]/100)-INT(Table1[[#This Row],[CohortMonthKey]]/100)) + (MOD(Table1[[#This Row],[OrderMonthKey]],100)-MOD(Table1[[#This Row],[CohortMonthKey]],100))</f>
        <v>9</v>
      </c>
      <c r="H447" s="3" t="str">
        <f>TEXT(Table1[[#This Row],[OrderDate]],"MMM-YYYY")</f>
        <v>Dec-2023</v>
      </c>
      <c r="I447" s="3" t="str">
        <f t="shared" si="18"/>
        <v>Q2-2023</v>
      </c>
      <c r="J447" s="3" t="str">
        <f>IF(Table1[[#This Row],[LeadTimeDays]]&lt;=7,"Yes","No")</f>
        <v>No</v>
      </c>
      <c r="K447" s="3">
        <f>_xlfn.DAYS(Table1[[#This Row],[CorrectedRequiredDate]],Table1[[#This Row],[OrderDate]])</f>
        <v>20</v>
      </c>
      <c r="L447" s="3">
        <f>IF(Table1[[#This Row],[RequiredDate]]&lt;Table1[[#This Row],[OrderDate]],Table1[[#This Row],[OrderDate]],Table1[[#This Row],[RequiredDate]])</f>
        <v>45304</v>
      </c>
      <c r="M447" s="3">
        <v>45304</v>
      </c>
      <c r="N447" t="s">
        <v>647</v>
      </c>
      <c r="O447" t="s">
        <v>652</v>
      </c>
      <c r="P447" t="s">
        <v>694</v>
      </c>
      <c r="Q447" t="s">
        <v>702</v>
      </c>
      <c r="R447" t="s">
        <v>711</v>
      </c>
      <c r="S447" t="s">
        <v>717</v>
      </c>
      <c r="T447" t="s">
        <v>731</v>
      </c>
      <c r="U447" t="s">
        <v>1178</v>
      </c>
      <c r="V447" s="8">
        <v>625.37</v>
      </c>
      <c r="W447" s="8">
        <v>1319.04</v>
      </c>
      <c r="X447" s="8">
        <f t="shared" si="19"/>
        <v>815.10700000000008</v>
      </c>
      <c r="Y447" s="8">
        <f t="shared" si="20"/>
        <v>1620.05</v>
      </c>
      <c r="AA447">
        <v>7.3999999999999996E-2</v>
      </c>
      <c r="AB447">
        <f>IF(Table1[[#This Row],[DiscountPct]]&gt;0.2,1,0)</f>
        <v>0</v>
      </c>
      <c r="AC447" s="6">
        <v>8</v>
      </c>
      <c r="AD447" s="8">
        <f>Table1[[#This Row],[UnitPrice]]*Table1[[#This Row],[Quantity]]</f>
        <v>10552.32</v>
      </c>
      <c r="AE447" s="8">
        <f>Table1[[#This Row],[UnitCost]]*Table1[[#This Row],[Quantity]]</f>
        <v>5002.96</v>
      </c>
      <c r="AF447" s="8">
        <f>Table1[[#This Row],[GrossRevenue]]-Table1[[#This Row],[CostOfGoods]]</f>
        <v>5549.36</v>
      </c>
      <c r="AG447" s="8">
        <f>IF(Table1[[#This Row],[GrossRevenue]]=0,0,Table1[[#This Row],[GrossProfit]]/Table1[[#This Row],[GrossRevenue]])</f>
        <v>0.52589004124211547</v>
      </c>
    </row>
    <row r="448" spans="1:33" hidden="1" x14ac:dyDescent="0.45">
      <c r="A448" t="s">
        <v>461</v>
      </c>
      <c r="C448" s="3">
        <v>45746</v>
      </c>
      <c r="D448" s="3">
        <f>YEAR(Table1[[#This Row],[OrderDate]]) * 100 + MONTH(Table1[[#This Row],[OrderDate]])</f>
        <v>202503</v>
      </c>
      <c r="E448" s="3">
        <f>_xlfn.MINIFS(Table1[OrderMonthKey],Table1[Country],Table1[[#This Row],[Country]])</f>
        <v>202301</v>
      </c>
      <c r="F448" s="3">
        <f>Table1[[#This Row],[CountryFirstMonthKey]]</f>
        <v>202301</v>
      </c>
      <c r="G448" s="3">
        <f>12*(INT(Table1[[#This Row],[OrderMonthKey]]/100)-INT(Table1[[#This Row],[CohortMonthKey]]/100)) + (MOD(Table1[[#This Row],[OrderMonthKey]],100)-MOD(Table1[[#This Row],[CohortMonthKey]],100))</f>
        <v>26</v>
      </c>
      <c r="H448" s="3" t="str">
        <f>TEXT(Table1[[#This Row],[OrderDate]],"MMM-YYYY")</f>
        <v>Mar-2025</v>
      </c>
      <c r="I448" s="3" t="str">
        <f t="shared" si="18"/>
        <v>Q4-2023</v>
      </c>
      <c r="J448" s="3" t="str">
        <f>IF(Table1[[#This Row],[LeadTimeDays]]&lt;=7,"Yes","No")</f>
        <v>No</v>
      </c>
      <c r="K448" s="3">
        <f>_xlfn.DAYS(Table1[[#This Row],[CorrectedRequiredDate]],Table1[[#This Row],[OrderDate]])</f>
        <v>30</v>
      </c>
      <c r="L448" s="3">
        <f>IF(Table1[[#This Row],[RequiredDate]]&lt;Table1[[#This Row],[OrderDate]],Table1[[#This Row],[OrderDate]],Table1[[#This Row],[RequiredDate]])</f>
        <v>45776</v>
      </c>
      <c r="M448" s="3">
        <v>45776</v>
      </c>
      <c r="N448" t="s">
        <v>646</v>
      </c>
      <c r="O448" t="s">
        <v>661</v>
      </c>
      <c r="P448" t="s">
        <v>687</v>
      </c>
      <c r="Q448" t="s">
        <v>704</v>
      </c>
      <c r="R448" t="s">
        <v>709</v>
      </c>
      <c r="S448" t="s">
        <v>713</v>
      </c>
      <c r="T448" t="s">
        <v>732</v>
      </c>
      <c r="U448" t="s">
        <v>1179</v>
      </c>
      <c r="V448" s="8">
        <v>194.6</v>
      </c>
      <c r="W448" s="8">
        <v>314.87</v>
      </c>
      <c r="X448" s="8">
        <f t="shared" si="19"/>
        <v>815.10700000000008</v>
      </c>
      <c r="Y448" s="8">
        <f t="shared" si="20"/>
        <v>1620.05</v>
      </c>
      <c r="AA448">
        <v>0.29299999999999998</v>
      </c>
      <c r="AB448">
        <f>IF(Table1[[#This Row],[DiscountPct]]&gt;0.2,1,0)</f>
        <v>1</v>
      </c>
      <c r="AC448" s="6">
        <v>25</v>
      </c>
      <c r="AD448" s="8">
        <f>Table1[[#This Row],[UnitPrice]]*Table1[[#This Row],[Quantity]]</f>
        <v>7871.75</v>
      </c>
      <c r="AE448" s="8">
        <f>Table1[[#This Row],[UnitCost]]*Table1[[#This Row],[Quantity]]</f>
        <v>4865</v>
      </c>
      <c r="AF448" s="8">
        <f>Table1[[#This Row],[GrossRevenue]]-Table1[[#This Row],[CostOfGoods]]</f>
        <v>3006.75</v>
      </c>
      <c r="AG448" s="8">
        <f>IF(Table1[[#This Row],[GrossRevenue]]=0,0,Table1[[#This Row],[GrossProfit]]/Table1[[#This Row],[GrossRevenue]])</f>
        <v>0.38196716105059231</v>
      </c>
    </row>
    <row r="449" spans="1:33" x14ac:dyDescent="0.45">
      <c r="A449" t="s">
        <v>462</v>
      </c>
      <c r="B449">
        <v>1</v>
      </c>
      <c r="C449" s="3">
        <v>45446</v>
      </c>
      <c r="D449" s="6">
        <f>YEAR(Table1[[#This Row],[OrderDate]]) * 100 + MONTH(Table1[[#This Row],[OrderDate]])</f>
        <v>202406</v>
      </c>
      <c r="E449" s="6">
        <f>_xlfn.MINIFS(Table1[OrderMonthKey],Table1[Country],Table1[[#This Row],[Country]])</f>
        <v>202301</v>
      </c>
      <c r="F449" s="6">
        <f>Table1[[#This Row],[CountryFirstMonthKey]]</f>
        <v>202301</v>
      </c>
      <c r="G449" s="6">
        <f>12*(INT(Table1[[#This Row],[OrderMonthKey]]/100)-INT(Table1[[#This Row],[CohortMonthKey]]/100)) + (MOD(Table1[[#This Row],[OrderMonthKey]],100)-MOD(Table1[[#This Row],[CohortMonthKey]],100))</f>
        <v>17</v>
      </c>
      <c r="H449" s="3" t="str">
        <f>TEXT(Table1[[#This Row],[OrderDate]],"MMM-YYYY")</f>
        <v>Jun-2024</v>
      </c>
      <c r="I449" s="3" t="str">
        <f t="shared" si="18"/>
        <v>Q1-2025</v>
      </c>
      <c r="J449" s="26" t="str">
        <f>IF(Table1[[#This Row],[LeadTimeDays]]&lt;=7,"Yes","No")</f>
        <v>No</v>
      </c>
      <c r="K449" s="6">
        <f>_xlfn.DAYS(Table1[[#This Row],[CorrectedRequiredDate]],Table1[[#This Row],[OrderDate]])</f>
        <v>21</v>
      </c>
      <c r="L449" s="3">
        <f>IF(Table1[[#This Row],[RequiredDate]]&lt;Table1[[#This Row],[OrderDate]],Table1[[#This Row],[OrderDate]],Table1[[#This Row],[RequiredDate]])</f>
        <v>45467</v>
      </c>
      <c r="M449" s="3">
        <v>45467</v>
      </c>
      <c r="N449" t="s">
        <v>648</v>
      </c>
      <c r="O449" t="s">
        <v>653</v>
      </c>
      <c r="P449" t="s">
        <v>667</v>
      </c>
      <c r="Q449" t="s">
        <v>705</v>
      </c>
      <c r="R449" t="s">
        <v>711</v>
      </c>
      <c r="S449" t="s">
        <v>715</v>
      </c>
      <c r="T449" t="s">
        <v>732</v>
      </c>
      <c r="U449" t="s">
        <v>1180</v>
      </c>
      <c r="V449" s="8">
        <v>1205.5</v>
      </c>
      <c r="W449" s="8">
        <v>2210.17</v>
      </c>
      <c r="X449" s="8">
        <f t="shared" si="19"/>
        <v>815.10700000000008</v>
      </c>
      <c r="Y449" s="8">
        <f t="shared" si="20"/>
        <v>1620.05</v>
      </c>
      <c r="Z449" s="8" t="str">
        <f>IF(W448 &lt;= X447, "Low",IF(W448 &lt;= Y448, "Medium", "High"))</f>
        <v>Low</v>
      </c>
      <c r="AA449">
        <v>0.104</v>
      </c>
      <c r="AB449">
        <f>IF(Table1[[#This Row],[DiscountPct]]&gt;0.2,1,0)</f>
        <v>0</v>
      </c>
      <c r="AC449" s="6">
        <v>23</v>
      </c>
      <c r="AD449" s="8">
        <f>Table1[[#This Row],[UnitPrice]]*Table1[[#This Row],[Quantity]]</f>
        <v>50833.91</v>
      </c>
      <c r="AE449" s="8">
        <f>Table1[[#This Row],[UnitCost]]*Table1[[#This Row],[Quantity]]</f>
        <v>27726.5</v>
      </c>
      <c r="AF449" s="8">
        <f>Table1[[#This Row],[GrossRevenue]]-Table1[[#This Row],[CostOfGoods]]</f>
        <v>23107.410000000003</v>
      </c>
      <c r="AG449" s="9">
        <f>IF(Table1[[#This Row],[GrossRevenue]]=0,0,Table1[[#This Row],[GrossProfit]]/Table1[[#This Row],[GrossRevenue]])</f>
        <v>0.45456684327449931</v>
      </c>
    </row>
    <row r="450" spans="1:33" x14ac:dyDescent="0.45">
      <c r="A450" t="s">
        <v>463</v>
      </c>
      <c r="B450">
        <v>1</v>
      </c>
      <c r="C450" s="3">
        <v>45454</v>
      </c>
      <c r="D450" s="6">
        <f>YEAR(Table1[[#This Row],[OrderDate]]) * 100 + MONTH(Table1[[#This Row],[OrderDate]])</f>
        <v>202406</v>
      </c>
      <c r="E450" s="6">
        <f>_xlfn.MINIFS(Table1[OrderMonthKey],Table1[Country],Table1[[#This Row],[Country]])</f>
        <v>202301</v>
      </c>
      <c r="F450" s="6">
        <f>Table1[[#This Row],[CountryFirstMonthKey]]</f>
        <v>202301</v>
      </c>
      <c r="G450" s="6">
        <f>12*(INT(Table1[[#This Row],[OrderMonthKey]]/100)-INT(Table1[[#This Row],[CohortMonthKey]]/100)) + (MOD(Table1[[#This Row],[OrderMonthKey]],100)-MOD(Table1[[#This Row],[CohortMonthKey]],100))</f>
        <v>17</v>
      </c>
      <c r="H450" s="3" t="str">
        <f>TEXT(Table1[[#This Row],[OrderDate]],"MMM-YYYY")</f>
        <v>Jun-2024</v>
      </c>
      <c r="I450" s="3" t="str">
        <f t="shared" ref="I450:I513" si="24">"Q" &amp; ROUNDUP(MONTH(C449)/3,0) &amp; "-" &amp; YEAR(C449)</f>
        <v>Q2-2024</v>
      </c>
      <c r="J450" s="26" t="str">
        <f>IF(Table1[[#This Row],[LeadTimeDays]]&lt;=7,"Yes","No")</f>
        <v>No</v>
      </c>
      <c r="K450" s="6">
        <f>_xlfn.DAYS(Table1[[#This Row],[CorrectedRequiredDate]],Table1[[#This Row],[OrderDate]])</f>
        <v>28</v>
      </c>
      <c r="L450" s="3">
        <f>IF(Table1[[#This Row],[RequiredDate]]&lt;Table1[[#This Row],[OrderDate]],Table1[[#This Row],[OrderDate]],Table1[[#This Row],[RequiredDate]])</f>
        <v>45482</v>
      </c>
      <c r="M450" s="3">
        <v>45482</v>
      </c>
      <c r="N450" t="s">
        <v>646</v>
      </c>
      <c r="O450" t="s">
        <v>651</v>
      </c>
      <c r="P450" t="s">
        <v>663</v>
      </c>
      <c r="Q450" t="s">
        <v>701</v>
      </c>
      <c r="R450" t="s">
        <v>709</v>
      </c>
      <c r="S450" t="s">
        <v>714</v>
      </c>
      <c r="T450" t="s">
        <v>730</v>
      </c>
      <c r="U450" t="s">
        <v>1181</v>
      </c>
      <c r="V450" s="8">
        <v>895.54</v>
      </c>
      <c r="W450" s="8">
        <v>1045</v>
      </c>
      <c r="X450" s="8">
        <f t="shared" ref="X450:X513" si="25">_xlfn.PERCENTILE.INC(W:W, 0.33)</f>
        <v>815.10700000000008</v>
      </c>
      <c r="Y450" s="8">
        <f t="shared" ref="Y450:Y513" si="26">_xlfn.PERCENTILE.INC(W:W, 0.66)</f>
        <v>1620.05</v>
      </c>
      <c r="Z450" s="8" t="str">
        <f>IF(W449 &lt;= X448, "Low",IF(W449 &lt;= Y449, "Medium", "High"))</f>
        <v>High</v>
      </c>
      <c r="AA450">
        <v>0.216</v>
      </c>
      <c r="AB450">
        <f>IF(Table1[[#This Row],[DiscountPct]]&gt;0.2,1,0)</f>
        <v>1</v>
      </c>
      <c r="AC450" s="6">
        <v>15</v>
      </c>
      <c r="AD450" s="8">
        <f>Table1[[#This Row],[UnitPrice]]*Table1[[#This Row],[Quantity]]</f>
        <v>15675</v>
      </c>
      <c r="AE450" s="8">
        <f>Table1[[#This Row],[UnitCost]]*Table1[[#This Row],[Quantity]]</f>
        <v>13433.099999999999</v>
      </c>
      <c r="AF450" s="8">
        <f>Table1[[#This Row],[GrossRevenue]]-Table1[[#This Row],[CostOfGoods]]</f>
        <v>2241.9000000000015</v>
      </c>
      <c r="AG450" s="9">
        <f>IF(Table1[[#This Row],[GrossRevenue]]=0,0,Table1[[#This Row],[GrossProfit]]/Table1[[#This Row],[GrossRevenue]])</f>
        <v>0.14302392344497616</v>
      </c>
    </row>
    <row r="451" spans="1:33" x14ac:dyDescent="0.45">
      <c r="A451" t="s">
        <v>464</v>
      </c>
      <c r="B451">
        <v>1</v>
      </c>
      <c r="C451" s="3">
        <v>45129</v>
      </c>
      <c r="D451" s="6">
        <f>YEAR(Table1[[#This Row],[OrderDate]]) * 100 + MONTH(Table1[[#This Row],[OrderDate]])</f>
        <v>202307</v>
      </c>
      <c r="E451" s="6">
        <f>_xlfn.MINIFS(Table1[OrderMonthKey],Table1[Country],Table1[[#This Row],[Country]])</f>
        <v>202302</v>
      </c>
      <c r="F451" s="6">
        <f>Table1[[#This Row],[CountryFirstMonthKey]]</f>
        <v>202302</v>
      </c>
      <c r="G451" s="6">
        <f>12*(INT(Table1[[#This Row],[OrderMonthKey]]/100)-INT(Table1[[#This Row],[CohortMonthKey]]/100)) + (MOD(Table1[[#This Row],[OrderMonthKey]],100)-MOD(Table1[[#This Row],[CohortMonthKey]],100))</f>
        <v>5</v>
      </c>
      <c r="H451" s="3" t="str">
        <f>TEXT(Table1[[#This Row],[OrderDate]],"MMM-YYYY")</f>
        <v>Jul-2023</v>
      </c>
      <c r="I451" s="3" t="str">
        <f t="shared" si="24"/>
        <v>Q2-2024</v>
      </c>
      <c r="J451" s="26" t="str">
        <f>IF(Table1[[#This Row],[LeadTimeDays]]&lt;=7,"Yes","No")</f>
        <v>Yes</v>
      </c>
      <c r="K451" s="6">
        <f>_xlfn.DAYS(Table1[[#This Row],[CorrectedRequiredDate]],Table1[[#This Row],[OrderDate]])</f>
        <v>0</v>
      </c>
      <c r="L451" s="3">
        <f>IF(Table1[[#This Row],[RequiredDate]]&lt;Table1[[#This Row],[OrderDate]],Table1[[#This Row],[OrderDate]],Table1[[#This Row],[RequiredDate]])</f>
        <v>45129</v>
      </c>
      <c r="M451" s="3">
        <v>45128</v>
      </c>
      <c r="N451" t="s">
        <v>647</v>
      </c>
      <c r="O451" t="s">
        <v>654</v>
      </c>
      <c r="P451" t="s">
        <v>680</v>
      </c>
      <c r="Q451" t="s">
        <v>705</v>
      </c>
      <c r="R451" t="s">
        <v>710</v>
      </c>
      <c r="S451" t="s">
        <v>718</v>
      </c>
      <c r="T451" t="s">
        <v>728</v>
      </c>
      <c r="U451" t="s">
        <v>1182</v>
      </c>
      <c r="V451" s="8">
        <v>946.99</v>
      </c>
      <c r="W451" s="8">
        <v>2132.19</v>
      </c>
      <c r="X451" s="8">
        <f t="shared" si="25"/>
        <v>815.10700000000008</v>
      </c>
      <c r="Y451" s="8">
        <f t="shared" si="26"/>
        <v>1620.05</v>
      </c>
      <c r="Z451" s="8" t="str">
        <f>IF(W450 &lt;= X449, "Low",IF(W450 &lt;= Y450, "Medium", "High"))</f>
        <v>Medium</v>
      </c>
      <c r="AA451">
        <v>0.16500000000000001</v>
      </c>
      <c r="AB451">
        <f>IF(Table1[[#This Row],[DiscountPct]]&gt;0.2,1,0)</f>
        <v>0</v>
      </c>
      <c r="AC451" s="6">
        <v>7</v>
      </c>
      <c r="AD451" s="8">
        <f>Table1[[#This Row],[UnitPrice]]*Table1[[#This Row],[Quantity]]</f>
        <v>14925.33</v>
      </c>
      <c r="AE451" s="8">
        <f>Table1[[#This Row],[UnitCost]]*Table1[[#This Row],[Quantity]]</f>
        <v>6628.93</v>
      </c>
      <c r="AF451" s="8">
        <f>Table1[[#This Row],[GrossRevenue]]-Table1[[#This Row],[CostOfGoods]]</f>
        <v>8296.4</v>
      </c>
      <c r="AG451" s="9">
        <f>IF(Table1[[#This Row],[GrossRevenue]]=0,0,Table1[[#This Row],[GrossProfit]]/Table1[[#This Row],[GrossRevenue]])</f>
        <v>0.55586040643657453</v>
      </c>
    </row>
    <row r="452" spans="1:33" x14ac:dyDescent="0.45">
      <c r="A452" t="s">
        <v>465</v>
      </c>
      <c r="B452">
        <v>1</v>
      </c>
      <c r="C452" s="3">
        <v>44945</v>
      </c>
      <c r="D452" s="6">
        <f>YEAR(Table1[[#This Row],[OrderDate]]) * 100 + MONTH(Table1[[#This Row],[OrderDate]])</f>
        <v>202301</v>
      </c>
      <c r="E452" s="6">
        <f>_xlfn.MINIFS(Table1[OrderMonthKey],Table1[Country],Table1[[#This Row],[Country]])</f>
        <v>202301</v>
      </c>
      <c r="F452" s="6">
        <f>Table1[[#This Row],[CountryFirstMonthKey]]</f>
        <v>202301</v>
      </c>
      <c r="G452" s="6">
        <f>12*(INT(Table1[[#This Row],[OrderMonthKey]]/100)-INT(Table1[[#This Row],[CohortMonthKey]]/100)) + (MOD(Table1[[#This Row],[OrderMonthKey]],100)-MOD(Table1[[#This Row],[CohortMonthKey]],100))</f>
        <v>0</v>
      </c>
      <c r="H452" s="3" t="str">
        <f>TEXT(Table1[[#This Row],[OrderDate]],"MMM-YYYY")</f>
        <v>Jan-2023</v>
      </c>
      <c r="I452" s="3" t="str">
        <f t="shared" si="24"/>
        <v>Q3-2023</v>
      </c>
      <c r="J452" s="26" t="str">
        <f>IF(Table1[[#This Row],[LeadTimeDays]]&lt;=7,"Yes","No")</f>
        <v>No</v>
      </c>
      <c r="K452" s="6">
        <f>_xlfn.DAYS(Table1[[#This Row],[CorrectedRequiredDate]],Table1[[#This Row],[OrderDate]])</f>
        <v>15</v>
      </c>
      <c r="L452" s="3">
        <f>IF(Table1[[#This Row],[RequiredDate]]&lt;Table1[[#This Row],[OrderDate]],Table1[[#This Row],[OrderDate]],Table1[[#This Row],[RequiredDate]])</f>
        <v>44960</v>
      </c>
      <c r="M452" s="3">
        <v>44960</v>
      </c>
      <c r="N452" t="s">
        <v>649</v>
      </c>
      <c r="O452" t="s">
        <v>658</v>
      </c>
      <c r="P452" t="s">
        <v>683</v>
      </c>
      <c r="Q452" t="s">
        <v>706</v>
      </c>
      <c r="R452" t="s">
        <v>710</v>
      </c>
      <c r="S452" t="s">
        <v>715</v>
      </c>
      <c r="T452" t="s">
        <v>733</v>
      </c>
      <c r="U452" t="s">
        <v>1183</v>
      </c>
      <c r="V452" s="8">
        <v>873.06</v>
      </c>
      <c r="W452" s="8">
        <v>2101.5500000000002</v>
      </c>
      <c r="X452" s="8">
        <f t="shared" si="25"/>
        <v>815.10700000000008</v>
      </c>
      <c r="Y452" s="8">
        <f t="shared" si="26"/>
        <v>1620.05</v>
      </c>
      <c r="Z452" s="8" t="str">
        <f>IF(W451 &lt;= X450, "Low",IF(W451 &lt;= Y451, "Medium", "High"))</f>
        <v>High</v>
      </c>
      <c r="AA452">
        <v>6.6000000000000003E-2</v>
      </c>
      <c r="AB452">
        <f>IF(Table1[[#This Row],[DiscountPct]]&gt;0.2,1,0)</f>
        <v>0</v>
      </c>
      <c r="AC452" s="6">
        <v>10</v>
      </c>
      <c r="AD452" s="8">
        <f>Table1[[#This Row],[UnitPrice]]*Table1[[#This Row],[Quantity]]</f>
        <v>21015.5</v>
      </c>
      <c r="AE452" s="8">
        <f>Table1[[#This Row],[UnitCost]]*Table1[[#This Row],[Quantity]]</f>
        <v>8730.5999999999985</v>
      </c>
      <c r="AF452" s="8">
        <f>Table1[[#This Row],[GrossRevenue]]-Table1[[#This Row],[CostOfGoods]]</f>
        <v>12284.900000000001</v>
      </c>
      <c r="AG452" s="9">
        <f>IF(Table1[[#This Row],[GrossRevenue]]=0,0,Table1[[#This Row],[GrossProfit]]/Table1[[#This Row],[GrossRevenue]])</f>
        <v>0.58456377435702223</v>
      </c>
    </row>
    <row r="453" spans="1:33" x14ac:dyDescent="0.45">
      <c r="A453" t="s">
        <v>466</v>
      </c>
      <c r="B453">
        <v>1</v>
      </c>
      <c r="C453" s="3">
        <v>45413</v>
      </c>
      <c r="D453" s="6">
        <f>YEAR(Table1[[#This Row],[OrderDate]]) * 100 + MONTH(Table1[[#This Row],[OrderDate]])</f>
        <v>202405</v>
      </c>
      <c r="E453" s="6">
        <f>_xlfn.MINIFS(Table1[OrderMonthKey],Table1[Country],Table1[[#This Row],[Country]])</f>
        <v>202302</v>
      </c>
      <c r="F453" s="6">
        <f>Table1[[#This Row],[CountryFirstMonthKey]]</f>
        <v>202302</v>
      </c>
      <c r="G453" s="6">
        <f>12*(INT(Table1[[#This Row],[OrderMonthKey]]/100)-INT(Table1[[#This Row],[CohortMonthKey]]/100)) + (MOD(Table1[[#This Row],[OrderMonthKey]],100)-MOD(Table1[[#This Row],[CohortMonthKey]],100))</f>
        <v>15</v>
      </c>
      <c r="H453" s="3" t="str">
        <f>TEXT(Table1[[#This Row],[OrderDate]],"MMM-YYYY")</f>
        <v>May-2024</v>
      </c>
      <c r="I453" s="3" t="str">
        <f t="shared" si="24"/>
        <v>Q1-2023</v>
      </c>
      <c r="J453" s="26" t="str">
        <f>IF(Table1[[#This Row],[LeadTimeDays]]&lt;=7,"Yes","No")</f>
        <v>No</v>
      </c>
      <c r="K453" s="6">
        <f>_xlfn.DAYS(Table1[[#This Row],[CorrectedRequiredDate]],Table1[[#This Row],[OrderDate]])</f>
        <v>15</v>
      </c>
      <c r="L453" s="3">
        <f>IF(Table1[[#This Row],[RequiredDate]]&lt;Table1[[#This Row],[OrderDate]],Table1[[#This Row],[OrderDate]],Table1[[#This Row],[RequiredDate]])</f>
        <v>45428</v>
      </c>
      <c r="M453" s="3">
        <v>45428</v>
      </c>
      <c r="N453" t="s">
        <v>647</v>
      </c>
      <c r="O453" t="s">
        <v>654</v>
      </c>
      <c r="P453" t="s">
        <v>1421</v>
      </c>
      <c r="Q453" t="s">
        <v>705</v>
      </c>
      <c r="R453" t="s">
        <v>707</v>
      </c>
      <c r="S453" t="s">
        <v>716</v>
      </c>
      <c r="T453" t="s">
        <v>727</v>
      </c>
      <c r="U453" t="s">
        <v>1184</v>
      </c>
      <c r="V453" s="8">
        <v>901.19</v>
      </c>
      <c r="W453" s="8">
        <v>2125.44</v>
      </c>
      <c r="X453" s="8">
        <f t="shared" si="25"/>
        <v>815.10700000000008</v>
      </c>
      <c r="Y453" s="8">
        <f t="shared" si="26"/>
        <v>1620.05</v>
      </c>
      <c r="Z453" s="8" t="str">
        <f>IF(W452 &lt;= X451, "Low",IF(W452 &lt;= Y452, "Medium", "High"))</f>
        <v>High</v>
      </c>
      <c r="AA453">
        <v>7.0999999999999994E-2</v>
      </c>
      <c r="AB453">
        <f>IF(Table1[[#This Row],[DiscountPct]]&gt;0.2,1,0)</f>
        <v>0</v>
      </c>
      <c r="AC453" s="6">
        <v>12</v>
      </c>
      <c r="AD453" s="8">
        <f>Table1[[#This Row],[UnitPrice]]*Table1[[#This Row],[Quantity]]</f>
        <v>25505.279999999999</v>
      </c>
      <c r="AE453" s="8">
        <f>Table1[[#This Row],[UnitCost]]*Table1[[#This Row],[Quantity]]</f>
        <v>10814.28</v>
      </c>
      <c r="AF453" s="8">
        <f>Table1[[#This Row],[GrossRevenue]]-Table1[[#This Row],[CostOfGoods]]</f>
        <v>14690.999999999998</v>
      </c>
      <c r="AG453" s="9">
        <f>IF(Table1[[#This Row],[GrossRevenue]]=0,0,Table1[[#This Row],[GrossProfit]]/Table1[[#This Row],[GrossRevenue]])</f>
        <v>0.57599838151159288</v>
      </c>
    </row>
    <row r="454" spans="1:33" hidden="1" x14ac:dyDescent="0.45">
      <c r="A454" t="s">
        <v>467</v>
      </c>
      <c r="C454" s="3">
        <v>45817</v>
      </c>
      <c r="D454" s="3">
        <f>YEAR(Table1[[#This Row],[OrderDate]]) * 100 + MONTH(Table1[[#This Row],[OrderDate]])</f>
        <v>202506</v>
      </c>
      <c r="E454" s="3">
        <f>_xlfn.MINIFS(Table1[OrderMonthKey],Table1[Country],Table1[[#This Row],[Country]])</f>
        <v>202303</v>
      </c>
      <c r="F454" s="3">
        <f>Table1[[#This Row],[CountryFirstMonthKey]]</f>
        <v>202303</v>
      </c>
      <c r="G454" s="3">
        <f>12*(INT(Table1[[#This Row],[OrderMonthKey]]/100)-INT(Table1[[#This Row],[CohortMonthKey]]/100)) + (MOD(Table1[[#This Row],[OrderMonthKey]],100)-MOD(Table1[[#This Row],[CohortMonthKey]],100))</f>
        <v>27</v>
      </c>
      <c r="H454" s="3" t="str">
        <f>TEXT(Table1[[#This Row],[OrderDate]],"MMM-YYYY")</f>
        <v>Jun-2025</v>
      </c>
      <c r="I454" s="3" t="str">
        <f t="shared" si="24"/>
        <v>Q2-2024</v>
      </c>
      <c r="J454" s="3" t="str">
        <f>IF(Table1[[#This Row],[LeadTimeDays]]&lt;=7,"Yes","No")</f>
        <v>No</v>
      </c>
      <c r="K454" s="3">
        <f>_xlfn.DAYS(Table1[[#This Row],[CorrectedRequiredDate]],Table1[[#This Row],[OrderDate]])</f>
        <v>15</v>
      </c>
      <c r="L454" s="3">
        <f>IF(Table1[[#This Row],[RequiredDate]]&lt;Table1[[#This Row],[OrderDate]],Table1[[#This Row],[OrderDate]],Table1[[#This Row],[RequiredDate]])</f>
        <v>45832</v>
      </c>
      <c r="M454" s="3">
        <v>45832</v>
      </c>
      <c r="N454" t="s">
        <v>647</v>
      </c>
      <c r="O454" t="s">
        <v>652</v>
      </c>
      <c r="P454" t="s">
        <v>694</v>
      </c>
      <c r="Q454" t="s">
        <v>701</v>
      </c>
      <c r="R454" t="s">
        <v>711</v>
      </c>
      <c r="S454" t="s">
        <v>717</v>
      </c>
      <c r="T454" t="s">
        <v>730</v>
      </c>
      <c r="U454" t="s">
        <v>1185</v>
      </c>
      <c r="V454" s="8">
        <v>400.39</v>
      </c>
      <c r="W454" s="8">
        <v>712.75</v>
      </c>
      <c r="X454" s="8">
        <f t="shared" si="25"/>
        <v>815.10700000000008</v>
      </c>
      <c r="Y454" s="8">
        <f t="shared" si="26"/>
        <v>1620.05</v>
      </c>
      <c r="AA454">
        <v>0.115</v>
      </c>
      <c r="AB454">
        <f>IF(Table1[[#This Row],[DiscountPct]]&gt;0.2,1,0)</f>
        <v>0</v>
      </c>
      <c r="AC454" s="6">
        <v>19</v>
      </c>
      <c r="AD454" s="8">
        <f>Table1[[#This Row],[UnitPrice]]*Table1[[#This Row],[Quantity]]</f>
        <v>13542.25</v>
      </c>
      <c r="AE454" s="8">
        <f>Table1[[#This Row],[UnitCost]]*Table1[[#This Row],[Quantity]]</f>
        <v>7607.41</v>
      </c>
      <c r="AF454" s="8">
        <f>Table1[[#This Row],[GrossRevenue]]-Table1[[#This Row],[CostOfGoods]]</f>
        <v>5934.84</v>
      </c>
      <c r="AG454" s="8">
        <f>IF(Table1[[#This Row],[GrossRevenue]]=0,0,Table1[[#This Row],[GrossProfit]]/Table1[[#This Row],[GrossRevenue]])</f>
        <v>0.43824622939319541</v>
      </c>
    </row>
    <row r="455" spans="1:33" hidden="1" x14ac:dyDescent="0.45">
      <c r="A455" t="s">
        <v>468</v>
      </c>
      <c r="C455" s="3">
        <v>45070</v>
      </c>
      <c r="D455" s="3">
        <f>YEAR(Table1[[#This Row],[OrderDate]]) * 100 + MONTH(Table1[[#This Row],[OrderDate]])</f>
        <v>202305</v>
      </c>
      <c r="E455" s="3">
        <f>_xlfn.MINIFS(Table1[OrderMonthKey],Table1[Country],Table1[[#This Row],[Country]])</f>
        <v>202301</v>
      </c>
      <c r="F455" s="3">
        <f>Table1[[#This Row],[CountryFirstMonthKey]]</f>
        <v>202301</v>
      </c>
      <c r="G455" s="3">
        <f>12*(INT(Table1[[#This Row],[OrderMonthKey]]/100)-INT(Table1[[#This Row],[CohortMonthKey]]/100)) + (MOD(Table1[[#This Row],[OrderMonthKey]],100)-MOD(Table1[[#This Row],[CohortMonthKey]],100))</f>
        <v>4</v>
      </c>
      <c r="H455" s="3" t="str">
        <f>TEXT(Table1[[#This Row],[OrderDate]],"MMM-YYYY")</f>
        <v>May-2023</v>
      </c>
      <c r="I455" s="3" t="str">
        <f t="shared" si="24"/>
        <v>Q2-2025</v>
      </c>
      <c r="J455" s="3" t="str">
        <f>IF(Table1[[#This Row],[LeadTimeDays]]&lt;=7,"Yes","No")</f>
        <v>No</v>
      </c>
      <c r="K455" s="3">
        <f>_xlfn.DAYS(Table1[[#This Row],[CorrectedRequiredDate]],Table1[[#This Row],[OrderDate]])</f>
        <v>28</v>
      </c>
      <c r="L455" s="3">
        <f>IF(Table1[[#This Row],[RequiredDate]]&lt;Table1[[#This Row],[OrderDate]],Table1[[#This Row],[OrderDate]],Table1[[#This Row],[RequiredDate]])</f>
        <v>45098</v>
      </c>
      <c r="M455" s="3">
        <v>45098</v>
      </c>
      <c r="N455" t="s">
        <v>648</v>
      </c>
      <c r="O455" t="s">
        <v>660</v>
      </c>
      <c r="P455" t="s">
        <v>697</v>
      </c>
      <c r="Q455" t="s">
        <v>705</v>
      </c>
      <c r="R455" t="s">
        <v>709</v>
      </c>
      <c r="S455" t="s">
        <v>715</v>
      </c>
      <c r="T455" t="s">
        <v>732</v>
      </c>
      <c r="U455" t="s">
        <v>1186</v>
      </c>
      <c r="V455" s="8">
        <v>813.97</v>
      </c>
      <c r="W455" s="8">
        <v>1568.83</v>
      </c>
      <c r="X455" s="8">
        <f t="shared" si="25"/>
        <v>815.10700000000008</v>
      </c>
      <c r="Y455" s="8">
        <f t="shared" si="26"/>
        <v>1620.05</v>
      </c>
      <c r="AA455">
        <v>1.7000000000000001E-2</v>
      </c>
      <c r="AB455">
        <f>IF(Table1[[#This Row],[DiscountPct]]&gt;0.2,1,0)</f>
        <v>0</v>
      </c>
      <c r="AC455" s="6">
        <v>15</v>
      </c>
      <c r="AD455" s="8">
        <f>Table1[[#This Row],[UnitPrice]]*Table1[[#This Row],[Quantity]]</f>
        <v>23532.449999999997</v>
      </c>
      <c r="AE455" s="8">
        <f>Table1[[#This Row],[UnitCost]]*Table1[[#This Row],[Quantity]]</f>
        <v>12209.550000000001</v>
      </c>
      <c r="AF455" s="8">
        <f>Table1[[#This Row],[GrossRevenue]]-Table1[[#This Row],[CostOfGoods]]</f>
        <v>11322.899999999996</v>
      </c>
      <c r="AG455" s="8">
        <f>IF(Table1[[#This Row],[GrossRevenue]]=0,0,Table1[[#This Row],[GrossProfit]]/Table1[[#This Row],[GrossRevenue]])</f>
        <v>0.48116112007037082</v>
      </c>
    </row>
    <row r="456" spans="1:33" x14ac:dyDescent="0.45">
      <c r="A456" t="s">
        <v>469</v>
      </c>
      <c r="B456">
        <v>1</v>
      </c>
      <c r="C456" s="3">
        <v>45653</v>
      </c>
      <c r="D456" s="6">
        <f>YEAR(Table1[[#This Row],[OrderDate]]) * 100 + MONTH(Table1[[#This Row],[OrderDate]])</f>
        <v>202412</v>
      </c>
      <c r="E456" s="6">
        <f>_xlfn.MINIFS(Table1[OrderMonthKey],Table1[Country],Table1[[#This Row],[Country]])</f>
        <v>202301</v>
      </c>
      <c r="F456" s="6">
        <f>Table1[[#This Row],[CountryFirstMonthKey]]</f>
        <v>202301</v>
      </c>
      <c r="G456" s="6">
        <f>12*(INT(Table1[[#This Row],[OrderMonthKey]]/100)-INT(Table1[[#This Row],[CohortMonthKey]]/100)) + (MOD(Table1[[#This Row],[OrderMonthKey]],100)-MOD(Table1[[#This Row],[CohortMonthKey]],100))</f>
        <v>23</v>
      </c>
      <c r="H456" s="3" t="str">
        <f>TEXT(Table1[[#This Row],[OrderDate]],"MMM-YYYY")</f>
        <v>Dec-2024</v>
      </c>
      <c r="I456" s="3" t="str">
        <f t="shared" si="24"/>
        <v>Q2-2023</v>
      </c>
      <c r="J456" s="26" t="str">
        <f>IF(Table1[[#This Row],[LeadTimeDays]]&lt;=7,"Yes","No")</f>
        <v>Yes</v>
      </c>
      <c r="K456" s="6">
        <f>_xlfn.DAYS(Table1[[#This Row],[CorrectedRequiredDate]],Table1[[#This Row],[OrderDate]])</f>
        <v>2</v>
      </c>
      <c r="L456" s="3">
        <f>IF(Table1[[#This Row],[RequiredDate]]&lt;Table1[[#This Row],[OrderDate]],Table1[[#This Row],[OrderDate]],Table1[[#This Row],[RequiredDate]])</f>
        <v>45655</v>
      </c>
      <c r="M456" s="3">
        <v>45655</v>
      </c>
      <c r="N456" t="s">
        <v>648</v>
      </c>
      <c r="O456" t="s">
        <v>653</v>
      </c>
      <c r="P456" t="s">
        <v>688</v>
      </c>
      <c r="Q456" t="s">
        <v>706</v>
      </c>
      <c r="R456" t="s">
        <v>709</v>
      </c>
      <c r="S456" t="s">
        <v>712</v>
      </c>
      <c r="T456" t="s">
        <v>733</v>
      </c>
      <c r="U456" t="s">
        <v>1187</v>
      </c>
      <c r="V456" s="8">
        <v>1146.72</v>
      </c>
      <c r="W456" s="8">
        <v>2074.34</v>
      </c>
      <c r="X456" s="8">
        <f t="shared" si="25"/>
        <v>815.10700000000008</v>
      </c>
      <c r="Y456" s="8">
        <f t="shared" si="26"/>
        <v>1620.05</v>
      </c>
      <c r="Z456" s="8" t="str">
        <f>IF(W455 &lt;= X454, "Low",IF(W455 &lt;= Y455, "Medium", "High"))</f>
        <v>Medium</v>
      </c>
      <c r="AA456">
        <v>0.111</v>
      </c>
      <c r="AB456">
        <f>IF(Table1[[#This Row],[DiscountPct]]&gt;0.2,1,0)</f>
        <v>0</v>
      </c>
      <c r="AC456" s="6">
        <v>8</v>
      </c>
      <c r="AD456" s="8">
        <f>Table1[[#This Row],[UnitPrice]]*Table1[[#This Row],[Quantity]]</f>
        <v>16594.72</v>
      </c>
      <c r="AE456" s="8">
        <f>Table1[[#This Row],[UnitCost]]*Table1[[#This Row],[Quantity]]</f>
        <v>9173.76</v>
      </c>
      <c r="AF456" s="8">
        <f>Table1[[#This Row],[GrossRevenue]]-Table1[[#This Row],[CostOfGoods]]</f>
        <v>7420.9600000000009</v>
      </c>
      <c r="AG456" s="9">
        <f>IF(Table1[[#This Row],[GrossRevenue]]=0,0,Table1[[#This Row],[GrossProfit]]/Table1[[#This Row],[GrossRevenue]])</f>
        <v>0.44718802125013257</v>
      </c>
    </row>
    <row r="457" spans="1:33" x14ac:dyDescent="0.45">
      <c r="A457" t="s">
        <v>470</v>
      </c>
      <c r="B457">
        <v>1</v>
      </c>
      <c r="C457" s="3">
        <v>45265</v>
      </c>
      <c r="D457" s="6">
        <f>YEAR(Table1[[#This Row],[OrderDate]]) * 100 + MONTH(Table1[[#This Row],[OrderDate]])</f>
        <v>202312</v>
      </c>
      <c r="E457" s="6">
        <f>_xlfn.MINIFS(Table1[OrderMonthKey],Table1[Country],Table1[[#This Row],[Country]])</f>
        <v>202301</v>
      </c>
      <c r="F457" s="6">
        <f>Table1[[#This Row],[CountryFirstMonthKey]]</f>
        <v>202301</v>
      </c>
      <c r="G457" s="6">
        <f>12*(INT(Table1[[#This Row],[OrderMonthKey]]/100)-INT(Table1[[#This Row],[CohortMonthKey]]/100)) + (MOD(Table1[[#This Row],[OrderMonthKey]],100)-MOD(Table1[[#This Row],[CohortMonthKey]],100))</f>
        <v>11</v>
      </c>
      <c r="H457" s="3" t="str">
        <f>TEXT(Table1[[#This Row],[OrderDate]],"MMM-YYYY")</f>
        <v>Dec-2023</v>
      </c>
      <c r="I457" s="3" t="str">
        <f t="shared" si="24"/>
        <v>Q4-2024</v>
      </c>
      <c r="J457" s="26" t="str">
        <f>IF(Table1[[#This Row],[LeadTimeDays]]&lt;=7,"Yes","No")</f>
        <v>Yes</v>
      </c>
      <c r="K457" s="6">
        <f>_xlfn.DAYS(Table1[[#This Row],[CorrectedRequiredDate]],Table1[[#This Row],[OrderDate]])</f>
        <v>7</v>
      </c>
      <c r="L457" s="3">
        <f>IF(Table1[[#This Row],[RequiredDate]]&lt;Table1[[#This Row],[OrderDate]],Table1[[#This Row],[OrderDate]],Table1[[#This Row],[RequiredDate]])</f>
        <v>45272</v>
      </c>
      <c r="M457" s="3">
        <v>45272</v>
      </c>
      <c r="N457" t="s">
        <v>648</v>
      </c>
      <c r="O457" t="s">
        <v>655</v>
      </c>
      <c r="P457" t="s">
        <v>672</v>
      </c>
      <c r="Q457" t="s">
        <v>701</v>
      </c>
      <c r="R457" t="s">
        <v>711</v>
      </c>
      <c r="S457" t="s">
        <v>721</v>
      </c>
      <c r="T457" t="s">
        <v>730</v>
      </c>
      <c r="U457" t="s">
        <v>1188</v>
      </c>
      <c r="V457" s="8">
        <v>307.43</v>
      </c>
      <c r="W457" s="8">
        <v>495.19</v>
      </c>
      <c r="X457" s="8">
        <f t="shared" si="25"/>
        <v>815.10700000000008</v>
      </c>
      <c r="Y457" s="8">
        <f t="shared" si="26"/>
        <v>1620.05</v>
      </c>
      <c r="Z457" s="8" t="str">
        <f>IF(W456 &lt;= X455, "Low",IF(W456 &lt;= Y456, "Medium", "High"))</f>
        <v>High</v>
      </c>
      <c r="AA457">
        <v>0</v>
      </c>
      <c r="AB457">
        <f>IF(Table1[[#This Row],[DiscountPct]]&gt;0.2,1,0)</f>
        <v>0</v>
      </c>
      <c r="AC457" s="6">
        <v>42</v>
      </c>
      <c r="AD457" s="8">
        <f>Table1[[#This Row],[UnitPrice]]*Table1[[#This Row],[Quantity]]</f>
        <v>20797.98</v>
      </c>
      <c r="AE457" s="8">
        <f>Table1[[#This Row],[UnitCost]]*Table1[[#This Row],[Quantity]]</f>
        <v>12912.06</v>
      </c>
      <c r="AF457" s="8">
        <f>Table1[[#This Row],[GrossRevenue]]-Table1[[#This Row],[CostOfGoods]]</f>
        <v>7885.92</v>
      </c>
      <c r="AG457" s="9">
        <f>IF(Table1[[#This Row],[GrossRevenue]]=0,0,Table1[[#This Row],[GrossProfit]]/Table1[[#This Row],[GrossRevenue]])</f>
        <v>0.37916759223732305</v>
      </c>
    </row>
    <row r="458" spans="1:33" x14ac:dyDescent="0.45">
      <c r="A458" t="s">
        <v>471</v>
      </c>
      <c r="B458">
        <v>1</v>
      </c>
      <c r="C458" s="3">
        <v>45048</v>
      </c>
      <c r="D458" s="6">
        <f>YEAR(Table1[[#This Row],[OrderDate]]) * 100 + MONTH(Table1[[#This Row],[OrderDate]])</f>
        <v>202305</v>
      </c>
      <c r="E458" s="6">
        <f>_xlfn.MINIFS(Table1[OrderMonthKey],Table1[Country],Table1[[#This Row],[Country]])</f>
        <v>202301</v>
      </c>
      <c r="F458" s="6">
        <f>Table1[[#This Row],[CountryFirstMonthKey]]</f>
        <v>202301</v>
      </c>
      <c r="G458" s="6">
        <f>12*(INT(Table1[[#This Row],[OrderMonthKey]]/100)-INT(Table1[[#This Row],[CohortMonthKey]]/100)) + (MOD(Table1[[#This Row],[OrderMonthKey]],100)-MOD(Table1[[#This Row],[CohortMonthKey]],100))</f>
        <v>4</v>
      </c>
      <c r="H458" s="3" t="str">
        <f>TEXT(Table1[[#This Row],[OrderDate]],"MMM-YYYY")</f>
        <v>May-2023</v>
      </c>
      <c r="I458" s="3" t="str">
        <f t="shared" si="24"/>
        <v>Q4-2023</v>
      </c>
      <c r="J458" s="26" t="str">
        <f>IF(Table1[[#This Row],[LeadTimeDays]]&lt;=7,"Yes","No")</f>
        <v>No</v>
      </c>
      <c r="K458" s="6">
        <f>_xlfn.DAYS(Table1[[#This Row],[CorrectedRequiredDate]],Table1[[#This Row],[OrderDate]])</f>
        <v>17</v>
      </c>
      <c r="L458" s="3">
        <f>IF(Table1[[#This Row],[RequiredDate]]&lt;Table1[[#This Row],[OrderDate]],Table1[[#This Row],[OrderDate]],Table1[[#This Row],[RequiredDate]])</f>
        <v>45065</v>
      </c>
      <c r="M458" s="3">
        <v>45065</v>
      </c>
      <c r="N458" t="s">
        <v>647</v>
      </c>
      <c r="O458" t="s">
        <v>659</v>
      </c>
      <c r="P458" t="s">
        <v>685</v>
      </c>
      <c r="Q458" t="s">
        <v>703</v>
      </c>
      <c r="R458" t="s">
        <v>711</v>
      </c>
      <c r="S458" t="s">
        <v>713</v>
      </c>
      <c r="T458" t="s">
        <v>732</v>
      </c>
      <c r="U458" t="s">
        <v>1189</v>
      </c>
      <c r="V458" s="8">
        <v>714.28</v>
      </c>
      <c r="W458" s="8">
        <v>757.59</v>
      </c>
      <c r="X458" s="8">
        <f t="shared" si="25"/>
        <v>815.10700000000008</v>
      </c>
      <c r="Y458" s="8">
        <f t="shared" si="26"/>
        <v>1620.05</v>
      </c>
      <c r="Z458" s="8" t="str">
        <f>IF(W457 &lt;= X456, "Low",IF(W457 &lt;= Y457, "Medium", "High"))</f>
        <v>Low</v>
      </c>
      <c r="AA458">
        <v>0.13600000000000001</v>
      </c>
      <c r="AB458">
        <f>IF(Table1[[#This Row],[DiscountPct]]&gt;0.2,1,0)</f>
        <v>0</v>
      </c>
      <c r="AC458" s="6">
        <v>12</v>
      </c>
      <c r="AD458" s="8">
        <f>Table1[[#This Row],[UnitPrice]]*Table1[[#This Row],[Quantity]]</f>
        <v>9091.08</v>
      </c>
      <c r="AE458" s="8">
        <f>Table1[[#This Row],[UnitCost]]*Table1[[#This Row],[Quantity]]</f>
        <v>8571.36</v>
      </c>
      <c r="AF458" s="8">
        <f>Table1[[#This Row],[GrossRevenue]]-Table1[[#This Row],[CostOfGoods]]</f>
        <v>519.71999999999935</v>
      </c>
      <c r="AG458" s="9">
        <f>IF(Table1[[#This Row],[GrossRevenue]]=0,0,Table1[[#This Row],[GrossProfit]]/Table1[[#This Row],[GrossRevenue]])</f>
        <v>5.7168125239245429E-2</v>
      </c>
    </row>
    <row r="459" spans="1:33" hidden="1" x14ac:dyDescent="0.45">
      <c r="A459" t="s">
        <v>472</v>
      </c>
      <c r="C459" s="3">
        <v>45260</v>
      </c>
      <c r="D459" s="3">
        <f>YEAR(Table1[[#This Row],[OrderDate]]) * 100 + MONTH(Table1[[#This Row],[OrderDate]])</f>
        <v>202311</v>
      </c>
      <c r="E459" s="3">
        <f>_xlfn.MINIFS(Table1[OrderMonthKey],Table1[Country],Table1[[#This Row],[Country]])</f>
        <v>202301</v>
      </c>
      <c r="F459" s="3">
        <f>Table1[[#This Row],[CountryFirstMonthKey]]</f>
        <v>202301</v>
      </c>
      <c r="G459" s="3">
        <f>12*(INT(Table1[[#This Row],[OrderMonthKey]]/100)-INT(Table1[[#This Row],[CohortMonthKey]]/100)) + (MOD(Table1[[#This Row],[OrderMonthKey]],100)-MOD(Table1[[#This Row],[CohortMonthKey]],100))</f>
        <v>10</v>
      </c>
      <c r="H459" s="3" t="str">
        <f>TEXT(Table1[[#This Row],[OrderDate]],"MMM-YYYY")</f>
        <v>Nov-2023</v>
      </c>
      <c r="I459" s="3" t="str">
        <f t="shared" si="24"/>
        <v>Q2-2023</v>
      </c>
      <c r="J459" s="3" t="str">
        <f>IF(Table1[[#This Row],[LeadTimeDays]]&lt;=7,"Yes","No")</f>
        <v>No</v>
      </c>
      <c r="K459" s="3">
        <f>_xlfn.DAYS(Table1[[#This Row],[CorrectedRequiredDate]],Table1[[#This Row],[OrderDate]])</f>
        <v>10</v>
      </c>
      <c r="L459" s="3">
        <f>IF(Table1[[#This Row],[RequiredDate]]&lt;Table1[[#This Row],[OrderDate]],Table1[[#This Row],[OrderDate]],Table1[[#This Row],[RequiredDate]])</f>
        <v>45270</v>
      </c>
      <c r="M459" s="3">
        <v>45270</v>
      </c>
      <c r="N459" t="s">
        <v>649</v>
      </c>
      <c r="O459" t="s">
        <v>656</v>
      </c>
      <c r="P459" t="s">
        <v>684</v>
      </c>
      <c r="Q459" t="s">
        <v>705</v>
      </c>
      <c r="R459" t="s">
        <v>711</v>
      </c>
      <c r="S459" t="s">
        <v>721</v>
      </c>
      <c r="T459" t="s">
        <v>731</v>
      </c>
      <c r="U459" t="s">
        <v>1190</v>
      </c>
      <c r="V459" s="8">
        <v>174.74</v>
      </c>
      <c r="W459" s="8">
        <v>415.96</v>
      </c>
      <c r="X459" s="8">
        <f t="shared" si="25"/>
        <v>815.10700000000008</v>
      </c>
      <c r="Y459" s="8">
        <f t="shared" si="26"/>
        <v>1620.05</v>
      </c>
      <c r="AA459">
        <v>0.125</v>
      </c>
      <c r="AB459">
        <f>IF(Table1[[#This Row],[DiscountPct]]&gt;0.2,1,0)</f>
        <v>0</v>
      </c>
      <c r="AC459" s="6">
        <v>21</v>
      </c>
      <c r="AD459" s="8">
        <f>Table1[[#This Row],[UnitPrice]]*Table1[[#This Row],[Quantity]]</f>
        <v>8735.16</v>
      </c>
      <c r="AE459" s="8">
        <f>Table1[[#This Row],[UnitCost]]*Table1[[#This Row],[Quantity]]</f>
        <v>3669.54</v>
      </c>
      <c r="AF459" s="8">
        <f>Table1[[#This Row],[GrossRevenue]]-Table1[[#This Row],[CostOfGoods]]</f>
        <v>5065.62</v>
      </c>
      <c r="AG459" s="8">
        <f>IF(Table1[[#This Row],[GrossRevenue]]=0,0,Table1[[#This Row],[GrossProfit]]/Table1[[#This Row],[GrossRevenue]])</f>
        <v>0.57991152995480333</v>
      </c>
    </row>
    <row r="460" spans="1:33" hidden="1" x14ac:dyDescent="0.45">
      <c r="A460" t="s">
        <v>473</v>
      </c>
      <c r="C460" s="3">
        <v>45417</v>
      </c>
      <c r="D460" s="3">
        <f>YEAR(Table1[[#This Row],[OrderDate]]) * 100 + MONTH(Table1[[#This Row],[OrderDate]])</f>
        <v>202405</v>
      </c>
      <c r="E460" s="3">
        <f>_xlfn.MINIFS(Table1[OrderMonthKey],Table1[Country],Table1[[#This Row],[Country]])</f>
        <v>202301</v>
      </c>
      <c r="F460" s="3">
        <f>Table1[[#This Row],[CountryFirstMonthKey]]</f>
        <v>202301</v>
      </c>
      <c r="G460" s="3">
        <f>12*(INT(Table1[[#This Row],[OrderMonthKey]]/100)-INT(Table1[[#This Row],[CohortMonthKey]]/100)) + (MOD(Table1[[#This Row],[OrderMonthKey]],100)-MOD(Table1[[#This Row],[CohortMonthKey]],100))</f>
        <v>16</v>
      </c>
      <c r="H460" s="3" t="str">
        <f>TEXT(Table1[[#This Row],[OrderDate]],"MMM-YYYY")</f>
        <v>May-2024</v>
      </c>
      <c r="I460" s="3" t="str">
        <f t="shared" si="24"/>
        <v>Q4-2023</v>
      </c>
      <c r="J460" s="3" t="str">
        <f>IF(Table1[[#This Row],[LeadTimeDays]]&lt;=7,"Yes","No")</f>
        <v>No</v>
      </c>
      <c r="K460" s="3">
        <f>_xlfn.DAYS(Table1[[#This Row],[CorrectedRequiredDate]],Table1[[#This Row],[OrderDate]])</f>
        <v>13</v>
      </c>
      <c r="L460" s="3">
        <f>IF(Table1[[#This Row],[RequiredDate]]&lt;Table1[[#This Row],[OrderDate]],Table1[[#This Row],[OrderDate]],Table1[[#This Row],[RequiredDate]])</f>
        <v>45430</v>
      </c>
      <c r="M460" s="3">
        <v>45430</v>
      </c>
      <c r="N460" t="s">
        <v>649</v>
      </c>
      <c r="O460" t="s">
        <v>657</v>
      </c>
      <c r="P460" t="s">
        <v>673</v>
      </c>
      <c r="Q460" t="s">
        <v>701</v>
      </c>
      <c r="R460" t="s">
        <v>709</v>
      </c>
      <c r="S460" t="s">
        <v>720</v>
      </c>
      <c r="T460" t="s">
        <v>727</v>
      </c>
      <c r="U460" t="s">
        <v>1191</v>
      </c>
      <c r="V460" s="8">
        <v>1264.04</v>
      </c>
      <c r="W460" s="8">
        <v>1870.89</v>
      </c>
      <c r="X460" s="8">
        <f t="shared" si="25"/>
        <v>815.10700000000008</v>
      </c>
      <c r="Y460" s="8">
        <f t="shared" si="26"/>
        <v>1620.05</v>
      </c>
      <c r="AA460">
        <v>0</v>
      </c>
      <c r="AB460">
        <f>IF(Table1[[#This Row],[DiscountPct]]&gt;0.2,1,0)</f>
        <v>0</v>
      </c>
      <c r="AC460" s="6">
        <v>13</v>
      </c>
      <c r="AD460" s="8">
        <f>Table1[[#This Row],[UnitPrice]]*Table1[[#This Row],[Quantity]]</f>
        <v>24321.57</v>
      </c>
      <c r="AE460" s="8">
        <f>Table1[[#This Row],[UnitCost]]*Table1[[#This Row],[Quantity]]</f>
        <v>16432.52</v>
      </c>
      <c r="AF460" s="8">
        <f>Table1[[#This Row],[GrossRevenue]]-Table1[[#This Row],[CostOfGoods]]</f>
        <v>7889.0499999999993</v>
      </c>
      <c r="AG460" s="8">
        <f>IF(Table1[[#This Row],[GrossRevenue]]=0,0,Table1[[#This Row],[GrossProfit]]/Table1[[#This Row],[GrossRevenue]])</f>
        <v>0.32436433996653996</v>
      </c>
    </row>
    <row r="461" spans="1:33" hidden="1" x14ac:dyDescent="0.45">
      <c r="A461" t="s">
        <v>474</v>
      </c>
      <c r="C461" s="3">
        <v>45116</v>
      </c>
      <c r="D461" s="3">
        <f>YEAR(Table1[[#This Row],[OrderDate]]) * 100 + MONTH(Table1[[#This Row],[OrderDate]])</f>
        <v>202307</v>
      </c>
      <c r="E461" s="3">
        <f>_xlfn.MINIFS(Table1[OrderMonthKey],Table1[Country],Table1[[#This Row],[Country]])</f>
        <v>202303</v>
      </c>
      <c r="F461" s="3">
        <f>Table1[[#This Row],[CountryFirstMonthKey]]</f>
        <v>202303</v>
      </c>
      <c r="G461" s="3">
        <f>12*(INT(Table1[[#This Row],[OrderMonthKey]]/100)-INT(Table1[[#This Row],[CohortMonthKey]]/100)) + (MOD(Table1[[#This Row],[OrderMonthKey]],100)-MOD(Table1[[#This Row],[CohortMonthKey]],100))</f>
        <v>4</v>
      </c>
      <c r="H461" s="3" t="str">
        <f>TEXT(Table1[[#This Row],[OrderDate]],"MMM-YYYY")</f>
        <v>Jul-2023</v>
      </c>
      <c r="I461" s="3" t="str">
        <f t="shared" si="24"/>
        <v>Q2-2024</v>
      </c>
      <c r="J461" s="3" t="str">
        <f>IF(Table1[[#This Row],[LeadTimeDays]]&lt;=7,"Yes","No")</f>
        <v>No</v>
      </c>
      <c r="K461" s="3">
        <f>_xlfn.DAYS(Table1[[#This Row],[CorrectedRequiredDate]],Table1[[#This Row],[OrderDate]])</f>
        <v>10</v>
      </c>
      <c r="L461" s="3">
        <f>IF(Table1[[#This Row],[RequiredDate]]&lt;Table1[[#This Row],[OrderDate]],Table1[[#This Row],[OrderDate]],Table1[[#This Row],[RequiredDate]])</f>
        <v>45126</v>
      </c>
      <c r="M461" s="3">
        <v>45126</v>
      </c>
      <c r="N461" t="s">
        <v>647</v>
      </c>
      <c r="O461" t="s">
        <v>652</v>
      </c>
      <c r="P461" t="s">
        <v>689</v>
      </c>
      <c r="Q461" t="s">
        <v>706</v>
      </c>
      <c r="R461" t="s">
        <v>710</v>
      </c>
      <c r="S461" t="s">
        <v>725</v>
      </c>
      <c r="T461" t="s">
        <v>727</v>
      </c>
      <c r="U461" t="s">
        <v>1192</v>
      </c>
      <c r="V461" s="8">
        <v>141.26</v>
      </c>
      <c r="W461" s="8">
        <v>206.88</v>
      </c>
      <c r="X461" s="8">
        <f t="shared" si="25"/>
        <v>815.10700000000008</v>
      </c>
      <c r="Y461" s="8">
        <f t="shared" si="26"/>
        <v>1620.05</v>
      </c>
      <c r="AA461">
        <v>0.107</v>
      </c>
      <c r="AB461">
        <f>IF(Table1[[#This Row],[DiscountPct]]&gt;0.2,1,0)</f>
        <v>0</v>
      </c>
      <c r="AC461" s="6">
        <v>9</v>
      </c>
      <c r="AD461" s="8">
        <f>Table1[[#This Row],[UnitPrice]]*Table1[[#This Row],[Quantity]]</f>
        <v>1861.92</v>
      </c>
      <c r="AE461" s="8">
        <f>Table1[[#This Row],[UnitCost]]*Table1[[#This Row],[Quantity]]</f>
        <v>1271.3399999999999</v>
      </c>
      <c r="AF461" s="8">
        <f>Table1[[#This Row],[GrossRevenue]]-Table1[[#This Row],[CostOfGoods]]</f>
        <v>590.58000000000015</v>
      </c>
      <c r="AG461" s="8">
        <f>IF(Table1[[#This Row],[GrossRevenue]]=0,0,Table1[[#This Row],[GrossProfit]]/Table1[[#This Row],[GrossRevenue]])</f>
        <v>0.31718870843000779</v>
      </c>
    </row>
    <row r="462" spans="1:33" hidden="1" x14ac:dyDescent="0.45">
      <c r="A462" t="s">
        <v>475</v>
      </c>
      <c r="C462" s="3">
        <v>45063</v>
      </c>
      <c r="D462" s="3">
        <f>YEAR(Table1[[#This Row],[OrderDate]]) * 100 + MONTH(Table1[[#This Row],[OrderDate]])</f>
        <v>202305</v>
      </c>
      <c r="E462" s="3">
        <f>_xlfn.MINIFS(Table1[OrderMonthKey],Table1[Country],Table1[[#This Row],[Country]])</f>
        <v>202301</v>
      </c>
      <c r="F462" s="3">
        <f>Table1[[#This Row],[CountryFirstMonthKey]]</f>
        <v>202301</v>
      </c>
      <c r="G462" s="3">
        <f>12*(INT(Table1[[#This Row],[OrderMonthKey]]/100)-INT(Table1[[#This Row],[CohortMonthKey]]/100)) + (MOD(Table1[[#This Row],[OrderMonthKey]],100)-MOD(Table1[[#This Row],[CohortMonthKey]],100))</f>
        <v>4</v>
      </c>
      <c r="H462" s="3" t="str">
        <f>TEXT(Table1[[#This Row],[OrderDate]],"MMM-YYYY")</f>
        <v>May-2023</v>
      </c>
      <c r="I462" s="3" t="str">
        <f t="shared" si="24"/>
        <v>Q3-2023</v>
      </c>
      <c r="J462" s="3" t="str">
        <f>IF(Table1[[#This Row],[LeadTimeDays]]&lt;=7,"Yes","No")</f>
        <v>No</v>
      </c>
      <c r="K462" s="3">
        <f>_xlfn.DAYS(Table1[[#This Row],[CorrectedRequiredDate]],Table1[[#This Row],[OrderDate]])</f>
        <v>29</v>
      </c>
      <c r="L462" s="3">
        <f>IF(Table1[[#This Row],[RequiredDate]]&lt;Table1[[#This Row],[OrderDate]],Table1[[#This Row],[OrderDate]],Table1[[#This Row],[RequiredDate]])</f>
        <v>45092</v>
      </c>
      <c r="M462" s="3">
        <v>45092</v>
      </c>
      <c r="N462" t="s">
        <v>646</v>
      </c>
      <c r="O462" t="s">
        <v>661</v>
      </c>
      <c r="P462" t="s">
        <v>687</v>
      </c>
      <c r="Q462" t="s">
        <v>706</v>
      </c>
      <c r="R462" t="s">
        <v>707</v>
      </c>
      <c r="S462" t="s">
        <v>723</v>
      </c>
      <c r="T462" t="s">
        <v>733</v>
      </c>
      <c r="U462" t="s">
        <v>1193</v>
      </c>
      <c r="V462" s="8">
        <v>40.89</v>
      </c>
      <c r="W462" s="8">
        <v>62.82</v>
      </c>
      <c r="X462" s="8">
        <f t="shared" si="25"/>
        <v>815.10700000000008</v>
      </c>
      <c r="Y462" s="8">
        <f t="shared" si="26"/>
        <v>1620.05</v>
      </c>
      <c r="AA462">
        <v>0.129</v>
      </c>
      <c r="AB462">
        <f>IF(Table1[[#This Row],[DiscountPct]]&gt;0.2,1,0)</f>
        <v>0</v>
      </c>
      <c r="AC462" s="6">
        <v>17</v>
      </c>
      <c r="AD462" s="8">
        <f>Table1[[#This Row],[UnitPrice]]*Table1[[#This Row],[Quantity]]</f>
        <v>1067.94</v>
      </c>
      <c r="AE462" s="8">
        <f>Table1[[#This Row],[UnitCost]]*Table1[[#This Row],[Quantity]]</f>
        <v>695.13</v>
      </c>
      <c r="AF462" s="8">
        <f>Table1[[#This Row],[GrossRevenue]]-Table1[[#This Row],[CostOfGoods]]</f>
        <v>372.81000000000006</v>
      </c>
      <c r="AG462" s="8">
        <f>IF(Table1[[#This Row],[GrossRevenue]]=0,0,Table1[[#This Row],[GrossProfit]]/Table1[[#This Row],[GrossRevenue]])</f>
        <v>0.3490926456542503</v>
      </c>
    </row>
    <row r="463" spans="1:33" hidden="1" x14ac:dyDescent="0.45">
      <c r="A463" t="s">
        <v>476</v>
      </c>
      <c r="C463" s="3">
        <v>45358</v>
      </c>
      <c r="D463" s="3">
        <f>YEAR(Table1[[#This Row],[OrderDate]]) * 100 + MONTH(Table1[[#This Row],[OrderDate]])</f>
        <v>202403</v>
      </c>
      <c r="E463" s="3">
        <f>_xlfn.MINIFS(Table1[OrderMonthKey],Table1[Country],Table1[[#This Row],[Country]])</f>
        <v>202301</v>
      </c>
      <c r="F463" s="3">
        <f>Table1[[#This Row],[CountryFirstMonthKey]]</f>
        <v>202301</v>
      </c>
      <c r="G463" s="3">
        <f>12*(INT(Table1[[#This Row],[OrderMonthKey]]/100)-INT(Table1[[#This Row],[CohortMonthKey]]/100)) + (MOD(Table1[[#This Row],[OrderMonthKey]],100)-MOD(Table1[[#This Row],[CohortMonthKey]],100))</f>
        <v>14</v>
      </c>
      <c r="H463" s="3" t="str">
        <f>TEXT(Table1[[#This Row],[OrderDate]],"MMM-YYYY")</f>
        <v>Mar-2024</v>
      </c>
      <c r="I463" s="3" t="str">
        <f t="shared" si="24"/>
        <v>Q2-2023</v>
      </c>
      <c r="J463" s="3" t="str">
        <f>IF(Table1[[#This Row],[LeadTimeDays]]&lt;=7,"Yes","No")</f>
        <v>No</v>
      </c>
      <c r="K463" s="3">
        <f>_xlfn.DAYS(Table1[[#This Row],[CorrectedRequiredDate]],Table1[[#This Row],[OrderDate]])</f>
        <v>27</v>
      </c>
      <c r="L463" s="3">
        <f>IF(Table1[[#This Row],[RequiredDate]]&lt;Table1[[#This Row],[OrderDate]],Table1[[#This Row],[OrderDate]],Table1[[#This Row],[RequiredDate]])</f>
        <v>45385</v>
      </c>
      <c r="M463" s="3">
        <v>45385</v>
      </c>
      <c r="N463" t="s">
        <v>649</v>
      </c>
      <c r="O463" t="s">
        <v>656</v>
      </c>
      <c r="P463" t="s">
        <v>698</v>
      </c>
      <c r="Q463" t="s">
        <v>701</v>
      </c>
      <c r="R463" t="s">
        <v>711</v>
      </c>
      <c r="S463" t="s">
        <v>724</v>
      </c>
      <c r="T463" t="s">
        <v>728</v>
      </c>
      <c r="U463" t="s">
        <v>1194</v>
      </c>
      <c r="V463" s="8">
        <v>738.16</v>
      </c>
      <c r="W463" s="8">
        <v>956.49</v>
      </c>
      <c r="X463" s="8">
        <f t="shared" si="25"/>
        <v>815.10700000000008</v>
      </c>
      <c r="Y463" s="8">
        <f t="shared" si="26"/>
        <v>1620.05</v>
      </c>
      <c r="AA463">
        <v>0.152</v>
      </c>
      <c r="AB463">
        <f>IF(Table1[[#This Row],[DiscountPct]]&gt;0.2,1,0)</f>
        <v>0</v>
      </c>
      <c r="AC463" s="6">
        <v>5</v>
      </c>
      <c r="AD463" s="8">
        <f>Table1[[#This Row],[UnitPrice]]*Table1[[#This Row],[Quantity]]</f>
        <v>4782.45</v>
      </c>
      <c r="AE463" s="8">
        <f>Table1[[#This Row],[UnitCost]]*Table1[[#This Row],[Quantity]]</f>
        <v>3690.7999999999997</v>
      </c>
      <c r="AF463" s="8">
        <f>Table1[[#This Row],[GrossRevenue]]-Table1[[#This Row],[CostOfGoods]]</f>
        <v>1091.6500000000001</v>
      </c>
      <c r="AG463" s="8">
        <f>IF(Table1[[#This Row],[GrossRevenue]]=0,0,Table1[[#This Row],[GrossProfit]]/Table1[[#This Row],[GrossRevenue]])</f>
        <v>0.22826166504615839</v>
      </c>
    </row>
    <row r="464" spans="1:33" hidden="1" x14ac:dyDescent="0.45">
      <c r="A464" t="s">
        <v>477</v>
      </c>
      <c r="C464" s="3">
        <v>45757</v>
      </c>
      <c r="D464" s="3">
        <f>YEAR(Table1[[#This Row],[OrderDate]]) * 100 + MONTH(Table1[[#This Row],[OrderDate]])</f>
        <v>202504</v>
      </c>
      <c r="E464" s="3">
        <f>_xlfn.MINIFS(Table1[OrderMonthKey],Table1[Country],Table1[[#This Row],[Country]])</f>
        <v>202301</v>
      </c>
      <c r="F464" s="3">
        <f>Table1[[#This Row],[CountryFirstMonthKey]]</f>
        <v>202301</v>
      </c>
      <c r="G464" s="3">
        <f>12*(INT(Table1[[#This Row],[OrderMonthKey]]/100)-INT(Table1[[#This Row],[CohortMonthKey]]/100)) + (MOD(Table1[[#This Row],[OrderMonthKey]],100)-MOD(Table1[[#This Row],[CohortMonthKey]],100))</f>
        <v>27</v>
      </c>
      <c r="H464" s="3" t="str">
        <f>TEXT(Table1[[#This Row],[OrderDate]],"MMM-YYYY")</f>
        <v>Apr-2025</v>
      </c>
      <c r="I464" s="3" t="str">
        <f t="shared" si="24"/>
        <v>Q1-2024</v>
      </c>
      <c r="J464" s="3" t="str">
        <f>IF(Table1[[#This Row],[LeadTimeDays]]&lt;=7,"Yes","No")</f>
        <v>No</v>
      </c>
      <c r="K464" s="3">
        <f>_xlfn.DAYS(Table1[[#This Row],[CorrectedRequiredDate]],Table1[[#This Row],[OrderDate]])</f>
        <v>9</v>
      </c>
      <c r="L464" s="3">
        <f>IF(Table1[[#This Row],[RequiredDate]]&lt;Table1[[#This Row],[OrderDate]],Table1[[#This Row],[OrderDate]],Table1[[#This Row],[RequiredDate]])</f>
        <v>45766</v>
      </c>
      <c r="M464" s="3">
        <v>45766</v>
      </c>
      <c r="N464" t="s">
        <v>646</v>
      </c>
      <c r="O464" t="s">
        <v>661</v>
      </c>
      <c r="P464" t="s">
        <v>687</v>
      </c>
      <c r="Q464" t="s">
        <v>706</v>
      </c>
      <c r="R464" t="s">
        <v>708</v>
      </c>
      <c r="S464" t="s">
        <v>715</v>
      </c>
      <c r="T464" t="s">
        <v>729</v>
      </c>
      <c r="U464" t="s">
        <v>1195</v>
      </c>
      <c r="V464" s="8">
        <v>113.74</v>
      </c>
      <c r="W464" s="8">
        <v>165.7</v>
      </c>
      <c r="X464" s="8">
        <f t="shared" si="25"/>
        <v>815.10700000000008</v>
      </c>
      <c r="Y464" s="8">
        <f t="shared" si="26"/>
        <v>1620.05</v>
      </c>
      <c r="AA464">
        <v>0.124</v>
      </c>
      <c r="AB464">
        <f>IF(Table1[[#This Row],[DiscountPct]]&gt;0.2,1,0)</f>
        <v>0</v>
      </c>
      <c r="AC464" s="6">
        <v>13</v>
      </c>
      <c r="AD464" s="8">
        <f>Table1[[#This Row],[UnitPrice]]*Table1[[#This Row],[Quantity]]</f>
        <v>2154.1</v>
      </c>
      <c r="AE464" s="8">
        <f>Table1[[#This Row],[UnitCost]]*Table1[[#This Row],[Quantity]]</f>
        <v>1478.62</v>
      </c>
      <c r="AF464" s="8">
        <f>Table1[[#This Row],[GrossRevenue]]-Table1[[#This Row],[CostOfGoods]]</f>
        <v>675.48</v>
      </c>
      <c r="AG464" s="8">
        <f>IF(Table1[[#This Row],[GrossRevenue]]=0,0,Table1[[#This Row],[GrossProfit]]/Table1[[#This Row],[GrossRevenue]])</f>
        <v>0.31357875678937841</v>
      </c>
    </row>
    <row r="465" spans="1:33" hidden="1" x14ac:dyDescent="0.45">
      <c r="A465" t="s">
        <v>478</v>
      </c>
      <c r="C465" s="3">
        <v>45865</v>
      </c>
      <c r="D465" s="3">
        <f>YEAR(Table1[[#This Row],[OrderDate]]) * 100 + MONTH(Table1[[#This Row],[OrderDate]])</f>
        <v>202507</v>
      </c>
      <c r="E465" s="3">
        <f>_xlfn.MINIFS(Table1[OrderMonthKey],Table1[Country],Table1[[#This Row],[Country]])</f>
        <v>202303</v>
      </c>
      <c r="F465" s="3">
        <f>Table1[[#This Row],[CountryFirstMonthKey]]</f>
        <v>202303</v>
      </c>
      <c r="G465" s="3">
        <f>12*(INT(Table1[[#This Row],[OrderMonthKey]]/100)-INT(Table1[[#This Row],[CohortMonthKey]]/100)) + (MOD(Table1[[#This Row],[OrderMonthKey]],100)-MOD(Table1[[#This Row],[CohortMonthKey]],100))</f>
        <v>28</v>
      </c>
      <c r="H465" s="3" t="str">
        <f>TEXT(Table1[[#This Row],[OrderDate]],"MMM-YYYY")</f>
        <v>Jul-2025</v>
      </c>
      <c r="I465" s="3" t="str">
        <f t="shared" si="24"/>
        <v>Q2-2025</v>
      </c>
      <c r="J465" s="3" t="str">
        <f>IF(Table1[[#This Row],[LeadTimeDays]]&lt;=7,"Yes","No")</f>
        <v>No</v>
      </c>
      <c r="K465" s="3">
        <f>_xlfn.DAYS(Table1[[#This Row],[CorrectedRequiredDate]],Table1[[#This Row],[OrderDate]])</f>
        <v>19</v>
      </c>
      <c r="L465" s="3">
        <f>IF(Table1[[#This Row],[RequiredDate]]&lt;Table1[[#This Row],[OrderDate]],Table1[[#This Row],[OrderDate]],Table1[[#This Row],[RequiredDate]])</f>
        <v>45884</v>
      </c>
      <c r="M465" s="3">
        <v>45884</v>
      </c>
      <c r="N465" t="s">
        <v>647</v>
      </c>
      <c r="O465" t="s">
        <v>652</v>
      </c>
      <c r="P465" t="s">
        <v>689</v>
      </c>
      <c r="Q465" t="s">
        <v>705</v>
      </c>
      <c r="R465" t="s">
        <v>709</v>
      </c>
      <c r="S465" t="s">
        <v>713</v>
      </c>
      <c r="T465" t="s">
        <v>727</v>
      </c>
      <c r="U465" t="s">
        <v>1196</v>
      </c>
      <c r="V465" s="8">
        <v>275.43</v>
      </c>
      <c r="W465" s="8">
        <v>608.36</v>
      </c>
      <c r="X465" s="8">
        <f t="shared" si="25"/>
        <v>815.10700000000008</v>
      </c>
      <c r="Y465" s="8">
        <f t="shared" si="26"/>
        <v>1620.05</v>
      </c>
      <c r="AA465">
        <v>0.25700000000000001</v>
      </c>
      <c r="AB465">
        <f>IF(Table1[[#This Row],[DiscountPct]]&gt;0.2,1,0)</f>
        <v>1</v>
      </c>
      <c r="AC465" s="6">
        <v>4</v>
      </c>
      <c r="AD465" s="8">
        <f>Table1[[#This Row],[UnitPrice]]*Table1[[#This Row],[Quantity]]</f>
        <v>2433.44</v>
      </c>
      <c r="AE465" s="8">
        <f>Table1[[#This Row],[UnitCost]]*Table1[[#This Row],[Quantity]]</f>
        <v>1101.72</v>
      </c>
      <c r="AF465" s="8">
        <f>Table1[[#This Row],[GrossRevenue]]-Table1[[#This Row],[CostOfGoods]]</f>
        <v>1331.72</v>
      </c>
      <c r="AG465" s="8">
        <f>IF(Table1[[#This Row],[GrossRevenue]]=0,0,Table1[[#This Row],[GrossProfit]]/Table1[[#This Row],[GrossRevenue]])</f>
        <v>0.54725820238016964</v>
      </c>
    </row>
    <row r="466" spans="1:33" hidden="1" x14ac:dyDescent="0.45">
      <c r="A466" t="s">
        <v>479</v>
      </c>
      <c r="C466" s="3">
        <v>45618</v>
      </c>
      <c r="D466" s="3">
        <f>YEAR(Table1[[#This Row],[OrderDate]]) * 100 + MONTH(Table1[[#This Row],[OrderDate]])</f>
        <v>202411</v>
      </c>
      <c r="E466" s="3">
        <f>_xlfn.MINIFS(Table1[OrderMonthKey],Table1[Country],Table1[[#This Row],[Country]])</f>
        <v>202301</v>
      </c>
      <c r="F466" s="3">
        <f>Table1[[#This Row],[CountryFirstMonthKey]]</f>
        <v>202301</v>
      </c>
      <c r="G466" s="3">
        <f>12*(INT(Table1[[#This Row],[OrderMonthKey]]/100)-INT(Table1[[#This Row],[CohortMonthKey]]/100)) + (MOD(Table1[[#This Row],[OrderMonthKey]],100)-MOD(Table1[[#This Row],[CohortMonthKey]],100))</f>
        <v>22</v>
      </c>
      <c r="H466" s="3" t="str">
        <f>TEXT(Table1[[#This Row],[OrderDate]],"MMM-YYYY")</f>
        <v>Nov-2024</v>
      </c>
      <c r="I466" s="3" t="str">
        <f t="shared" si="24"/>
        <v>Q3-2025</v>
      </c>
      <c r="J466" s="3" t="str">
        <f>IF(Table1[[#This Row],[LeadTimeDays]]&lt;=7,"Yes","No")</f>
        <v>No</v>
      </c>
      <c r="K466" s="3">
        <f>_xlfn.DAYS(Table1[[#This Row],[CorrectedRequiredDate]],Table1[[#This Row],[OrderDate]])</f>
        <v>23</v>
      </c>
      <c r="L466" s="3">
        <f>IF(Table1[[#This Row],[RequiredDate]]&lt;Table1[[#This Row],[OrderDate]],Table1[[#This Row],[OrderDate]],Table1[[#This Row],[RequiredDate]])</f>
        <v>45641</v>
      </c>
      <c r="M466" s="3">
        <v>45641</v>
      </c>
      <c r="N466" t="s">
        <v>646</v>
      </c>
      <c r="O466" t="s">
        <v>650</v>
      </c>
      <c r="P466" t="s">
        <v>675</v>
      </c>
      <c r="Q466" t="s">
        <v>703</v>
      </c>
      <c r="R466" t="s">
        <v>710</v>
      </c>
      <c r="S466" t="s">
        <v>712</v>
      </c>
      <c r="T466" t="s">
        <v>727</v>
      </c>
      <c r="U466" t="s">
        <v>1197</v>
      </c>
      <c r="V466" s="8">
        <v>1335.76</v>
      </c>
      <c r="W466" s="8">
        <v>2665.91</v>
      </c>
      <c r="X466" s="8">
        <f t="shared" si="25"/>
        <v>815.10700000000008</v>
      </c>
      <c r="Y466" s="8">
        <f t="shared" si="26"/>
        <v>1620.05</v>
      </c>
      <c r="AA466">
        <v>0.21099999999999999</v>
      </c>
      <c r="AB466">
        <f>IF(Table1[[#This Row],[DiscountPct]]&gt;0.2,1,0)</f>
        <v>1</v>
      </c>
      <c r="AC466" s="6">
        <v>40</v>
      </c>
      <c r="AD466" s="8">
        <f>Table1[[#This Row],[UnitPrice]]*Table1[[#This Row],[Quantity]]</f>
        <v>106636.4</v>
      </c>
      <c r="AE466" s="8">
        <f>Table1[[#This Row],[UnitCost]]*Table1[[#This Row],[Quantity]]</f>
        <v>53430.400000000001</v>
      </c>
      <c r="AF466" s="8">
        <f>Table1[[#This Row],[GrossRevenue]]-Table1[[#This Row],[CostOfGoods]]</f>
        <v>53205.999999999993</v>
      </c>
      <c r="AG466" s="8">
        <f>IF(Table1[[#This Row],[GrossRevenue]]=0,0,Table1[[#This Row],[GrossProfit]]/Table1[[#This Row],[GrossRevenue]])</f>
        <v>0.49894782644575392</v>
      </c>
    </row>
    <row r="467" spans="1:33" x14ac:dyDescent="0.45">
      <c r="A467" t="s">
        <v>480</v>
      </c>
      <c r="B467">
        <v>1</v>
      </c>
      <c r="C467" s="3">
        <v>45466</v>
      </c>
      <c r="D467" s="6">
        <f>YEAR(Table1[[#This Row],[OrderDate]]) * 100 + MONTH(Table1[[#This Row],[OrderDate]])</f>
        <v>202406</v>
      </c>
      <c r="E467" s="6">
        <f>_xlfn.MINIFS(Table1[OrderMonthKey],Table1[Country],Table1[[#This Row],[Country]])</f>
        <v>202301</v>
      </c>
      <c r="F467" s="6">
        <f>Table1[[#This Row],[CountryFirstMonthKey]]</f>
        <v>202301</v>
      </c>
      <c r="G467" s="6">
        <f>12*(INT(Table1[[#This Row],[OrderMonthKey]]/100)-INT(Table1[[#This Row],[CohortMonthKey]]/100)) + (MOD(Table1[[#This Row],[OrderMonthKey]],100)-MOD(Table1[[#This Row],[CohortMonthKey]],100))</f>
        <v>17</v>
      </c>
      <c r="H467" s="3" t="str">
        <f>TEXT(Table1[[#This Row],[OrderDate]],"MMM-YYYY")</f>
        <v>Jun-2024</v>
      </c>
      <c r="I467" s="3" t="str">
        <f t="shared" si="24"/>
        <v>Q4-2024</v>
      </c>
      <c r="J467" s="26" t="str">
        <f>IF(Table1[[#This Row],[LeadTimeDays]]&lt;=7,"Yes","No")</f>
        <v>Yes</v>
      </c>
      <c r="K467" s="6">
        <f>_xlfn.DAYS(Table1[[#This Row],[CorrectedRequiredDate]],Table1[[#This Row],[OrderDate]])</f>
        <v>5</v>
      </c>
      <c r="L467" s="3">
        <f>IF(Table1[[#This Row],[RequiredDate]]&lt;Table1[[#This Row],[OrderDate]],Table1[[#This Row],[OrderDate]],Table1[[#This Row],[RequiredDate]])</f>
        <v>45471</v>
      </c>
      <c r="M467" s="3">
        <v>45471</v>
      </c>
      <c r="N467" t="s">
        <v>646</v>
      </c>
      <c r="O467" t="s">
        <v>651</v>
      </c>
      <c r="P467" t="s">
        <v>663</v>
      </c>
      <c r="Q467" t="s">
        <v>703</v>
      </c>
      <c r="R467" t="s">
        <v>711</v>
      </c>
      <c r="S467" t="s">
        <v>724</v>
      </c>
      <c r="T467" t="s">
        <v>733</v>
      </c>
      <c r="U467" t="s">
        <v>1198</v>
      </c>
      <c r="V467" s="8">
        <v>242.31</v>
      </c>
      <c r="W467" s="8">
        <v>587.95000000000005</v>
      </c>
      <c r="X467" s="8">
        <f t="shared" si="25"/>
        <v>815.10700000000008</v>
      </c>
      <c r="Y467" s="8">
        <f t="shared" si="26"/>
        <v>1620.05</v>
      </c>
      <c r="Z467" s="8" t="str">
        <f>IF(W466 &lt;= X465, "Low",IF(W466 &lt;= Y466, "Medium", "High"))</f>
        <v>High</v>
      </c>
      <c r="AA467">
        <v>0.22900000000000001</v>
      </c>
      <c r="AB467">
        <f>IF(Table1[[#This Row],[DiscountPct]]&gt;0.2,1,0)</f>
        <v>1</v>
      </c>
      <c r="AC467" s="6">
        <v>6</v>
      </c>
      <c r="AD467" s="8">
        <f>Table1[[#This Row],[UnitPrice]]*Table1[[#This Row],[Quantity]]</f>
        <v>3527.7000000000003</v>
      </c>
      <c r="AE467" s="8">
        <f>Table1[[#This Row],[UnitCost]]*Table1[[#This Row],[Quantity]]</f>
        <v>1453.8600000000001</v>
      </c>
      <c r="AF467" s="8">
        <f>Table1[[#This Row],[GrossRevenue]]-Table1[[#This Row],[CostOfGoods]]</f>
        <v>2073.84</v>
      </c>
      <c r="AG467" s="9">
        <f>IF(Table1[[#This Row],[GrossRevenue]]=0,0,Table1[[#This Row],[GrossProfit]]/Table1[[#This Row],[GrossRevenue]])</f>
        <v>0.58787311846245427</v>
      </c>
    </row>
    <row r="468" spans="1:33" x14ac:dyDescent="0.45">
      <c r="A468" t="s">
        <v>481</v>
      </c>
      <c r="B468">
        <v>1</v>
      </c>
      <c r="C468" s="3">
        <v>45278</v>
      </c>
      <c r="D468" s="6">
        <f>YEAR(Table1[[#This Row],[OrderDate]]) * 100 + MONTH(Table1[[#This Row],[OrderDate]])</f>
        <v>202312</v>
      </c>
      <c r="E468" s="6">
        <f>_xlfn.MINIFS(Table1[OrderMonthKey],Table1[Country],Table1[[#This Row],[Country]])</f>
        <v>202302</v>
      </c>
      <c r="F468" s="6">
        <f>Table1[[#This Row],[CountryFirstMonthKey]]</f>
        <v>202302</v>
      </c>
      <c r="G468" s="6">
        <f>12*(INT(Table1[[#This Row],[OrderMonthKey]]/100)-INT(Table1[[#This Row],[CohortMonthKey]]/100)) + (MOD(Table1[[#This Row],[OrderMonthKey]],100)-MOD(Table1[[#This Row],[CohortMonthKey]],100))</f>
        <v>10</v>
      </c>
      <c r="H468" s="3" t="str">
        <f>TEXT(Table1[[#This Row],[OrderDate]],"MMM-YYYY")</f>
        <v>Dec-2023</v>
      </c>
      <c r="I468" s="3" t="str">
        <f t="shared" si="24"/>
        <v>Q2-2024</v>
      </c>
      <c r="J468" s="26" t="str">
        <f>IF(Table1[[#This Row],[LeadTimeDays]]&lt;=7,"Yes","No")</f>
        <v>No</v>
      </c>
      <c r="K468" s="6">
        <f>_xlfn.DAYS(Table1[[#This Row],[CorrectedRequiredDate]],Table1[[#This Row],[OrderDate]])</f>
        <v>27</v>
      </c>
      <c r="L468" s="3">
        <f>IF(Table1[[#This Row],[RequiredDate]]&lt;Table1[[#This Row],[OrderDate]],Table1[[#This Row],[OrderDate]],Table1[[#This Row],[RequiredDate]])</f>
        <v>45305</v>
      </c>
      <c r="M468" s="3">
        <v>45305</v>
      </c>
      <c r="N468" t="s">
        <v>647</v>
      </c>
      <c r="O468" t="s">
        <v>654</v>
      </c>
      <c r="P468" t="s">
        <v>691</v>
      </c>
      <c r="Q468" t="s">
        <v>704</v>
      </c>
      <c r="R468" t="s">
        <v>710</v>
      </c>
      <c r="S468" t="s">
        <v>726</v>
      </c>
      <c r="T468" t="s">
        <v>729</v>
      </c>
      <c r="U468" t="s">
        <v>1199</v>
      </c>
      <c r="V468" s="8">
        <v>1408.3</v>
      </c>
      <c r="W468" s="8">
        <v>2193.13</v>
      </c>
      <c r="X468" s="8">
        <f t="shared" si="25"/>
        <v>815.10700000000008</v>
      </c>
      <c r="Y468" s="8">
        <f t="shared" si="26"/>
        <v>1620.05</v>
      </c>
      <c r="Z468" s="8" t="str">
        <f>IF(W467 &lt;= X466, "Low",IF(W467 &lt;= Y467, "Medium", "High"))</f>
        <v>Low</v>
      </c>
      <c r="AA468">
        <v>7.0999999999999994E-2</v>
      </c>
      <c r="AB468">
        <f>IF(Table1[[#This Row],[DiscountPct]]&gt;0.2,1,0)</f>
        <v>0</v>
      </c>
      <c r="AC468" s="6">
        <v>7</v>
      </c>
      <c r="AD468" s="8">
        <f>Table1[[#This Row],[UnitPrice]]*Table1[[#This Row],[Quantity]]</f>
        <v>15351.91</v>
      </c>
      <c r="AE468" s="8">
        <f>Table1[[#This Row],[UnitCost]]*Table1[[#This Row],[Quantity]]</f>
        <v>9858.1</v>
      </c>
      <c r="AF468" s="8">
        <f>Table1[[#This Row],[GrossRevenue]]-Table1[[#This Row],[CostOfGoods]]</f>
        <v>5493.8099999999995</v>
      </c>
      <c r="AG468" s="9">
        <f>IF(Table1[[#This Row],[GrossRevenue]]=0,0,Table1[[#This Row],[GrossProfit]]/Table1[[#This Row],[GrossRevenue]])</f>
        <v>0.35785840328662682</v>
      </c>
    </row>
    <row r="469" spans="1:33" hidden="1" x14ac:dyDescent="0.45">
      <c r="A469" t="s">
        <v>482</v>
      </c>
      <c r="C469" s="3">
        <v>45809</v>
      </c>
      <c r="D469" s="3">
        <f>YEAR(Table1[[#This Row],[OrderDate]]) * 100 + MONTH(Table1[[#This Row],[OrderDate]])</f>
        <v>202506</v>
      </c>
      <c r="E469" s="3">
        <f>_xlfn.MINIFS(Table1[OrderMonthKey],Table1[Country],Table1[[#This Row],[Country]])</f>
        <v>202301</v>
      </c>
      <c r="F469" s="3">
        <f>Table1[[#This Row],[CountryFirstMonthKey]]</f>
        <v>202301</v>
      </c>
      <c r="G469" s="3">
        <f>12*(INT(Table1[[#This Row],[OrderMonthKey]]/100)-INT(Table1[[#This Row],[CohortMonthKey]]/100)) + (MOD(Table1[[#This Row],[OrderMonthKey]],100)-MOD(Table1[[#This Row],[CohortMonthKey]],100))</f>
        <v>29</v>
      </c>
      <c r="H469" s="3" t="str">
        <f>TEXT(Table1[[#This Row],[OrderDate]],"MMM-YYYY")</f>
        <v>Jun-2025</v>
      </c>
      <c r="I469" s="3" t="str">
        <f t="shared" si="24"/>
        <v>Q4-2023</v>
      </c>
      <c r="J469" s="3" t="str">
        <f>IF(Table1[[#This Row],[LeadTimeDays]]&lt;=7,"Yes","No")</f>
        <v>Yes</v>
      </c>
      <c r="K469" s="3">
        <f>_xlfn.DAYS(Table1[[#This Row],[CorrectedRequiredDate]],Table1[[#This Row],[OrderDate]])</f>
        <v>4</v>
      </c>
      <c r="L469" s="3">
        <f>IF(Table1[[#This Row],[RequiredDate]]&lt;Table1[[#This Row],[OrderDate]],Table1[[#This Row],[OrderDate]],Table1[[#This Row],[RequiredDate]])</f>
        <v>45813</v>
      </c>
      <c r="M469" s="3">
        <v>45813</v>
      </c>
      <c r="N469" t="s">
        <v>649</v>
      </c>
      <c r="O469" t="s">
        <v>656</v>
      </c>
      <c r="P469" t="s">
        <v>684</v>
      </c>
      <c r="Q469" t="s">
        <v>706</v>
      </c>
      <c r="R469" t="s">
        <v>711</v>
      </c>
      <c r="S469" t="s">
        <v>724</v>
      </c>
      <c r="T469" t="s">
        <v>727</v>
      </c>
      <c r="U469" t="s">
        <v>1200</v>
      </c>
      <c r="V469" s="8">
        <v>1171.42</v>
      </c>
      <c r="W469" s="8">
        <v>2187.8000000000002</v>
      </c>
      <c r="X469" s="8">
        <f t="shared" si="25"/>
        <v>815.10700000000008</v>
      </c>
      <c r="Y469" s="8">
        <f t="shared" si="26"/>
        <v>1620.05</v>
      </c>
      <c r="AA469">
        <v>0.23</v>
      </c>
      <c r="AB469">
        <f>IF(Table1[[#This Row],[DiscountPct]]&gt;0.2,1,0)</f>
        <v>1</v>
      </c>
      <c r="AC469" s="6">
        <v>15</v>
      </c>
      <c r="AD469" s="8">
        <f>Table1[[#This Row],[UnitPrice]]*Table1[[#This Row],[Quantity]]</f>
        <v>32817</v>
      </c>
      <c r="AE469" s="8">
        <f>Table1[[#This Row],[UnitCost]]*Table1[[#This Row],[Quantity]]</f>
        <v>17571.300000000003</v>
      </c>
      <c r="AF469" s="8">
        <f>Table1[[#This Row],[GrossRevenue]]-Table1[[#This Row],[CostOfGoods]]</f>
        <v>15245.699999999997</v>
      </c>
      <c r="AG469" s="8">
        <f>IF(Table1[[#This Row],[GrossRevenue]]=0,0,Table1[[#This Row],[GrossProfit]]/Table1[[#This Row],[GrossRevenue]])</f>
        <v>0.46456714507724645</v>
      </c>
    </row>
    <row r="470" spans="1:33" hidden="1" x14ac:dyDescent="0.45">
      <c r="A470" t="s">
        <v>483</v>
      </c>
      <c r="C470" s="3">
        <v>45739</v>
      </c>
      <c r="D470" s="3">
        <f>YEAR(Table1[[#This Row],[OrderDate]]) * 100 + MONTH(Table1[[#This Row],[OrderDate]])</f>
        <v>202503</v>
      </c>
      <c r="E470" s="3">
        <f>_xlfn.MINIFS(Table1[OrderMonthKey],Table1[Country],Table1[[#This Row],[Country]])</f>
        <v>202301</v>
      </c>
      <c r="F470" s="3">
        <f>Table1[[#This Row],[CountryFirstMonthKey]]</f>
        <v>202301</v>
      </c>
      <c r="G470" s="3">
        <f>12*(INT(Table1[[#This Row],[OrderMonthKey]]/100)-INT(Table1[[#This Row],[CohortMonthKey]]/100)) + (MOD(Table1[[#This Row],[OrderMonthKey]],100)-MOD(Table1[[#This Row],[CohortMonthKey]],100))</f>
        <v>26</v>
      </c>
      <c r="H470" s="3" t="str">
        <f>TEXT(Table1[[#This Row],[OrderDate]],"MMM-YYYY")</f>
        <v>Mar-2025</v>
      </c>
      <c r="I470" s="3" t="str">
        <f t="shared" si="24"/>
        <v>Q2-2025</v>
      </c>
      <c r="J470" s="3" t="str">
        <f>IF(Table1[[#This Row],[LeadTimeDays]]&lt;=7,"Yes","No")</f>
        <v>No</v>
      </c>
      <c r="K470" s="3">
        <f>_xlfn.DAYS(Table1[[#This Row],[CorrectedRequiredDate]],Table1[[#This Row],[OrderDate]])</f>
        <v>10</v>
      </c>
      <c r="L470" s="3">
        <f>IF(Table1[[#This Row],[RequiredDate]]&lt;Table1[[#This Row],[OrderDate]],Table1[[#This Row],[OrderDate]],Table1[[#This Row],[RequiredDate]])</f>
        <v>45749</v>
      </c>
      <c r="M470" s="3">
        <v>45749</v>
      </c>
      <c r="N470" t="s">
        <v>649</v>
      </c>
      <c r="O470" t="s">
        <v>656</v>
      </c>
      <c r="P470" t="s">
        <v>671</v>
      </c>
      <c r="Q470" t="s">
        <v>706</v>
      </c>
      <c r="R470" t="s">
        <v>708</v>
      </c>
      <c r="S470" t="s">
        <v>718</v>
      </c>
      <c r="T470" t="s">
        <v>728</v>
      </c>
      <c r="U470" t="s">
        <v>1201</v>
      </c>
      <c r="V470" s="8">
        <v>663.61</v>
      </c>
      <c r="W470" s="8">
        <v>1002.11</v>
      </c>
      <c r="X470" s="8">
        <f t="shared" si="25"/>
        <v>815.10700000000008</v>
      </c>
      <c r="Y470" s="8">
        <f t="shared" si="26"/>
        <v>1620.05</v>
      </c>
      <c r="AA470">
        <v>4.5999999999999999E-2</v>
      </c>
      <c r="AB470">
        <f>IF(Table1[[#This Row],[DiscountPct]]&gt;0.2,1,0)</f>
        <v>0</v>
      </c>
      <c r="AC470" s="6">
        <v>17</v>
      </c>
      <c r="AD470" s="8">
        <f>Table1[[#This Row],[UnitPrice]]*Table1[[#This Row],[Quantity]]</f>
        <v>17035.87</v>
      </c>
      <c r="AE470" s="8">
        <f>Table1[[#This Row],[UnitCost]]*Table1[[#This Row],[Quantity]]</f>
        <v>11281.37</v>
      </c>
      <c r="AF470" s="8">
        <f>Table1[[#This Row],[GrossRevenue]]-Table1[[#This Row],[CostOfGoods]]</f>
        <v>5754.4999999999982</v>
      </c>
      <c r="AG470" s="8">
        <f>IF(Table1[[#This Row],[GrossRevenue]]=0,0,Table1[[#This Row],[GrossProfit]]/Table1[[#This Row],[GrossRevenue]])</f>
        <v>0.33778726886269961</v>
      </c>
    </row>
    <row r="471" spans="1:33" hidden="1" x14ac:dyDescent="0.45">
      <c r="A471" t="s">
        <v>484</v>
      </c>
      <c r="C471" s="3">
        <v>45060</v>
      </c>
      <c r="D471" s="3">
        <f>YEAR(Table1[[#This Row],[OrderDate]]) * 100 + MONTH(Table1[[#This Row],[OrderDate]])</f>
        <v>202305</v>
      </c>
      <c r="E471" s="3">
        <f>_xlfn.MINIFS(Table1[OrderMonthKey],Table1[Country],Table1[[#This Row],[Country]])</f>
        <v>202301</v>
      </c>
      <c r="F471" s="3">
        <f>Table1[[#This Row],[CountryFirstMonthKey]]</f>
        <v>202301</v>
      </c>
      <c r="G471" s="3">
        <f>12*(INT(Table1[[#This Row],[OrderMonthKey]]/100)-INT(Table1[[#This Row],[CohortMonthKey]]/100)) + (MOD(Table1[[#This Row],[OrderMonthKey]],100)-MOD(Table1[[#This Row],[CohortMonthKey]],100))</f>
        <v>4</v>
      </c>
      <c r="H471" s="3" t="str">
        <f>TEXT(Table1[[#This Row],[OrderDate]],"MMM-YYYY")</f>
        <v>May-2023</v>
      </c>
      <c r="I471" s="3" t="str">
        <f t="shared" si="24"/>
        <v>Q1-2025</v>
      </c>
      <c r="J471" s="3" t="str">
        <f>IF(Table1[[#This Row],[LeadTimeDays]]&lt;=7,"Yes","No")</f>
        <v>No</v>
      </c>
      <c r="K471" s="3">
        <f>_xlfn.DAYS(Table1[[#This Row],[CorrectedRequiredDate]],Table1[[#This Row],[OrderDate]])</f>
        <v>8</v>
      </c>
      <c r="L471" s="3">
        <f>IF(Table1[[#This Row],[RequiredDate]]&lt;Table1[[#This Row],[OrderDate]],Table1[[#This Row],[OrderDate]],Table1[[#This Row],[RequiredDate]])</f>
        <v>45068</v>
      </c>
      <c r="M471" s="3">
        <v>45068</v>
      </c>
      <c r="N471" t="s">
        <v>646</v>
      </c>
      <c r="O471" t="s">
        <v>650</v>
      </c>
      <c r="P471" t="s">
        <v>675</v>
      </c>
      <c r="Q471" t="s">
        <v>705</v>
      </c>
      <c r="R471" t="s">
        <v>710</v>
      </c>
      <c r="S471" t="s">
        <v>721</v>
      </c>
      <c r="T471" t="s">
        <v>728</v>
      </c>
      <c r="U471" t="s">
        <v>1202</v>
      </c>
      <c r="V471" s="8">
        <v>432.01</v>
      </c>
      <c r="W471" s="8">
        <v>913.78</v>
      </c>
      <c r="X471" s="8">
        <f t="shared" si="25"/>
        <v>815.10700000000008</v>
      </c>
      <c r="Y471" s="8">
        <f t="shared" si="26"/>
        <v>1620.05</v>
      </c>
      <c r="AA471">
        <v>4.9000000000000002E-2</v>
      </c>
      <c r="AB471">
        <f>IF(Table1[[#This Row],[DiscountPct]]&gt;0.2,1,0)</f>
        <v>0</v>
      </c>
      <c r="AC471" s="6">
        <v>12</v>
      </c>
      <c r="AD471" s="8">
        <f>Table1[[#This Row],[UnitPrice]]*Table1[[#This Row],[Quantity]]</f>
        <v>10965.36</v>
      </c>
      <c r="AE471" s="8">
        <f>Table1[[#This Row],[UnitCost]]*Table1[[#This Row],[Quantity]]</f>
        <v>5184.12</v>
      </c>
      <c r="AF471" s="8">
        <f>Table1[[#This Row],[GrossRevenue]]-Table1[[#This Row],[CostOfGoods]]</f>
        <v>5781.2400000000007</v>
      </c>
      <c r="AG471" s="8">
        <f>IF(Table1[[#This Row],[GrossRevenue]]=0,0,Table1[[#This Row],[GrossProfit]]/Table1[[#This Row],[GrossRevenue]])</f>
        <v>0.5272275602442601</v>
      </c>
    </row>
    <row r="472" spans="1:33" hidden="1" x14ac:dyDescent="0.45">
      <c r="A472" t="s">
        <v>485</v>
      </c>
      <c r="C472" s="3">
        <v>45167</v>
      </c>
      <c r="D472" s="3">
        <f>YEAR(Table1[[#This Row],[OrderDate]]) * 100 + MONTH(Table1[[#This Row],[OrderDate]])</f>
        <v>202308</v>
      </c>
      <c r="E472" s="3">
        <f>_xlfn.MINIFS(Table1[OrderMonthKey],Table1[Country],Table1[[#This Row],[Country]])</f>
        <v>202301</v>
      </c>
      <c r="F472" s="3">
        <f>Table1[[#This Row],[CountryFirstMonthKey]]</f>
        <v>202301</v>
      </c>
      <c r="G472" s="3">
        <f>12*(INT(Table1[[#This Row],[OrderMonthKey]]/100)-INT(Table1[[#This Row],[CohortMonthKey]]/100)) + (MOD(Table1[[#This Row],[OrderMonthKey]],100)-MOD(Table1[[#This Row],[CohortMonthKey]],100))</f>
        <v>7</v>
      </c>
      <c r="H472" s="3" t="str">
        <f>TEXT(Table1[[#This Row],[OrderDate]],"MMM-YYYY")</f>
        <v>Aug-2023</v>
      </c>
      <c r="I472" s="3" t="str">
        <f t="shared" si="24"/>
        <v>Q2-2023</v>
      </c>
      <c r="J472" s="3" t="str">
        <f>IF(Table1[[#This Row],[LeadTimeDays]]&lt;=7,"Yes","No")</f>
        <v>No</v>
      </c>
      <c r="K472" s="3">
        <f>_xlfn.DAYS(Table1[[#This Row],[CorrectedRequiredDate]],Table1[[#This Row],[OrderDate]])</f>
        <v>21</v>
      </c>
      <c r="L472" s="3">
        <f>IF(Table1[[#This Row],[RequiredDate]]&lt;Table1[[#This Row],[OrderDate]],Table1[[#This Row],[OrderDate]],Table1[[#This Row],[RequiredDate]])</f>
        <v>45188</v>
      </c>
      <c r="M472" s="3">
        <v>45188</v>
      </c>
      <c r="N472" t="s">
        <v>649</v>
      </c>
      <c r="O472" t="s">
        <v>657</v>
      </c>
      <c r="P472" t="s">
        <v>679</v>
      </c>
      <c r="Q472" t="s">
        <v>705</v>
      </c>
      <c r="R472" t="s">
        <v>711</v>
      </c>
      <c r="S472" t="s">
        <v>717</v>
      </c>
      <c r="T472" t="s">
        <v>728</v>
      </c>
      <c r="U472" t="s">
        <v>1203</v>
      </c>
      <c r="V472" s="8">
        <v>784.46</v>
      </c>
      <c r="W472" s="8">
        <v>1843.51</v>
      </c>
      <c r="X472" s="8">
        <f t="shared" si="25"/>
        <v>815.10700000000008</v>
      </c>
      <c r="Y472" s="8">
        <f t="shared" si="26"/>
        <v>1620.05</v>
      </c>
      <c r="AA472">
        <v>0.13800000000000001</v>
      </c>
      <c r="AB472">
        <f>IF(Table1[[#This Row],[DiscountPct]]&gt;0.2,1,0)</f>
        <v>0</v>
      </c>
      <c r="AC472" s="6">
        <v>23</v>
      </c>
      <c r="AD472" s="8">
        <f>Table1[[#This Row],[UnitPrice]]*Table1[[#This Row],[Quantity]]</f>
        <v>42400.73</v>
      </c>
      <c r="AE472" s="8">
        <f>Table1[[#This Row],[UnitCost]]*Table1[[#This Row],[Quantity]]</f>
        <v>18042.580000000002</v>
      </c>
      <c r="AF472" s="8">
        <f>Table1[[#This Row],[GrossRevenue]]-Table1[[#This Row],[CostOfGoods]]</f>
        <v>24358.15</v>
      </c>
      <c r="AG472" s="8">
        <f>IF(Table1[[#This Row],[GrossRevenue]]=0,0,Table1[[#This Row],[GrossProfit]]/Table1[[#This Row],[GrossRevenue]])</f>
        <v>0.57447477908988831</v>
      </c>
    </row>
    <row r="473" spans="1:33" x14ac:dyDescent="0.45">
      <c r="A473" t="s">
        <v>486</v>
      </c>
      <c r="B473">
        <v>1</v>
      </c>
      <c r="C473" s="3">
        <v>45841</v>
      </c>
      <c r="D473" s="6">
        <f>YEAR(Table1[[#This Row],[OrderDate]]) * 100 + MONTH(Table1[[#This Row],[OrderDate]])</f>
        <v>202507</v>
      </c>
      <c r="E473" s="6">
        <f>_xlfn.MINIFS(Table1[OrderMonthKey],Table1[Country],Table1[[#This Row],[Country]])</f>
        <v>202301</v>
      </c>
      <c r="F473" s="6">
        <f>Table1[[#This Row],[CountryFirstMonthKey]]</f>
        <v>202301</v>
      </c>
      <c r="G473" s="6">
        <f>12*(INT(Table1[[#This Row],[OrderMonthKey]]/100)-INT(Table1[[#This Row],[CohortMonthKey]]/100)) + (MOD(Table1[[#This Row],[OrderMonthKey]],100)-MOD(Table1[[#This Row],[CohortMonthKey]],100))</f>
        <v>30</v>
      </c>
      <c r="H473" s="3" t="str">
        <f>TEXT(Table1[[#This Row],[OrderDate]],"MMM-YYYY")</f>
        <v>Jul-2025</v>
      </c>
      <c r="I473" s="3" t="str">
        <f t="shared" si="24"/>
        <v>Q3-2023</v>
      </c>
      <c r="J473" s="26" t="str">
        <f>IF(Table1[[#This Row],[LeadTimeDays]]&lt;=7,"Yes","No")</f>
        <v>No</v>
      </c>
      <c r="K473" s="6">
        <f>_xlfn.DAYS(Table1[[#This Row],[CorrectedRequiredDate]],Table1[[#This Row],[OrderDate]])</f>
        <v>20</v>
      </c>
      <c r="L473" s="3">
        <f>IF(Table1[[#This Row],[RequiredDate]]&lt;Table1[[#This Row],[OrderDate]],Table1[[#This Row],[OrderDate]],Table1[[#This Row],[RequiredDate]])</f>
        <v>45861</v>
      </c>
      <c r="M473" s="3">
        <v>45861</v>
      </c>
      <c r="N473" t="s">
        <v>647</v>
      </c>
      <c r="O473" t="s">
        <v>659</v>
      </c>
      <c r="P473" t="s">
        <v>699</v>
      </c>
      <c r="Q473" t="s">
        <v>705</v>
      </c>
      <c r="R473" t="s">
        <v>708</v>
      </c>
      <c r="S473" t="s">
        <v>724</v>
      </c>
      <c r="T473" t="s">
        <v>727</v>
      </c>
      <c r="U473" t="s">
        <v>1204</v>
      </c>
      <c r="V473" s="8">
        <v>647.36</v>
      </c>
      <c r="W473" s="8">
        <v>1383.6</v>
      </c>
      <c r="X473" s="8">
        <f t="shared" si="25"/>
        <v>815.10700000000008</v>
      </c>
      <c r="Y473" s="8">
        <f t="shared" si="26"/>
        <v>1620.05</v>
      </c>
      <c r="Z473" s="8" t="str">
        <f>IF(W472 &lt;= X471, "Low",IF(W472 &lt;= Y472, "Medium", "High"))</f>
        <v>High</v>
      </c>
      <c r="AA473">
        <v>7.3999999999999996E-2</v>
      </c>
      <c r="AB473">
        <f>IF(Table1[[#This Row],[DiscountPct]]&gt;0.2,1,0)</f>
        <v>0</v>
      </c>
      <c r="AC473" s="6">
        <v>12</v>
      </c>
      <c r="AD473" s="8">
        <f>Table1[[#This Row],[UnitPrice]]*Table1[[#This Row],[Quantity]]</f>
        <v>16603.199999999997</v>
      </c>
      <c r="AE473" s="8">
        <f>Table1[[#This Row],[UnitCost]]*Table1[[#This Row],[Quantity]]</f>
        <v>7768.32</v>
      </c>
      <c r="AF473" s="8">
        <f>Table1[[#This Row],[GrossRevenue]]-Table1[[#This Row],[CostOfGoods]]</f>
        <v>8834.8799999999974</v>
      </c>
      <c r="AG473" s="9">
        <f>IF(Table1[[#This Row],[GrossRevenue]]=0,0,Table1[[#This Row],[GrossProfit]]/Table1[[#This Row],[GrossRevenue]])</f>
        <v>0.53211910956923958</v>
      </c>
    </row>
    <row r="474" spans="1:33" hidden="1" x14ac:dyDescent="0.45">
      <c r="A474" t="s">
        <v>487</v>
      </c>
      <c r="C474" s="3">
        <v>45328</v>
      </c>
      <c r="D474" s="3">
        <f>YEAR(Table1[[#This Row],[OrderDate]]) * 100 + MONTH(Table1[[#This Row],[OrderDate]])</f>
        <v>202402</v>
      </c>
      <c r="E474" s="3">
        <f>_xlfn.MINIFS(Table1[OrderMonthKey],Table1[Country],Table1[[#This Row],[Country]])</f>
        <v>202301</v>
      </c>
      <c r="F474" s="3">
        <f>Table1[[#This Row],[CountryFirstMonthKey]]</f>
        <v>202301</v>
      </c>
      <c r="G474" s="3">
        <f>12*(INT(Table1[[#This Row],[OrderMonthKey]]/100)-INT(Table1[[#This Row],[CohortMonthKey]]/100)) + (MOD(Table1[[#This Row],[OrderMonthKey]],100)-MOD(Table1[[#This Row],[CohortMonthKey]],100))</f>
        <v>13</v>
      </c>
      <c r="H474" s="3" t="str">
        <f>TEXT(Table1[[#This Row],[OrderDate]],"MMM-YYYY")</f>
        <v>Feb-2024</v>
      </c>
      <c r="I474" s="3" t="str">
        <f t="shared" si="24"/>
        <v>Q3-2025</v>
      </c>
      <c r="J474" s="3" t="str">
        <f>IF(Table1[[#This Row],[LeadTimeDays]]&lt;=7,"Yes","No")</f>
        <v>No</v>
      </c>
      <c r="K474" s="3">
        <f>_xlfn.DAYS(Table1[[#This Row],[CorrectedRequiredDate]],Table1[[#This Row],[OrderDate]])</f>
        <v>22</v>
      </c>
      <c r="L474" s="3">
        <f>IF(Table1[[#This Row],[RequiredDate]]&lt;Table1[[#This Row],[OrderDate]],Table1[[#This Row],[OrderDate]],Table1[[#This Row],[RequiredDate]])</f>
        <v>45350</v>
      </c>
      <c r="M474" s="3">
        <v>45350</v>
      </c>
      <c r="N474" t="s">
        <v>646</v>
      </c>
      <c r="O474" t="s">
        <v>650</v>
      </c>
      <c r="P474" t="s">
        <v>662</v>
      </c>
      <c r="Q474" t="s">
        <v>703</v>
      </c>
      <c r="R474" t="s">
        <v>708</v>
      </c>
      <c r="S474" t="s">
        <v>723</v>
      </c>
      <c r="T474" t="s">
        <v>732</v>
      </c>
      <c r="U474" t="s">
        <v>1205</v>
      </c>
      <c r="V474" s="8">
        <v>834.93</v>
      </c>
      <c r="W474" s="8">
        <v>1588.53</v>
      </c>
      <c r="X474" s="8">
        <f t="shared" si="25"/>
        <v>815.10700000000008</v>
      </c>
      <c r="Y474" s="8">
        <f t="shared" si="26"/>
        <v>1620.05</v>
      </c>
      <c r="AA474">
        <v>0.126</v>
      </c>
      <c r="AB474">
        <f>IF(Table1[[#This Row],[DiscountPct]]&gt;0.2,1,0)</f>
        <v>0</v>
      </c>
      <c r="AC474" s="6">
        <v>6</v>
      </c>
      <c r="AD474" s="8">
        <f>Table1[[#This Row],[UnitPrice]]*Table1[[#This Row],[Quantity]]</f>
        <v>9531.18</v>
      </c>
      <c r="AE474" s="8">
        <f>Table1[[#This Row],[UnitCost]]*Table1[[#This Row],[Quantity]]</f>
        <v>5009.58</v>
      </c>
      <c r="AF474" s="8">
        <f>Table1[[#This Row],[GrossRevenue]]-Table1[[#This Row],[CostOfGoods]]</f>
        <v>4521.6000000000004</v>
      </c>
      <c r="AG474" s="8">
        <f>IF(Table1[[#This Row],[GrossRevenue]]=0,0,Table1[[#This Row],[GrossProfit]]/Table1[[#This Row],[GrossRevenue]])</f>
        <v>0.4744008611735378</v>
      </c>
    </row>
    <row r="475" spans="1:33" hidden="1" x14ac:dyDescent="0.45">
      <c r="A475" t="s">
        <v>488</v>
      </c>
      <c r="C475" s="3">
        <v>45882</v>
      </c>
      <c r="D475" s="3">
        <f>YEAR(Table1[[#This Row],[OrderDate]]) * 100 + MONTH(Table1[[#This Row],[OrderDate]])</f>
        <v>202508</v>
      </c>
      <c r="E475" s="3">
        <f>_xlfn.MINIFS(Table1[OrderMonthKey],Table1[Country],Table1[[#This Row],[Country]])</f>
        <v>202301</v>
      </c>
      <c r="F475" s="3">
        <f>Table1[[#This Row],[CountryFirstMonthKey]]</f>
        <v>202301</v>
      </c>
      <c r="G475" s="3">
        <f>12*(INT(Table1[[#This Row],[OrderMonthKey]]/100)-INT(Table1[[#This Row],[CohortMonthKey]]/100)) + (MOD(Table1[[#This Row],[OrderMonthKey]],100)-MOD(Table1[[#This Row],[CohortMonthKey]],100))</f>
        <v>31</v>
      </c>
      <c r="H475" s="3" t="str">
        <f>TEXT(Table1[[#This Row],[OrderDate]],"MMM-YYYY")</f>
        <v>Aug-2025</v>
      </c>
      <c r="I475" s="3" t="str">
        <f t="shared" si="24"/>
        <v>Q1-2024</v>
      </c>
      <c r="J475" s="3" t="str">
        <f>IF(Table1[[#This Row],[LeadTimeDays]]&lt;=7,"Yes","No")</f>
        <v>No</v>
      </c>
      <c r="K475" s="3">
        <f>_xlfn.DAYS(Table1[[#This Row],[CorrectedRequiredDate]],Table1[[#This Row],[OrderDate]])</f>
        <v>21</v>
      </c>
      <c r="L475" s="3">
        <f>IF(Table1[[#This Row],[RequiredDate]]&lt;Table1[[#This Row],[OrderDate]],Table1[[#This Row],[OrderDate]],Table1[[#This Row],[RequiredDate]])</f>
        <v>45903</v>
      </c>
      <c r="M475" s="3">
        <v>45903</v>
      </c>
      <c r="N475" t="s">
        <v>649</v>
      </c>
      <c r="O475" t="s">
        <v>657</v>
      </c>
      <c r="P475" t="s">
        <v>690</v>
      </c>
      <c r="Q475" t="s">
        <v>702</v>
      </c>
      <c r="R475" t="s">
        <v>707</v>
      </c>
      <c r="S475" t="s">
        <v>714</v>
      </c>
      <c r="T475" t="s">
        <v>730</v>
      </c>
      <c r="U475" t="s">
        <v>1206</v>
      </c>
      <c r="V475" s="8">
        <v>603.47</v>
      </c>
      <c r="W475" s="8">
        <v>1344.05</v>
      </c>
      <c r="X475" s="8">
        <f t="shared" si="25"/>
        <v>815.10700000000008</v>
      </c>
      <c r="Y475" s="8">
        <f t="shared" si="26"/>
        <v>1620.05</v>
      </c>
      <c r="AA475">
        <v>0.20499999999999999</v>
      </c>
      <c r="AB475">
        <f>IF(Table1[[#This Row],[DiscountPct]]&gt;0.2,1,0)</f>
        <v>1</v>
      </c>
      <c r="AC475" s="6">
        <v>18</v>
      </c>
      <c r="AD475" s="8">
        <f>Table1[[#This Row],[UnitPrice]]*Table1[[#This Row],[Quantity]]</f>
        <v>24192.899999999998</v>
      </c>
      <c r="AE475" s="8">
        <f>Table1[[#This Row],[UnitCost]]*Table1[[#This Row],[Quantity]]</f>
        <v>10862.460000000001</v>
      </c>
      <c r="AF475" s="8">
        <f>Table1[[#This Row],[GrossRevenue]]-Table1[[#This Row],[CostOfGoods]]</f>
        <v>13330.439999999997</v>
      </c>
      <c r="AG475" s="8">
        <f>IF(Table1[[#This Row],[GrossRevenue]]=0,0,Table1[[#This Row],[GrossProfit]]/Table1[[#This Row],[GrossRevenue]])</f>
        <v>0.55100628696849063</v>
      </c>
    </row>
    <row r="476" spans="1:33" x14ac:dyDescent="0.45">
      <c r="A476" t="s">
        <v>489</v>
      </c>
      <c r="B476">
        <v>1</v>
      </c>
      <c r="C476" s="3">
        <v>45069</v>
      </c>
      <c r="D476" s="6">
        <f>YEAR(Table1[[#This Row],[OrderDate]]) * 100 + MONTH(Table1[[#This Row],[OrderDate]])</f>
        <v>202305</v>
      </c>
      <c r="E476" s="6">
        <f>_xlfn.MINIFS(Table1[OrderMonthKey],Table1[Country],Table1[[#This Row],[Country]])</f>
        <v>202301</v>
      </c>
      <c r="F476" s="6">
        <f>Table1[[#This Row],[CountryFirstMonthKey]]</f>
        <v>202301</v>
      </c>
      <c r="G476" s="6">
        <f>12*(INT(Table1[[#This Row],[OrderMonthKey]]/100)-INT(Table1[[#This Row],[CohortMonthKey]]/100)) + (MOD(Table1[[#This Row],[OrderMonthKey]],100)-MOD(Table1[[#This Row],[CohortMonthKey]],100))</f>
        <v>4</v>
      </c>
      <c r="H476" s="3" t="str">
        <f>TEXT(Table1[[#This Row],[OrderDate]],"MMM-YYYY")</f>
        <v>May-2023</v>
      </c>
      <c r="I476" s="3" t="str">
        <f t="shared" si="24"/>
        <v>Q3-2025</v>
      </c>
      <c r="J476" s="26" t="str">
        <f>IF(Table1[[#This Row],[LeadTimeDays]]&lt;=7,"Yes","No")</f>
        <v>Yes</v>
      </c>
      <c r="K476" s="6">
        <f>_xlfn.DAYS(Table1[[#This Row],[CorrectedRequiredDate]],Table1[[#This Row],[OrderDate]])</f>
        <v>2</v>
      </c>
      <c r="L476" s="3">
        <f>IF(Table1[[#This Row],[RequiredDate]]&lt;Table1[[#This Row],[OrderDate]],Table1[[#This Row],[OrderDate]],Table1[[#This Row],[RequiredDate]])</f>
        <v>45071</v>
      </c>
      <c r="M476" s="3">
        <v>45071</v>
      </c>
      <c r="N476" t="s">
        <v>648</v>
      </c>
      <c r="O476" t="s">
        <v>655</v>
      </c>
      <c r="P476" t="s">
        <v>692</v>
      </c>
      <c r="Q476" t="s">
        <v>706</v>
      </c>
      <c r="R476" t="s">
        <v>707</v>
      </c>
      <c r="S476" t="s">
        <v>724</v>
      </c>
      <c r="T476" t="s">
        <v>728</v>
      </c>
      <c r="U476" t="s">
        <v>1207</v>
      </c>
      <c r="V476" s="8">
        <v>690.49</v>
      </c>
      <c r="W476" s="8">
        <v>1290.29</v>
      </c>
      <c r="X476" s="8">
        <f t="shared" si="25"/>
        <v>815.10700000000008</v>
      </c>
      <c r="Y476" s="8">
        <f t="shared" si="26"/>
        <v>1620.05</v>
      </c>
      <c r="Z476" s="8" t="str">
        <f>IF(W475 &lt;= X474, "Low",IF(W475 &lt;= Y475, "Medium", "High"))</f>
        <v>Medium</v>
      </c>
      <c r="AA476">
        <v>4.2000000000000003E-2</v>
      </c>
      <c r="AB476">
        <f>IF(Table1[[#This Row],[DiscountPct]]&gt;0.2,1,0)</f>
        <v>0</v>
      </c>
      <c r="AC476" s="6">
        <v>22</v>
      </c>
      <c r="AD476" s="8">
        <f>Table1[[#This Row],[UnitPrice]]*Table1[[#This Row],[Quantity]]</f>
        <v>28386.379999999997</v>
      </c>
      <c r="AE476" s="8">
        <f>Table1[[#This Row],[UnitCost]]*Table1[[#This Row],[Quantity]]</f>
        <v>15190.78</v>
      </c>
      <c r="AF476" s="8">
        <f>Table1[[#This Row],[GrossRevenue]]-Table1[[#This Row],[CostOfGoods]]</f>
        <v>13195.599999999997</v>
      </c>
      <c r="AG476" s="9">
        <f>IF(Table1[[#This Row],[GrossRevenue]]=0,0,Table1[[#This Row],[GrossProfit]]/Table1[[#This Row],[GrossRevenue]])</f>
        <v>0.46485673763262514</v>
      </c>
    </row>
    <row r="477" spans="1:33" x14ac:dyDescent="0.45">
      <c r="A477" t="s">
        <v>490</v>
      </c>
      <c r="B477">
        <v>1</v>
      </c>
      <c r="C477" s="3">
        <v>45422</v>
      </c>
      <c r="D477" s="6">
        <f>YEAR(Table1[[#This Row],[OrderDate]]) * 100 + MONTH(Table1[[#This Row],[OrderDate]])</f>
        <v>202405</v>
      </c>
      <c r="E477" s="6">
        <f>_xlfn.MINIFS(Table1[OrderMonthKey],Table1[Country],Table1[[#This Row],[Country]])</f>
        <v>202301</v>
      </c>
      <c r="F477" s="6">
        <f>Table1[[#This Row],[CountryFirstMonthKey]]</f>
        <v>202301</v>
      </c>
      <c r="G477" s="6">
        <f>12*(INT(Table1[[#This Row],[OrderMonthKey]]/100)-INT(Table1[[#This Row],[CohortMonthKey]]/100)) + (MOD(Table1[[#This Row],[OrderMonthKey]],100)-MOD(Table1[[#This Row],[CohortMonthKey]],100))</f>
        <v>16</v>
      </c>
      <c r="H477" s="3" t="str">
        <f>TEXT(Table1[[#This Row],[OrderDate]],"MMM-YYYY")</f>
        <v>May-2024</v>
      </c>
      <c r="I477" s="3" t="str">
        <f t="shared" si="24"/>
        <v>Q2-2023</v>
      </c>
      <c r="J477" s="26" t="str">
        <f>IF(Table1[[#This Row],[LeadTimeDays]]&lt;=7,"Yes","No")</f>
        <v>Yes</v>
      </c>
      <c r="K477" s="6">
        <f>_xlfn.DAYS(Table1[[#This Row],[CorrectedRequiredDate]],Table1[[#This Row],[OrderDate]])</f>
        <v>6</v>
      </c>
      <c r="L477" s="3">
        <f>IF(Table1[[#This Row],[RequiredDate]]&lt;Table1[[#This Row],[OrderDate]],Table1[[#This Row],[OrderDate]],Table1[[#This Row],[RequiredDate]])</f>
        <v>45428</v>
      </c>
      <c r="M477" s="3">
        <v>45428</v>
      </c>
      <c r="N477" t="s">
        <v>649</v>
      </c>
      <c r="O477" t="s">
        <v>658</v>
      </c>
      <c r="P477" t="s">
        <v>674</v>
      </c>
      <c r="Q477" t="s">
        <v>703</v>
      </c>
      <c r="R477" t="s">
        <v>711</v>
      </c>
      <c r="S477" t="s">
        <v>715</v>
      </c>
      <c r="T477" t="s">
        <v>731</v>
      </c>
      <c r="U477" t="s">
        <v>1208</v>
      </c>
      <c r="V477" s="8">
        <v>210.76</v>
      </c>
      <c r="W477" s="8">
        <v>221.58</v>
      </c>
      <c r="X477" s="8">
        <f t="shared" si="25"/>
        <v>815.10700000000008</v>
      </c>
      <c r="Y477" s="8">
        <f t="shared" si="26"/>
        <v>1620.05</v>
      </c>
      <c r="Z477" s="8" t="str">
        <f>IF(W476 &lt;= X475, "Low",IF(W476 &lt;= Y476, "Medium", "High"))</f>
        <v>Medium</v>
      </c>
      <c r="AA477">
        <v>8.8999999999999996E-2</v>
      </c>
      <c r="AB477">
        <f>IF(Table1[[#This Row],[DiscountPct]]&gt;0.2,1,0)</f>
        <v>0</v>
      </c>
      <c r="AC477" s="6">
        <v>5</v>
      </c>
      <c r="AD477" s="8">
        <f>Table1[[#This Row],[UnitPrice]]*Table1[[#This Row],[Quantity]]</f>
        <v>1107.9000000000001</v>
      </c>
      <c r="AE477" s="8">
        <f>Table1[[#This Row],[UnitCost]]*Table1[[#This Row],[Quantity]]</f>
        <v>1053.8</v>
      </c>
      <c r="AF477" s="8">
        <f>Table1[[#This Row],[GrossRevenue]]-Table1[[#This Row],[CostOfGoods]]</f>
        <v>54.100000000000136</v>
      </c>
      <c r="AG477" s="9">
        <f>IF(Table1[[#This Row],[GrossRevenue]]=0,0,Table1[[#This Row],[GrossProfit]]/Table1[[#This Row],[GrossRevenue]])</f>
        <v>4.8831121942413694E-2</v>
      </c>
    </row>
    <row r="478" spans="1:33" hidden="1" x14ac:dyDescent="0.45">
      <c r="A478" t="s">
        <v>491</v>
      </c>
      <c r="C478" s="3">
        <v>44999</v>
      </c>
      <c r="D478" s="3">
        <f>YEAR(Table1[[#This Row],[OrderDate]]) * 100 + MONTH(Table1[[#This Row],[OrderDate]])</f>
        <v>202303</v>
      </c>
      <c r="E478" s="3">
        <f>_xlfn.MINIFS(Table1[OrderMonthKey],Table1[Country],Table1[[#This Row],[Country]])</f>
        <v>202301</v>
      </c>
      <c r="F478" s="3">
        <f>Table1[[#This Row],[CountryFirstMonthKey]]</f>
        <v>202301</v>
      </c>
      <c r="G478" s="3">
        <f>12*(INT(Table1[[#This Row],[OrderMonthKey]]/100)-INT(Table1[[#This Row],[CohortMonthKey]]/100)) + (MOD(Table1[[#This Row],[OrderMonthKey]],100)-MOD(Table1[[#This Row],[CohortMonthKey]],100))</f>
        <v>2</v>
      </c>
      <c r="H478" s="3" t="str">
        <f>TEXT(Table1[[#This Row],[OrderDate]],"MMM-YYYY")</f>
        <v>Mar-2023</v>
      </c>
      <c r="I478" s="3" t="str">
        <f t="shared" si="24"/>
        <v>Q2-2024</v>
      </c>
      <c r="J478" s="3" t="str">
        <f>IF(Table1[[#This Row],[LeadTimeDays]]&lt;=7,"Yes","No")</f>
        <v>Yes</v>
      </c>
      <c r="K478" s="3">
        <f>_xlfn.DAYS(Table1[[#This Row],[CorrectedRequiredDate]],Table1[[#This Row],[OrderDate]])</f>
        <v>4</v>
      </c>
      <c r="L478" s="3">
        <f>IF(Table1[[#This Row],[RequiredDate]]&lt;Table1[[#This Row],[OrderDate]],Table1[[#This Row],[OrderDate]],Table1[[#This Row],[RequiredDate]])</f>
        <v>45003</v>
      </c>
      <c r="M478" s="3">
        <v>45003</v>
      </c>
      <c r="N478" t="s">
        <v>649</v>
      </c>
      <c r="O478" t="s">
        <v>656</v>
      </c>
      <c r="P478" t="s">
        <v>698</v>
      </c>
      <c r="Q478" t="s">
        <v>706</v>
      </c>
      <c r="R478" t="s">
        <v>711</v>
      </c>
      <c r="S478" t="s">
        <v>720</v>
      </c>
      <c r="T478" t="s">
        <v>727</v>
      </c>
      <c r="U478" t="s">
        <v>1209</v>
      </c>
      <c r="V478" s="8">
        <v>472.33</v>
      </c>
      <c r="W478" s="8">
        <v>360.34</v>
      </c>
      <c r="X478" s="8">
        <f t="shared" si="25"/>
        <v>815.10700000000008</v>
      </c>
      <c r="Y478" s="8">
        <f t="shared" si="26"/>
        <v>1620.05</v>
      </c>
      <c r="AA478">
        <v>0.16500000000000001</v>
      </c>
      <c r="AB478">
        <f>IF(Table1[[#This Row],[DiscountPct]]&gt;0.2,1,0)</f>
        <v>0</v>
      </c>
      <c r="AC478" s="6">
        <v>14</v>
      </c>
      <c r="AD478" s="8">
        <f>Table1[[#This Row],[UnitPrice]]*Table1[[#This Row],[Quantity]]</f>
        <v>5044.7599999999993</v>
      </c>
      <c r="AE478" s="8">
        <f>Table1[[#This Row],[UnitCost]]*Table1[[#This Row],[Quantity]]</f>
        <v>6612.62</v>
      </c>
      <c r="AF478" s="8">
        <f>Table1[[#This Row],[GrossRevenue]]-Table1[[#This Row],[CostOfGoods]]</f>
        <v>-1567.8600000000006</v>
      </c>
      <c r="AG478" s="8">
        <f>IF(Table1[[#This Row],[GrossRevenue]]=0,0,Table1[[#This Row],[GrossProfit]]/Table1[[#This Row],[GrossRevenue]])</f>
        <v>-0.31078980962424391</v>
      </c>
    </row>
    <row r="479" spans="1:33" x14ac:dyDescent="0.45">
      <c r="A479" t="s">
        <v>492</v>
      </c>
      <c r="B479">
        <v>1</v>
      </c>
      <c r="C479" s="3">
        <v>45123</v>
      </c>
      <c r="D479" s="6">
        <f>YEAR(Table1[[#This Row],[OrderDate]]) * 100 + MONTH(Table1[[#This Row],[OrderDate]])</f>
        <v>202307</v>
      </c>
      <c r="E479" s="6">
        <f>_xlfn.MINIFS(Table1[OrderMonthKey],Table1[Country],Table1[[#This Row],[Country]])</f>
        <v>202301</v>
      </c>
      <c r="F479" s="6">
        <f>Table1[[#This Row],[CountryFirstMonthKey]]</f>
        <v>202301</v>
      </c>
      <c r="G479" s="6">
        <f>12*(INT(Table1[[#This Row],[OrderMonthKey]]/100)-INT(Table1[[#This Row],[CohortMonthKey]]/100)) + (MOD(Table1[[#This Row],[OrderMonthKey]],100)-MOD(Table1[[#This Row],[CohortMonthKey]],100))</f>
        <v>6</v>
      </c>
      <c r="H479" s="3" t="str">
        <f>TEXT(Table1[[#This Row],[OrderDate]],"MMM-YYYY")</f>
        <v>Jul-2023</v>
      </c>
      <c r="I479" s="3" t="str">
        <f t="shared" si="24"/>
        <v>Q1-2023</v>
      </c>
      <c r="J479" s="26" t="str">
        <f>IF(Table1[[#This Row],[LeadTimeDays]]&lt;=7,"Yes","No")</f>
        <v>No</v>
      </c>
      <c r="K479" s="6">
        <f>_xlfn.DAYS(Table1[[#This Row],[CorrectedRequiredDate]],Table1[[#This Row],[OrderDate]])</f>
        <v>28</v>
      </c>
      <c r="L479" s="3">
        <f>IF(Table1[[#This Row],[RequiredDate]]&lt;Table1[[#This Row],[OrderDate]],Table1[[#This Row],[OrderDate]],Table1[[#This Row],[RequiredDate]])</f>
        <v>45151</v>
      </c>
      <c r="M479" s="3">
        <v>45151</v>
      </c>
      <c r="N479" t="s">
        <v>649</v>
      </c>
      <c r="O479" t="s">
        <v>658</v>
      </c>
      <c r="P479" t="s">
        <v>693</v>
      </c>
      <c r="Q479" t="s">
        <v>703</v>
      </c>
      <c r="R479" t="s">
        <v>708</v>
      </c>
      <c r="S479" t="s">
        <v>713</v>
      </c>
      <c r="T479" t="s">
        <v>731</v>
      </c>
      <c r="U479" t="s">
        <v>1210</v>
      </c>
      <c r="V479" s="8">
        <v>1039.03</v>
      </c>
      <c r="W479" s="8">
        <v>2545.81</v>
      </c>
      <c r="X479" s="8">
        <f t="shared" si="25"/>
        <v>815.10700000000008</v>
      </c>
      <c r="Y479" s="8">
        <f t="shared" si="26"/>
        <v>1620.05</v>
      </c>
      <c r="Z479" s="8" t="str">
        <f>IF(W478 &lt;= X477, "Low",IF(W478 &lt;= Y478, "Medium", "High"))</f>
        <v>Low</v>
      </c>
      <c r="AA479">
        <v>0.216</v>
      </c>
      <c r="AB479">
        <f>IF(Table1[[#This Row],[DiscountPct]]&gt;0.2,1,0)</f>
        <v>1</v>
      </c>
      <c r="AC479" s="6">
        <v>21</v>
      </c>
      <c r="AD479" s="8">
        <f>Table1[[#This Row],[UnitPrice]]*Table1[[#This Row],[Quantity]]</f>
        <v>53462.01</v>
      </c>
      <c r="AE479" s="8">
        <f>Table1[[#This Row],[UnitCost]]*Table1[[#This Row],[Quantity]]</f>
        <v>21819.63</v>
      </c>
      <c r="AF479" s="8">
        <f>Table1[[#This Row],[GrossRevenue]]-Table1[[#This Row],[CostOfGoods]]</f>
        <v>31642.38</v>
      </c>
      <c r="AG479" s="9">
        <f>IF(Table1[[#This Row],[GrossRevenue]]=0,0,Table1[[#This Row],[GrossProfit]]/Table1[[#This Row],[GrossRevenue]])</f>
        <v>0.59186663576621978</v>
      </c>
    </row>
    <row r="480" spans="1:33" hidden="1" x14ac:dyDescent="0.45">
      <c r="A480" t="s">
        <v>493</v>
      </c>
      <c r="C480" s="3">
        <v>45032</v>
      </c>
      <c r="D480" s="3">
        <f>YEAR(Table1[[#This Row],[OrderDate]]) * 100 + MONTH(Table1[[#This Row],[OrderDate]])</f>
        <v>202304</v>
      </c>
      <c r="E480" s="3">
        <f>_xlfn.MINIFS(Table1[OrderMonthKey],Table1[Country],Table1[[#This Row],[Country]])</f>
        <v>202301</v>
      </c>
      <c r="F480" s="3">
        <f>Table1[[#This Row],[CountryFirstMonthKey]]</f>
        <v>202301</v>
      </c>
      <c r="G480" s="3">
        <f>12*(INT(Table1[[#This Row],[OrderMonthKey]]/100)-INT(Table1[[#This Row],[CohortMonthKey]]/100)) + (MOD(Table1[[#This Row],[OrderMonthKey]],100)-MOD(Table1[[#This Row],[CohortMonthKey]],100))</f>
        <v>3</v>
      </c>
      <c r="H480" s="3" t="str">
        <f>TEXT(Table1[[#This Row],[OrderDate]],"MMM-YYYY")</f>
        <v>Apr-2023</v>
      </c>
      <c r="I480" s="3" t="str">
        <f t="shared" si="24"/>
        <v>Q3-2023</v>
      </c>
      <c r="J480" s="3" t="str">
        <f>IF(Table1[[#This Row],[LeadTimeDays]]&lt;=7,"Yes","No")</f>
        <v>Yes</v>
      </c>
      <c r="K480" s="3">
        <f>_xlfn.DAYS(Table1[[#This Row],[CorrectedRequiredDate]],Table1[[#This Row],[OrderDate]])</f>
        <v>3</v>
      </c>
      <c r="L480" s="3">
        <f>IF(Table1[[#This Row],[RequiredDate]]&lt;Table1[[#This Row],[OrderDate]],Table1[[#This Row],[OrderDate]],Table1[[#This Row],[RequiredDate]])</f>
        <v>45035</v>
      </c>
      <c r="M480" s="3">
        <v>45035</v>
      </c>
      <c r="N480" t="s">
        <v>649</v>
      </c>
      <c r="O480" t="s">
        <v>656</v>
      </c>
      <c r="P480" t="s">
        <v>684</v>
      </c>
      <c r="Q480" t="s">
        <v>701</v>
      </c>
      <c r="R480" t="s">
        <v>711</v>
      </c>
      <c r="S480" t="s">
        <v>717</v>
      </c>
      <c r="T480" t="s">
        <v>733</v>
      </c>
      <c r="U480" t="s">
        <v>1211</v>
      </c>
      <c r="V480" s="8">
        <v>553.61</v>
      </c>
      <c r="W480" s="8">
        <v>699.47</v>
      </c>
      <c r="X480" s="8">
        <f t="shared" si="25"/>
        <v>815.10700000000008</v>
      </c>
      <c r="Y480" s="8">
        <f t="shared" si="26"/>
        <v>1620.05</v>
      </c>
      <c r="AA480">
        <v>0.02</v>
      </c>
      <c r="AB480">
        <f>IF(Table1[[#This Row],[DiscountPct]]&gt;0.2,1,0)</f>
        <v>0</v>
      </c>
      <c r="AC480" s="6">
        <v>33</v>
      </c>
      <c r="AD480" s="8">
        <f>Table1[[#This Row],[UnitPrice]]*Table1[[#This Row],[Quantity]]</f>
        <v>23082.510000000002</v>
      </c>
      <c r="AE480" s="8">
        <f>Table1[[#This Row],[UnitCost]]*Table1[[#This Row],[Quantity]]</f>
        <v>18269.13</v>
      </c>
      <c r="AF480" s="8">
        <f>Table1[[#This Row],[GrossRevenue]]-Table1[[#This Row],[CostOfGoods]]</f>
        <v>4813.380000000001</v>
      </c>
      <c r="AG480" s="8">
        <f>IF(Table1[[#This Row],[GrossRevenue]]=0,0,Table1[[#This Row],[GrossProfit]]/Table1[[#This Row],[GrossRevenue]])</f>
        <v>0.20852931505282574</v>
      </c>
    </row>
    <row r="481" spans="1:33" hidden="1" x14ac:dyDescent="0.45">
      <c r="A481" t="s">
        <v>494</v>
      </c>
      <c r="C481" s="3">
        <v>45293</v>
      </c>
      <c r="D481" s="3">
        <f>YEAR(Table1[[#This Row],[OrderDate]]) * 100 + MONTH(Table1[[#This Row],[OrderDate]])</f>
        <v>202401</v>
      </c>
      <c r="E481" s="3">
        <f>_xlfn.MINIFS(Table1[OrderMonthKey],Table1[Country],Table1[[#This Row],[Country]])</f>
        <v>202303</v>
      </c>
      <c r="F481" s="3">
        <f>Table1[[#This Row],[CountryFirstMonthKey]]</f>
        <v>202303</v>
      </c>
      <c r="G481" s="3">
        <f>12*(INT(Table1[[#This Row],[OrderMonthKey]]/100)-INT(Table1[[#This Row],[CohortMonthKey]]/100)) + (MOD(Table1[[#This Row],[OrderMonthKey]],100)-MOD(Table1[[#This Row],[CohortMonthKey]],100))</f>
        <v>10</v>
      </c>
      <c r="H481" s="3" t="str">
        <f>TEXT(Table1[[#This Row],[OrderDate]],"MMM-YYYY")</f>
        <v>Jan-2024</v>
      </c>
      <c r="I481" s="3" t="str">
        <f t="shared" si="24"/>
        <v>Q2-2023</v>
      </c>
      <c r="J481" s="3" t="str">
        <f>IF(Table1[[#This Row],[LeadTimeDays]]&lt;=7,"Yes","No")</f>
        <v>No</v>
      </c>
      <c r="K481" s="3">
        <f>_xlfn.DAYS(Table1[[#This Row],[CorrectedRequiredDate]],Table1[[#This Row],[OrderDate]])</f>
        <v>13</v>
      </c>
      <c r="L481" s="3">
        <f>IF(Table1[[#This Row],[RequiredDate]]&lt;Table1[[#This Row],[OrderDate]],Table1[[#This Row],[OrderDate]],Table1[[#This Row],[RequiredDate]])</f>
        <v>45306</v>
      </c>
      <c r="M481" s="3">
        <v>45306</v>
      </c>
      <c r="N481" t="s">
        <v>647</v>
      </c>
      <c r="O481" t="s">
        <v>652</v>
      </c>
      <c r="P481" t="s">
        <v>694</v>
      </c>
      <c r="Q481" t="s">
        <v>705</v>
      </c>
      <c r="R481" t="s">
        <v>709</v>
      </c>
      <c r="S481" t="s">
        <v>715</v>
      </c>
      <c r="T481" t="s">
        <v>729</v>
      </c>
      <c r="U481" t="s">
        <v>1212</v>
      </c>
      <c r="V481" s="8">
        <v>1219.06</v>
      </c>
      <c r="W481" s="8">
        <v>2738.69</v>
      </c>
      <c r="X481" s="8">
        <f t="shared" si="25"/>
        <v>815.10700000000008</v>
      </c>
      <c r="Y481" s="8">
        <f t="shared" si="26"/>
        <v>1620.05</v>
      </c>
      <c r="AA481">
        <v>7.5999999999999998E-2</v>
      </c>
      <c r="AB481">
        <f>IF(Table1[[#This Row],[DiscountPct]]&gt;0.2,1,0)</f>
        <v>0</v>
      </c>
      <c r="AC481" s="6">
        <v>16</v>
      </c>
      <c r="AD481" s="8">
        <f>Table1[[#This Row],[UnitPrice]]*Table1[[#This Row],[Quantity]]</f>
        <v>43819.040000000001</v>
      </c>
      <c r="AE481" s="8">
        <f>Table1[[#This Row],[UnitCost]]*Table1[[#This Row],[Quantity]]</f>
        <v>19504.96</v>
      </c>
      <c r="AF481" s="8">
        <f>Table1[[#This Row],[GrossRevenue]]-Table1[[#This Row],[CostOfGoods]]</f>
        <v>24314.080000000002</v>
      </c>
      <c r="AG481" s="8">
        <f>IF(Table1[[#This Row],[GrossRevenue]]=0,0,Table1[[#This Row],[GrossProfit]]/Table1[[#This Row],[GrossRevenue]])</f>
        <v>0.55487477589650525</v>
      </c>
    </row>
    <row r="482" spans="1:33" hidden="1" x14ac:dyDescent="0.45">
      <c r="A482" t="s">
        <v>495</v>
      </c>
      <c r="C482" s="3">
        <v>45538</v>
      </c>
      <c r="D482" s="3">
        <f>YEAR(Table1[[#This Row],[OrderDate]]) * 100 + MONTH(Table1[[#This Row],[OrderDate]])</f>
        <v>202409</v>
      </c>
      <c r="E482" s="3">
        <f>_xlfn.MINIFS(Table1[OrderMonthKey],Table1[Country],Table1[[#This Row],[Country]])</f>
        <v>202303</v>
      </c>
      <c r="F482" s="3">
        <f>Table1[[#This Row],[CountryFirstMonthKey]]</f>
        <v>202303</v>
      </c>
      <c r="G482" s="3">
        <f>12*(INT(Table1[[#This Row],[OrderMonthKey]]/100)-INT(Table1[[#This Row],[CohortMonthKey]]/100)) + (MOD(Table1[[#This Row],[OrderMonthKey]],100)-MOD(Table1[[#This Row],[CohortMonthKey]],100))</f>
        <v>18</v>
      </c>
      <c r="H482" s="3" t="str">
        <f>TEXT(Table1[[#This Row],[OrderDate]],"MMM-YYYY")</f>
        <v>Sep-2024</v>
      </c>
      <c r="I482" s="3" t="str">
        <f t="shared" si="24"/>
        <v>Q1-2024</v>
      </c>
      <c r="J482" s="3" t="str">
        <f>IF(Table1[[#This Row],[LeadTimeDays]]&lt;=7,"Yes","No")</f>
        <v>Yes</v>
      </c>
      <c r="K482" s="3">
        <f>_xlfn.DAYS(Table1[[#This Row],[CorrectedRequiredDate]],Table1[[#This Row],[OrderDate]])</f>
        <v>4</v>
      </c>
      <c r="L482" s="3">
        <f>IF(Table1[[#This Row],[RequiredDate]]&lt;Table1[[#This Row],[OrderDate]],Table1[[#This Row],[OrderDate]],Table1[[#This Row],[RequiredDate]])</f>
        <v>45542</v>
      </c>
      <c r="M482" s="3">
        <v>45542</v>
      </c>
      <c r="N482" t="s">
        <v>647</v>
      </c>
      <c r="O482" t="s">
        <v>652</v>
      </c>
      <c r="P482" t="s">
        <v>689</v>
      </c>
      <c r="Q482" t="s">
        <v>705</v>
      </c>
      <c r="R482" t="s">
        <v>710</v>
      </c>
      <c r="S482" t="s">
        <v>725</v>
      </c>
      <c r="T482" t="s">
        <v>728</v>
      </c>
      <c r="U482" t="s">
        <v>1213</v>
      </c>
      <c r="V482" s="8">
        <v>43.23</v>
      </c>
      <c r="W482" s="8">
        <v>94.78</v>
      </c>
      <c r="X482" s="8">
        <f t="shared" si="25"/>
        <v>815.10700000000008</v>
      </c>
      <c r="Y482" s="8">
        <f t="shared" si="26"/>
        <v>1620.05</v>
      </c>
      <c r="AA482">
        <v>9.0999999999999998E-2</v>
      </c>
      <c r="AB482">
        <f>IF(Table1[[#This Row],[DiscountPct]]&gt;0.2,1,0)</f>
        <v>0</v>
      </c>
      <c r="AC482" s="6">
        <v>55</v>
      </c>
      <c r="AD482" s="8">
        <f>Table1[[#This Row],[UnitPrice]]*Table1[[#This Row],[Quantity]]</f>
        <v>5212.8999999999996</v>
      </c>
      <c r="AE482" s="8">
        <f>Table1[[#This Row],[UnitCost]]*Table1[[#This Row],[Quantity]]</f>
        <v>2377.6499999999996</v>
      </c>
      <c r="AF482" s="8">
        <f>Table1[[#This Row],[GrossRevenue]]-Table1[[#This Row],[CostOfGoods]]</f>
        <v>2835.25</v>
      </c>
      <c r="AG482" s="8">
        <f>IF(Table1[[#This Row],[GrossRevenue]]=0,0,Table1[[#This Row],[GrossProfit]]/Table1[[#This Row],[GrossRevenue]])</f>
        <v>0.54389111626925513</v>
      </c>
    </row>
    <row r="483" spans="1:33" hidden="1" x14ac:dyDescent="0.45">
      <c r="A483" t="s">
        <v>496</v>
      </c>
      <c r="C483" s="3">
        <v>45899</v>
      </c>
      <c r="D483" s="3">
        <f>YEAR(Table1[[#This Row],[OrderDate]]) * 100 + MONTH(Table1[[#This Row],[OrderDate]])</f>
        <v>202508</v>
      </c>
      <c r="E483" s="3">
        <f>_xlfn.MINIFS(Table1[OrderMonthKey],Table1[Country],Table1[[#This Row],[Country]])</f>
        <v>202301</v>
      </c>
      <c r="F483" s="3">
        <f>Table1[[#This Row],[CountryFirstMonthKey]]</f>
        <v>202301</v>
      </c>
      <c r="G483" s="3">
        <f>12*(INT(Table1[[#This Row],[OrderMonthKey]]/100)-INT(Table1[[#This Row],[CohortMonthKey]]/100)) + (MOD(Table1[[#This Row],[OrderMonthKey]],100)-MOD(Table1[[#This Row],[CohortMonthKey]],100))</f>
        <v>31</v>
      </c>
      <c r="H483" s="3" t="str">
        <f>TEXT(Table1[[#This Row],[OrderDate]],"MMM-YYYY")</f>
        <v>Aug-2025</v>
      </c>
      <c r="I483" s="3" t="str">
        <f t="shared" si="24"/>
        <v>Q3-2024</v>
      </c>
      <c r="J483" s="3" t="str">
        <f>IF(Table1[[#This Row],[LeadTimeDays]]&lt;=7,"Yes","No")</f>
        <v>Yes</v>
      </c>
      <c r="K483" s="3">
        <f>_xlfn.DAYS(Table1[[#This Row],[CorrectedRequiredDate]],Table1[[#This Row],[OrderDate]])</f>
        <v>4</v>
      </c>
      <c r="L483" s="3">
        <f>IF(Table1[[#This Row],[RequiredDate]]&lt;Table1[[#This Row],[OrderDate]],Table1[[#This Row],[OrderDate]],Table1[[#This Row],[RequiredDate]])</f>
        <v>45903</v>
      </c>
      <c r="M483" s="3">
        <v>45903</v>
      </c>
      <c r="N483" t="s">
        <v>649</v>
      </c>
      <c r="O483" t="s">
        <v>657</v>
      </c>
      <c r="P483" t="s">
        <v>673</v>
      </c>
      <c r="Q483" t="s">
        <v>705</v>
      </c>
      <c r="R483" t="s">
        <v>709</v>
      </c>
      <c r="S483" t="s">
        <v>713</v>
      </c>
      <c r="T483" t="s">
        <v>731</v>
      </c>
      <c r="U483" t="s">
        <v>1214</v>
      </c>
      <c r="V483" s="8">
        <v>1286.56</v>
      </c>
      <c r="W483" s="8">
        <v>2777.35</v>
      </c>
      <c r="X483" s="8">
        <f t="shared" si="25"/>
        <v>815.10700000000008</v>
      </c>
      <c r="Y483" s="8">
        <f t="shared" si="26"/>
        <v>1620.05</v>
      </c>
      <c r="AA483">
        <v>0.13200000000000001</v>
      </c>
      <c r="AB483">
        <f>IF(Table1[[#This Row],[DiscountPct]]&gt;0.2,1,0)</f>
        <v>0</v>
      </c>
      <c r="AC483" s="6">
        <v>15</v>
      </c>
      <c r="AD483" s="8">
        <f>Table1[[#This Row],[UnitPrice]]*Table1[[#This Row],[Quantity]]</f>
        <v>41660.25</v>
      </c>
      <c r="AE483" s="8">
        <f>Table1[[#This Row],[UnitCost]]*Table1[[#This Row],[Quantity]]</f>
        <v>19298.399999999998</v>
      </c>
      <c r="AF483" s="8">
        <f>Table1[[#This Row],[GrossRevenue]]-Table1[[#This Row],[CostOfGoods]]</f>
        <v>22361.850000000002</v>
      </c>
      <c r="AG483" s="8">
        <f>IF(Table1[[#This Row],[GrossRevenue]]=0,0,Table1[[#This Row],[GrossProfit]]/Table1[[#This Row],[GrossRevenue]])</f>
        <v>0.53676706212756775</v>
      </c>
    </row>
    <row r="484" spans="1:33" hidden="1" x14ac:dyDescent="0.45">
      <c r="A484" t="s">
        <v>497</v>
      </c>
      <c r="C484" s="3">
        <v>45775</v>
      </c>
      <c r="D484" s="3">
        <f>YEAR(Table1[[#This Row],[OrderDate]]) * 100 + MONTH(Table1[[#This Row],[OrderDate]])</f>
        <v>202504</v>
      </c>
      <c r="E484" s="3">
        <f>_xlfn.MINIFS(Table1[OrderMonthKey],Table1[Country],Table1[[#This Row],[Country]])</f>
        <v>202301</v>
      </c>
      <c r="F484" s="3">
        <f>Table1[[#This Row],[CountryFirstMonthKey]]</f>
        <v>202301</v>
      </c>
      <c r="G484" s="3">
        <f>12*(INT(Table1[[#This Row],[OrderMonthKey]]/100)-INT(Table1[[#This Row],[CohortMonthKey]]/100)) + (MOD(Table1[[#This Row],[OrderMonthKey]],100)-MOD(Table1[[#This Row],[CohortMonthKey]],100))</f>
        <v>27</v>
      </c>
      <c r="H484" s="3" t="str">
        <f>TEXT(Table1[[#This Row],[OrderDate]],"MMM-YYYY")</f>
        <v>Apr-2025</v>
      </c>
      <c r="I484" s="3" t="str">
        <f t="shared" si="24"/>
        <v>Q3-2025</v>
      </c>
      <c r="J484" s="3" t="str">
        <f>IF(Table1[[#This Row],[LeadTimeDays]]&lt;=7,"Yes","No")</f>
        <v>No</v>
      </c>
      <c r="K484" s="3">
        <f>_xlfn.DAYS(Table1[[#This Row],[CorrectedRequiredDate]],Table1[[#This Row],[OrderDate]])</f>
        <v>21</v>
      </c>
      <c r="L484" s="3">
        <f>IF(Table1[[#This Row],[RequiredDate]]&lt;Table1[[#This Row],[OrderDate]],Table1[[#This Row],[OrderDate]],Table1[[#This Row],[RequiredDate]])</f>
        <v>45796</v>
      </c>
      <c r="M484" s="3">
        <v>45796</v>
      </c>
      <c r="N484" t="s">
        <v>649</v>
      </c>
      <c r="O484" t="s">
        <v>656</v>
      </c>
      <c r="P484" t="s">
        <v>671</v>
      </c>
      <c r="Q484" t="s">
        <v>701</v>
      </c>
      <c r="R484" t="s">
        <v>710</v>
      </c>
      <c r="S484" t="s">
        <v>717</v>
      </c>
      <c r="T484" t="s">
        <v>730</v>
      </c>
      <c r="U484" t="s">
        <v>1215</v>
      </c>
      <c r="V484" s="8">
        <v>350.76</v>
      </c>
      <c r="W484" s="8">
        <v>492.18</v>
      </c>
      <c r="X484" s="8">
        <f t="shared" si="25"/>
        <v>815.10700000000008</v>
      </c>
      <c r="Y484" s="8">
        <f t="shared" si="26"/>
        <v>1620.05</v>
      </c>
      <c r="AA484">
        <v>5.2999999999999999E-2</v>
      </c>
      <c r="AB484">
        <f>IF(Table1[[#This Row],[DiscountPct]]&gt;0.2,1,0)</f>
        <v>0</v>
      </c>
      <c r="AC484" s="6">
        <v>11</v>
      </c>
      <c r="AD484" s="8">
        <f>Table1[[#This Row],[UnitPrice]]*Table1[[#This Row],[Quantity]]</f>
        <v>5413.9800000000005</v>
      </c>
      <c r="AE484" s="8">
        <f>Table1[[#This Row],[UnitCost]]*Table1[[#This Row],[Quantity]]</f>
        <v>3858.3599999999997</v>
      </c>
      <c r="AF484" s="8">
        <f>Table1[[#This Row],[GrossRevenue]]-Table1[[#This Row],[CostOfGoods]]</f>
        <v>1555.6200000000008</v>
      </c>
      <c r="AG484" s="8">
        <f>IF(Table1[[#This Row],[GrossRevenue]]=0,0,Table1[[#This Row],[GrossProfit]]/Table1[[#This Row],[GrossRevenue]])</f>
        <v>0.28733390223089128</v>
      </c>
    </row>
    <row r="485" spans="1:33" x14ac:dyDescent="0.45">
      <c r="A485" t="s">
        <v>498</v>
      </c>
      <c r="B485">
        <v>1</v>
      </c>
      <c r="C485" s="3">
        <v>45148</v>
      </c>
      <c r="D485" s="6">
        <f>YEAR(Table1[[#This Row],[OrderDate]]) * 100 + MONTH(Table1[[#This Row],[OrderDate]])</f>
        <v>202308</v>
      </c>
      <c r="E485" s="6">
        <f>_xlfn.MINIFS(Table1[OrderMonthKey],Table1[Country],Table1[[#This Row],[Country]])</f>
        <v>202301</v>
      </c>
      <c r="F485" s="6">
        <f>Table1[[#This Row],[CountryFirstMonthKey]]</f>
        <v>202301</v>
      </c>
      <c r="G485" s="6">
        <f>12*(INT(Table1[[#This Row],[OrderMonthKey]]/100)-INT(Table1[[#This Row],[CohortMonthKey]]/100)) + (MOD(Table1[[#This Row],[OrderMonthKey]],100)-MOD(Table1[[#This Row],[CohortMonthKey]],100))</f>
        <v>7</v>
      </c>
      <c r="H485" s="3" t="str">
        <f>TEXT(Table1[[#This Row],[OrderDate]],"MMM-YYYY")</f>
        <v>Aug-2023</v>
      </c>
      <c r="I485" s="3" t="str">
        <f t="shared" si="24"/>
        <v>Q2-2025</v>
      </c>
      <c r="J485" s="26" t="str">
        <f>IF(Table1[[#This Row],[LeadTimeDays]]&lt;=7,"Yes","No")</f>
        <v>Yes</v>
      </c>
      <c r="K485" s="6">
        <f>_xlfn.DAYS(Table1[[#This Row],[CorrectedRequiredDate]],Table1[[#This Row],[OrderDate]])</f>
        <v>5</v>
      </c>
      <c r="L485" s="3">
        <f>IF(Table1[[#This Row],[RequiredDate]]&lt;Table1[[#This Row],[OrderDate]],Table1[[#This Row],[OrderDate]],Table1[[#This Row],[RequiredDate]])</f>
        <v>45153</v>
      </c>
      <c r="M485" s="3">
        <v>45153</v>
      </c>
      <c r="N485" t="s">
        <v>648</v>
      </c>
      <c r="O485" t="s">
        <v>655</v>
      </c>
      <c r="P485" t="s">
        <v>670</v>
      </c>
      <c r="Q485" t="s">
        <v>702</v>
      </c>
      <c r="R485" t="s">
        <v>711</v>
      </c>
      <c r="S485" t="s">
        <v>715</v>
      </c>
      <c r="T485" t="s">
        <v>729</v>
      </c>
      <c r="U485" t="s">
        <v>1216</v>
      </c>
      <c r="V485" s="8">
        <v>1307.52</v>
      </c>
      <c r="W485" s="8">
        <v>1921.65</v>
      </c>
      <c r="X485" s="8">
        <f t="shared" si="25"/>
        <v>815.10700000000008</v>
      </c>
      <c r="Y485" s="8">
        <f t="shared" si="26"/>
        <v>1620.05</v>
      </c>
      <c r="Z485" s="8" t="str">
        <f>IF(W484 &lt;= X483, "Low",IF(W484 &lt;= Y484, "Medium", "High"))</f>
        <v>Low</v>
      </c>
      <c r="AA485">
        <v>0.123</v>
      </c>
      <c r="AB485">
        <f>IF(Table1[[#This Row],[DiscountPct]]&gt;0.2,1,0)</f>
        <v>0</v>
      </c>
      <c r="AC485" s="6">
        <v>13</v>
      </c>
      <c r="AD485" s="8">
        <f>Table1[[#This Row],[UnitPrice]]*Table1[[#This Row],[Quantity]]</f>
        <v>24981.45</v>
      </c>
      <c r="AE485" s="8">
        <f>Table1[[#This Row],[UnitCost]]*Table1[[#This Row],[Quantity]]</f>
        <v>16997.759999999998</v>
      </c>
      <c r="AF485" s="8">
        <f>Table1[[#This Row],[GrossRevenue]]-Table1[[#This Row],[CostOfGoods]]</f>
        <v>7983.6900000000023</v>
      </c>
      <c r="AG485" s="9">
        <f>IF(Table1[[#This Row],[GrossRevenue]]=0,0,Table1[[#This Row],[GrossProfit]]/Table1[[#This Row],[GrossRevenue]])</f>
        <v>0.31958473187104841</v>
      </c>
    </row>
    <row r="486" spans="1:33" hidden="1" x14ac:dyDescent="0.45">
      <c r="A486" t="s">
        <v>499</v>
      </c>
      <c r="C486" s="3">
        <v>45634</v>
      </c>
      <c r="D486" s="3">
        <f>YEAR(Table1[[#This Row],[OrderDate]]) * 100 + MONTH(Table1[[#This Row],[OrderDate]])</f>
        <v>202412</v>
      </c>
      <c r="E486" s="3">
        <f>_xlfn.MINIFS(Table1[OrderMonthKey],Table1[Country],Table1[[#This Row],[Country]])</f>
        <v>202301</v>
      </c>
      <c r="F486" s="3">
        <f>Table1[[#This Row],[CountryFirstMonthKey]]</f>
        <v>202301</v>
      </c>
      <c r="G486" s="3">
        <f>12*(INT(Table1[[#This Row],[OrderMonthKey]]/100)-INT(Table1[[#This Row],[CohortMonthKey]]/100)) + (MOD(Table1[[#This Row],[OrderMonthKey]],100)-MOD(Table1[[#This Row],[CohortMonthKey]],100))</f>
        <v>23</v>
      </c>
      <c r="H486" s="3" t="str">
        <f>TEXT(Table1[[#This Row],[OrderDate]],"MMM-YYYY")</f>
        <v>Dec-2024</v>
      </c>
      <c r="I486" s="3" t="str">
        <f t="shared" si="24"/>
        <v>Q3-2023</v>
      </c>
      <c r="J486" s="3" t="str">
        <f>IF(Table1[[#This Row],[LeadTimeDays]]&lt;=7,"Yes","No")</f>
        <v>Yes</v>
      </c>
      <c r="K486" s="3">
        <f>_xlfn.DAYS(Table1[[#This Row],[CorrectedRequiredDate]],Table1[[#This Row],[OrderDate]])</f>
        <v>0</v>
      </c>
      <c r="L486" s="3">
        <f>IF(Table1[[#This Row],[RequiredDate]]&lt;Table1[[#This Row],[OrderDate]],Table1[[#This Row],[OrderDate]],Table1[[#This Row],[RequiredDate]])</f>
        <v>45634</v>
      </c>
      <c r="M486" s="3">
        <v>45634</v>
      </c>
      <c r="N486" t="s">
        <v>649</v>
      </c>
      <c r="O486" t="s">
        <v>657</v>
      </c>
      <c r="P486" t="s">
        <v>679</v>
      </c>
      <c r="Q486" t="s">
        <v>706</v>
      </c>
      <c r="R486" t="s">
        <v>707</v>
      </c>
      <c r="S486" t="s">
        <v>722</v>
      </c>
      <c r="T486" t="s">
        <v>727</v>
      </c>
      <c r="U486" t="s">
        <v>1217</v>
      </c>
      <c r="V486" s="8">
        <v>257.44</v>
      </c>
      <c r="W486" s="8">
        <v>290.33</v>
      </c>
      <c r="X486" s="8">
        <f t="shared" si="25"/>
        <v>815.10700000000008</v>
      </c>
      <c r="Y486" s="8">
        <f t="shared" si="26"/>
        <v>1620.05</v>
      </c>
      <c r="AA486">
        <v>9.1999999999999998E-2</v>
      </c>
      <c r="AB486">
        <f>IF(Table1[[#This Row],[DiscountPct]]&gt;0.2,1,0)</f>
        <v>0</v>
      </c>
      <c r="AC486" s="6">
        <v>23</v>
      </c>
      <c r="AD486" s="8">
        <f>Table1[[#This Row],[UnitPrice]]*Table1[[#This Row],[Quantity]]</f>
        <v>6677.5899999999992</v>
      </c>
      <c r="AE486" s="8">
        <f>Table1[[#This Row],[UnitCost]]*Table1[[#This Row],[Quantity]]</f>
        <v>5921.12</v>
      </c>
      <c r="AF486" s="8">
        <f>Table1[[#This Row],[GrossRevenue]]-Table1[[#This Row],[CostOfGoods]]</f>
        <v>756.46999999999935</v>
      </c>
      <c r="AG486" s="8">
        <f>IF(Table1[[#This Row],[GrossRevenue]]=0,0,Table1[[#This Row],[GrossProfit]]/Table1[[#This Row],[GrossRevenue]])</f>
        <v>0.11328488271966375</v>
      </c>
    </row>
    <row r="487" spans="1:33" hidden="1" x14ac:dyDescent="0.45">
      <c r="A487" t="s">
        <v>500</v>
      </c>
      <c r="C487" s="3">
        <v>45224</v>
      </c>
      <c r="D487" s="3">
        <f>YEAR(Table1[[#This Row],[OrderDate]]) * 100 + MONTH(Table1[[#This Row],[OrderDate]])</f>
        <v>202310</v>
      </c>
      <c r="E487" s="3">
        <f>_xlfn.MINIFS(Table1[OrderMonthKey],Table1[Country],Table1[[#This Row],[Country]])</f>
        <v>202301</v>
      </c>
      <c r="F487" s="3">
        <f>Table1[[#This Row],[CountryFirstMonthKey]]</f>
        <v>202301</v>
      </c>
      <c r="G487" s="3">
        <f>12*(INT(Table1[[#This Row],[OrderMonthKey]]/100)-INT(Table1[[#This Row],[CohortMonthKey]]/100)) + (MOD(Table1[[#This Row],[OrderMonthKey]],100)-MOD(Table1[[#This Row],[CohortMonthKey]],100))</f>
        <v>9</v>
      </c>
      <c r="H487" s="3" t="str">
        <f>TEXT(Table1[[#This Row],[OrderDate]],"MMM-YYYY")</f>
        <v>Oct-2023</v>
      </c>
      <c r="I487" s="3" t="str">
        <f t="shared" si="24"/>
        <v>Q4-2024</v>
      </c>
      <c r="J487" s="3" t="str">
        <f>IF(Table1[[#This Row],[LeadTimeDays]]&lt;=7,"Yes","No")</f>
        <v>No</v>
      </c>
      <c r="K487" s="3">
        <f>_xlfn.DAYS(Table1[[#This Row],[CorrectedRequiredDate]],Table1[[#This Row],[OrderDate]])</f>
        <v>30</v>
      </c>
      <c r="L487" s="3">
        <f>IF(Table1[[#This Row],[RequiredDate]]&lt;Table1[[#This Row],[OrderDate]],Table1[[#This Row],[OrderDate]],Table1[[#This Row],[RequiredDate]])</f>
        <v>45254</v>
      </c>
      <c r="M487" s="3">
        <v>45254</v>
      </c>
      <c r="N487" t="s">
        <v>649</v>
      </c>
      <c r="O487" t="s">
        <v>657</v>
      </c>
      <c r="P487" t="s">
        <v>690</v>
      </c>
      <c r="Q487" t="s">
        <v>706</v>
      </c>
      <c r="R487" t="s">
        <v>710</v>
      </c>
      <c r="S487" t="s">
        <v>712</v>
      </c>
      <c r="T487" t="s">
        <v>730</v>
      </c>
      <c r="U487" t="s">
        <v>1218</v>
      </c>
      <c r="V487" s="8">
        <v>287.85000000000002</v>
      </c>
      <c r="W487" s="8">
        <v>602.91999999999996</v>
      </c>
      <c r="X487" s="8">
        <f t="shared" si="25"/>
        <v>815.10700000000008</v>
      </c>
      <c r="Y487" s="8">
        <f t="shared" si="26"/>
        <v>1620.05</v>
      </c>
      <c r="AA487">
        <v>0.222</v>
      </c>
      <c r="AB487">
        <f>IF(Table1[[#This Row],[DiscountPct]]&gt;0.2,1,0)</f>
        <v>1</v>
      </c>
      <c r="AC487" s="6">
        <v>11</v>
      </c>
      <c r="AD487" s="8">
        <f>Table1[[#This Row],[UnitPrice]]*Table1[[#This Row],[Quantity]]</f>
        <v>6632.12</v>
      </c>
      <c r="AE487" s="8">
        <f>Table1[[#This Row],[UnitCost]]*Table1[[#This Row],[Quantity]]</f>
        <v>3166.3500000000004</v>
      </c>
      <c r="AF487" s="8">
        <f>Table1[[#This Row],[GrossRevenue]]-Table1[[#This Row],[CostOfGoods]]</f>
        <v>3465.7699999999995</v>
      </c>
      <c r="AG487" s="8">
        <f>IF(Table1[[#This Row],[GrossRevenue]]=0,0,Table1[[#This Row],[GrossProfit]]/Table1[[#This Row],[GrossRevenue]])</f>
        <v>0.52257347575134339</v>
      </c>
    </row>
    <row r="488" spans="1:33" x14ac:dyDescent="0.45">
      <c r="A488" t="s">
        <v>501</v>
      </c>
      <c r="B488">
        <v>1</v>
      </c>
      <c r="C488" s="3">
        <v>45613</v>
      </c>
      <c r="D488" s="6">
        <f>YEAR(Table1[[#This Row],[OrderDate]]) * 100 + MONTH(Table1[[#This Row],[OrderDate]])</f>
        <v>202411</v>
      </c>
      <c r="E488" s="6">
        <f>_xlfn.MINIFS(Table1[OrderMonthKey],Table1[Country],Table1[[#This Row],[Country]])</f>
        <v>202301</v>
      </c>
      <c r="F488" s="6">
        <f>Table1[[#This Row],[CountryFirstMonthKey]]</f>
        <v>202301</v>
      </c>
      <c r="G488" s="6">
        <f>12*(INT(Table1[[#This Row],[OrderMonthKey]]/100)-INT(Table1[[#This Row],[CohortMonthKey]]/100)) + (MOD(Table1[[#This Row],[OrderMonthKey]],100)-MOD(Table1[[#This Row],[CohortMonthKey]],100))</f>
        <v>22</v>
      </c>
      <c r="H488" s="3" t="str">
        <f>TEXT(Table1[[#This Row],[OrderDate]],"MMM-YYYY")</f>
        <v>Nov-2024</v>
      </c>
      <c r="I488" s="3" t="str">
        <f t="shared" si="24"/>
        <v>Q4-2023</v>
      </c>
      <c r="J488" s="26" t="str">
        <f>IF(Table1[[#This Row],[LeadTimeDays]]&lt;=7,"Yes","No")</f>
        <v>No</v>
      </c>
      <c r="K488" s="6">
        <f>_xlfn.DAYS(Table1[[#This Row],[CorrectedRequiredDate]],Table1[[#This Row],[OrderDate]])</f>
        <v>11</v>
      </c>
      <c r="L488" s="3">
        <f>IF(Table1[[#This Row],[RequiredDate]]&lt;Table1[[#This Row],[OrderDate]],Table1[[#This Row],[OrderDate]],Table1[[#This Row],[RequiredDate]])</f>
        <v>45624</v>
      </c>
      <c r="M488" s="3">
        <v>45624</v>
      </c>
      <c r="N488" t="s">
        <v>648</v>
      </c>
      <c r="O488" t="s">
        <v>653</v>
      </c>
      <c r="P488" t="s">
        <v>1421</v>
      </c>
      <c r="Q488" t="s">
        <v>704</v>
      </c>
      <c r="R488" t="s">
        <v>710</v>
      </c>
      <c r="S488" t="s">
        <v>720</v>
      </c>
      <c r="T488" t="s">
        <v>728</v>
      </c>
      <c r="U488" t="s">
        <v>1219</v>
      </c>
      <c r="V488" s="8">
        <v>1008.16</v>
      </c>
      <c r="W488" s="8">
        <v>2077.5</v>
      </c>
      <c r="X488" s="8">
        <f t="shared" si="25"/>
        <v>815.10700000000008</v>
      </c>
      <c r="Y488" s="8">
        <f t="shared" si="26"/>
        <v>1620.05</v>
      </c>
      <c r="Z488" s="8" t="str">
        <f>IF(W487 &lt;= X486, "Low",IF(W487 &lt;= Y487, "Medium", "High"))</f>
        <v>Low</v>
      </c>
      <c r="AA488">
        <v>7.3999999999999996E-2</v>
      </c>
      <c r="AB488">
        <f>IF(Table1[[#This Row],[DiscountPct]]&gt;0.2,1,0)</f>
        <v>0</v>
      </c>
      <c r="AC488" s="6">
        <v>15</v>
      </c>
      <c r="AD488" s="8">
        <f>Table1[[#This Row],[UnitPrice]]*Table1[[#This Row],[Quantity]]</f>
        <v>31162.5</v>
      </c>
      <c r="AE488" s="8">
        <f>Table1[[#This Row],[UnitCost]]*Table1[[#This Row],[Quantity]]</f>
        <v>15122.4</v>
      </c>
      <c r="AF488" s="8">
        <f>Table1[[#This Row],[GrossRevenue]]-Table1[[#This Row],[CostOfGoods]]</f>
        <v>16040.1</v>
      </c>
      <c r="AG488" s="9">
        <f>IF(Table1[[#This Row],[GrossRevenue]]=0,0,Table1[[#This Row],[GrossProfit]]/Table1[[#This Row],[GrossRevenue]])</f>
        <v>0.51472442839951871</v>
      </c>
    </row>
    <row r="489" spans="1:33" x14ac:dyDescent="0.45">
      <c r="A489" t="s">
        <v>502</v>
      </c>
      <c r="B489">
        <v>1</v>
      </c>
      <c r="C489" s="3">
        <v>45424</v>
      </c>
      <c r="D489" s="6">
        <f>YEAR(Table1[[#This Row],[OrderDate]]) * 100 + MONTH(Table1[[#This Row],[OrderDate]])</f>
        <v>202405</v>
      </c>
      <c r="E489" s="6">
        <f>_xlfn.MINIFS(Table1[OrderMonthKey],Table1[Country],Table1[[#This Row],[Country]])</f>
        <v>202301</v>
      </c>
      <c r="F489" s="6">
        <f>Table1[[#This Row],[CountryFirstMonthKey]]</f>
        <v>202301</v>
      </c>
      <c r="G489" s="6">
        <f>12*(INT(Table1[[#This Row],[OrderMonthKey]]/100)-INT(Table1[[#This Row],[CohortMonthKey]]/100)) + (MOD(Table1[[#This Row],[OrderMonthKey]],100)-MOD(Table1[[#This Row],[CohortMonthKey]],100))</f>
        <v>16</v>
      </c>
      <c r="H489" s="3" t="str">
        <f>TEXT(Table1[[#This Row],[OrderDate]],"MMM-YYYY")</f>
        <v>May-2024</v>
      </c>
      <c r="I489" s="3" t="str">
        <f t="shared" si="24"/>
        <v>Q4-2024</v>
      </c>
      <c r="J489" s="26" t="str">
        <f>IF(Table1[[#This Row],[LeadTimeDays]]&lt;=7,"Yes","No")</f>
        <v>No</v>
      </c>
      <c r="K489" s="6">
        <f>_xlfn.DAYS(Table1[[#This Row],[CorrectedRequiredDate]],Table1[[#This Row],[OrderDate]])</f>
        <v>12</v>
      </c>
      <c r="L489" s="3">
        <f>IF(Table1[[#This Row],[RequiredDate]]&lt;Table1[[#This Row],[OrderDate]],Table1[[#This Row],[OrderDate]],Table1[[#This Row],[RequiredDate]])</f>
        <v>45436</v>
      </c>
      <c r="M489" s="3">
        <v>45436</v>
      </c>
      <c r="N489" t="s">
        <v>649</v>
      </c>
      <c r="O489" t="s">
        <v>658</v>
      </c>
      <c r="P489" t="s">
        <v>693</v>
      </c>
      <c r="Q489" t="s">
        <v>702</v>
      </c>
      <c r="R489" t="s">
        <v>709</v>
      </c>
      <c r="S489" t="s">
        <v>723</v>
      </c>
      <c r="T489" t="s">
        <v>728</v>
      </c>
      <c r="U489" t="s">
        <v>1220</v>
      </c>
      <c r="V489" s="8">
        <v>111.02</v>
      </c>
      <c r="W489" s="8">
        <v>172.88</v>
      </c>
      <c r="X489" s="8">
        <f t="shared" si="25"/>
        <v>815.10700000000008</v>
      </c>
      <c r="Y489" s="8">
        <f t="shared" si="26"/>
        <v>1620.05</v>
      </c>
      <c r="Z489" s="8" t="str">
        <f>IF(W488 &lt;= X487, "Low",IF(W488 &lt;= Y488, "Medium", "High"))</f>
        <v>High</v>
      </c>
      <c r="AA489">
        <v>0.19700000000000001</v>
      </c>
      <c r="AB489">
        <f>IF(Table1[[#This Row],[DiscountPct]]&gt;0.2,1,0)</f>
        <v>0</v>
      </c>
      <c r="AC489" s="6">
        <v>29</v>
      </c>
      <c r="AD489" s="8">
        <f>Table1[[#This Row],[UnitPrice]]*Table1[[#This Row],[Quantity]]</f>
        <v>5013.5199999999995</v>
      </c>
      <c r="AE489" s="8">
        <f>Table1[[#This Row],[UnitCost]]*Table1[[#This Row],[Quantity]]</f>
        <v>3219.58</v>
      </c>
      <c r="AF489" s="8">
        <f>Table1[[#This Row],[GrossRevenue]]-Table1[[#This Row],[CostOfGoods]]</f>
        <v>1793.9399999999996</v>
      </c>
      <c r="AG489" s="9">
        <f>IF(Table1[[#This Row],[GrossRevenue]]=0,0,Table1[[#This Row],[GrossProfit]]/Table1[[#This Row],[GrossRevenue]])</f>
        <v>0.35782045349375285</v>
      </c>
    </row>
    <row r="490" spans="1:33" hidden="1" x14ac:dyDescent="0.45">
      <c r="A490" t="s">
        <v>503</v>
      </c>
      <c r="C490" s="3">
        <v>45792</v>
      </c>
      <c r="D490" s="3">
        <f>YEAR(Table1[[#This Row],[OrderDate]]) * 100 + MONTH(Table1[[#This Row],[OrderDate]])</f>
        <v>202505</v>
      </c>
      <c r="E490" s="3">
        <f>_xlfn.MINIFS(Table1[OrderMonthKey],Table1[Country],Table1[[#This Row],[Country]])</f>
        <v>202303</v>
      </c>
      <c r="F490" s="3">
        <f>Table1[[#This Row],[CountryFirstMonthKey]]</f>
        <v>202303</v>
      </c>
      <c r="G490" s="3">
        <f>12*(INT(Table1[[#This Row],[OrderMonthKey]]/100)-INT(Table1[[#This Row],[CohortMonthKey]]/100)) + (MOD(Table1[[#This Row],[OrderMonthKey]],100)-MOD(Table1[[#This Row],[CohortMonthKey]],100))</f>
        <v>26</v>
      </c>
      <c r="H490" s="3" t="str">
        <f>TEXT(Table1[[#This Row],[OrderDate]],"MMM-YYYY")</f>
        <v>May-2025</v>
      </c>
      <c r="I490" s="3" t="str">
        <f t="shared" si="24"/>
        <v>Q2-2024</v>
      </c>
      <c r="J490" s="3" t="str">
        <f>IF(Table1[[#This Row],[LeadTimeDays]]&lt;=7,"Yes","No")</f>
        <v>No</v>
      </c>
      <c r="K490" s="3">
        <f>_xlfn.DAYS(Table1[[#This Row],[CorrectedRequiredDate]],Table1[[#This Row],[OrderDate]])</f>
        <v>21</v>
      </c>
      <c r="L490" s="3">
        <f>IF(Table1[[#This Row],[RequiredDate]]&lt;Table1[[#This Row],[OrderDate]],Table1[[#This Row],[OrderDate]],Table1[[#This Row],[RequiredDate]])</f>
        <v>45813</v>
      </c>
      <c r="M490" s="3">
        <v>45813</v>
      </c>
      <c r="N490" t="s">
        <v>647</v>
      </c>
      <c r="O490" t="s">
        <v>652</v>
      </c>
      <c r="P490" t="s">
        <v>666</v>
      </c>
      <c r="Q490" t="s">
        <v>706</v>
      </c>
      <c r="R490" t="s">
        <v>711</v>
      </c>
      <c r="S490" t="s">
        <v>722</v>
      </c>
      <c r="T490" t="s">
        <v>730</v>
      </c>
      <c r="U490" t="s">
        <v>1221</v>
      </c>
      <c r="V490" s="8">
        <v>1466.5</v>
      </c>
      <c r="W490" s="8">
        <v>2778.74</v>
      </c>
      <c r="X490" s="8">
        <f t="shared" si="25"/>
        <v>815.10700000000008</v>
      </c>
      <c r="Y490" s="8">
        <f t="shared" si="26"/>
        <v>1620.05</v>
      </c>
      <c r="AA490">
        <v>0.13500000000000001</v>
      </c>
      <c r="AB490">
        <f>IF(Table1[[#This Row],[DiscountPct]]&gt;0.2,1,0)</f>
        <v>0</v>
      </c>
      <c r="AC490" s="6">
        <v>4</v>
      </c>
      <c r="AD490" s="8">
        <f>Table1[[#This Row],[UnitPrice]]*Table1[[#This Row],[Quantity]]</f>
        <v>11114.96</v>
      </c>
      <c r="AE490" s="8">
        <f>Table1[[#This Row],[UnitCost]]*Table1[[#This Row],[Quantity]]</f>
        <v>5866</v>
      </c>
      <c r="AF490" s="8">
        <f>Table1[[#This Row],[GrossRevenue]]-Table1[[#This Row],[CostOfGoods]]</f>
        <v>5248.9599999999991</v>
      </c>
      <c r="AG490" s="8">
        <f>IF(Table1[[#This Row],[GrossRevenue]]=0,0,Table1[[#This Row],[GrossProfit]]/Table1[[#This Row],[GrossRevenue]])</f>
        <v>0.47224281508885319</v>
      </c>
    </row>
    <row r="491" spans="1:33" x14ac:dyDescent="0.45">
      <c r="A491" t="s">
        <v>504</v>
      </c>
      <c r="B491">
        <v>1</v>
      </c>
      <c r="C491" s="3">
        <v>45403</v>
      </c>
      <c r="D491" s="6">
        <f>YEAR(Table1[[#This Row],[OrderDate]]) * 100 + MONTH(Table1[[#This Row],[OrderDate]])</f>
        <v>202404</v>
      </c>
      <c r="E491" s="6">
        <f>_xlfn.MINIFS(Table1[OrderMonthKey],Table1[Country],Table1[[#This Row],[Country]])</f>
        <v>202301</v>
      </c>
      <c r="F491" s="6">
        <f>Table1[[#This Row],[CountryFirstMonthKey]]</f>
        <v>202301</v>
      </c>
      <c r="G491" s="6">
        <f>12*(INT(Table1[[#This Row],[OrderMonthKey]]/100)-INT(Table1[[#This Row],[CohortMonthKey]]/100)) + (MOD(Table1[[#This Row],[OrderMonthKey]],100)-MOD(Table1[[#This Row],[CohortMonthKey]],100))</f>
        <v>15</v>
      </c>
      <c r="H491" s="3" t="str">
        <f>TEXT(Table1[[#This Row],[OrderDate]],"MMM-YYYY")</f>
        <v>Apr-2024</v>
      </c>
      <c r="I491" s="3" t="str">
        <f t="shared" si="24"/>
        <v>Q2-2025</v>
      </c>
      <c r="J491" s="26" t="str">
        <f>IF(Table1[[#This Row],[LeadTimeDays]]&lt;=7,"Yes","No")</f>
        <v>No</v>
      </c>
      <c r="K491" s="6">
        <f>_xlfn.DAYS(Table1[[#This Row],[CorrectedRequiredDate]],Table1[[#This Row],[OrderDate]])</f>
        <v>28</v>
      </c>
      <c r="L491" s="3">
        <f>IF(Table1[[#This Row],[RequiredDate]]&lt;Table1[[#This Row],[OrderDate]],Table1[[#This Row],[OrderDate]],Table1[[#This Row],[RequiredDate]])</f>
        <v>45431</v>
      </c>
      <c r="M491" s="3">
        <v>45431</v>
      </c>
      <c r="N491" t="s">
        <v>646</v>
      </c>
      <c r="O491" t="s">
        <v>651</v>
      </c>
      <c r="P491" t="s">
        <v>665</v>
      </c>
      <c r="Q491" t="s">
        <v>701</v>
      </c>
      <c r="R491" t="s">
        <v>710</v>
      </c>
      <c r="S491" t="s">
        <v>720</v>
      </c>
      <c r="T491" t="s">
        <v>733</v>
      </c>
      <c r="U491" t="s">
        <v>1222</v>
      </c>
      <c r="V491" s="8">
        <v>187.22</v>
      </c>
      <c r="W491" s="8">
        <v>309.47000000000003</v>
      </c>
      <c r="X491" s="8">
        <f t="shared" si="25"/>
        <v>815.10700000000008</v>
      </c>
      <c r="Y491" s="8">
        <f t="shared" si="26"/>
        <v>1620.05</v>
      </c>
      <c r="Z491" s="8" t="str">
        <f>IF(W490 &lt;= X489, "Low",IF(W490 &lt;= Y490, "Medium", "High"))</f>
        <v>High</v>
      </c>
      <c r="AA491">
        <v>0</v>
      </c>
      <c r="AB491">
        <f>IF(Table1[[#This Row],[DiscountPct]]&gt;0.2,1,0)</f>
        <v>0</v>
      </c>
      <c r="AC491" s="6">
        <v>5</v>
      </c>
      <c r="AD491" s="8">
        <f>Table1[[#This Row],[UnitPrice]]*Table1[[#This Row],[Quantity]]</f>
        <v>1547.3500000000001</v>
      </c>
      <c r="AE491" s="8">
        <f>Table1[[#This Row],[UnitCost]]*Table1[[#This Row],[Quantity]]</f>
        <v>936.1</v>
      </c>
      <c r="AF491" s="8">
        <f>Table1[[#This Row],[GrossRevenue]]-Table1[[#This Row],[CostOfGoods]]</f>
        <v>611.25000000000011</v>
      </c>
      <c r="AG491" s="9">
        <f>IF(Table1[[#This Row],[GrossRevenue]]=0,0,Table1[[#This Row],[GrossProfit]]/Table1[[#This Row],[GrossRevenue]])</f>
        <v>0.39503021294471197</v>
      </c>
    </row>
    <row r="492" spans="1:33" hidden="1" x14ac:dyDescent="0.45">
      <c r="A492" t="s">
        <v>505</v>
      </c>
      <c r="C492" s="3">
        <v>45523</v>
      </c>
      <c r="D492" s="3">
        <f>YEAR(Table1[[#This Row],[OrderDate]]) * 100 + MONTH(Table1[[#This Row],[OrderDate]])</f>
        <v>202408</v>
      </c>
      <c r="E492" s="3">
        <f>_xlfn.MINIFS(Table1[OrderMonthKey],Table1[Country],Table1[[#This Row],[Country]])</f>
        <v>202301</v>
      </c>
      <c r="F492" s="3">
        <f>Table1[[#This Row],[CountryFirstMonthKey]]</f>
        <v>202301</v>
      </c>
      <c r="G492" s="3">
        <f>12*(INT(Table1[[#This Row],[OrderMonthKey]]/100)-INT(Table1[[#This Row],[CohortMonthKey]]/100)) + (MOD(Table1[[#This Row],[OrderMonthKey]],100)-MOD(Table1[[#This Row],[CohortMonthKey]],100))</f>
        <v>19</v>
      </c>
      <c r="H492" s="3" t="str">
        <f>TEXT(Table1[[#This Row],[OrderDate]],"MMM-YYYY")</f>
        <v>Aug-2024</v>
      </c>
      <c r="I492" s="3" t="str">
        <f t="shared" si="24"/>
        <v>Q2-2024</v>
      </c>
      <c r="J492" s="3" t="str">
        <f>IF(Table1[[#This Row],[LeadTimeDays]]&lt;=7,"Yes","No")</f>
        <v>No</v>
      </c>
      <c r="K492" s="3">
        <f>_xlfn.DAYS(Table1[[#This Row],[CorrectedRequiredDate]],Table1[[#This Row],[OrderDate]])</f>
        <v>19</v>
      </c>
      <c r="L492" s="3">
        <f>IF(Table1[[#This Row],[RequiredDate]]&lt;Table1[[#This Row],[OrderDate]],Table1[[#This Row],[OrderDate]],Table1[[#This Row],[RequiredDate]])</f>
        <v>45542</v>
      </c>
      <c r="M492" s="3">
        <v>45542</v>
      </c>
      <c r="N492" t="s">
        <v>649</v>
      </c>
      <c r="O492" t="s">
        <v>657</v>
      </c>
      <c r="P492" t="s">
        <v>679</v>
      </c>
      <c r="Q492" t="s">
        <v>701</v>
      </c>
      <c r="R492" t="s">
        <v>711</v>
      </c>
      <c r="S492" t="s">
        <v>713</v>
      </c>
      <c r="T492" t="s">
        <v>727</v>
      </c>
      <c r="U492" t="s">
        <v>1223</v>
      </c>
      <c r="V492" s="8">
        <v>297.58999999999997</v>
      </c>
      <c r="W492" s="8">
        <v>666.41</v>
      </c>
      <c r="X492" s="8">
        <f t="shared" si="25"/>
        <v>815.10700000000008</v>
      </c>
      <c r="Y492" s="8">
        <f t="shared" si="26"/>
        <v>1620.05</v>
      </c>
      <c r="AA492">
        <v>0</v>
      </c>
      <c r="AB492">
        <f>IF(Table1[[#This Row],[DiscountPct]]&gt;0.2,1,0)</f>
        <v>0</v>
      </c>
      <c r="AC492" s="6">
        <v>10</v>
      </c>
      <c r="AD492" s="8">
        <f>Table1[[#This Row],[UnitPrice]]*Table1[[#This Row],[Quantity]]</f>
        <v>6664.0999999999995</v>
      </c>
      <c r="AE492" s="8">
        <f>Table1[[#This Row],[UnitCost]]*Table1[[#This Row],[Quantity]]</f>
        <v>2975.8999999999996</v>
      </c>
      <c r="AF492" s="8">
        <f>Table1[[#This Row],[GrossRevenue]]-Table1[[#This Row],[CostOfGoods]]</f>
        <v>3688.2</v>
      </c>
      <c r="AG492" s="8">
        <f>IF(Table1[[#This Row],[GrossRevenue]]=0,0,Table1[[#This Row],[GrossProfit]]/Table1[[#This Row],[GrossRevenue]])</f>
        <v>0.55344307558409989</v>
      </c>
    </row>
    <row r="493" spans="1:33" hidden="1" x14ac:dyDescent="0.45">
      <c r="A493" t="s">
        <v>506</v>
      </c>
      <c r="C493" s="3">
        <v>45861</v>
      </c>
      <c r="D493" s="3">
        <f>YEAR(Table1[[#This Row],[OrderDate]]) * 100 + MONTH(Table1[[#This Row],[OrderDate]])</f>
        <v>202507</v>
      </c>
      <c r="E493" s="3">
        <f>_xlfn.MINIFS(Table1[OrderMonthKey],Table1[Country],Table1[[#This Row],[Country]])</f>
        <v>202303</v>
      </c>
      <c r="F493" s="3">
        <f>Table1[[#This Row],[CountryFirstMonthKey]]</f>
        <v>202303</v>
      </c>
      <c r="G493" s="3">
        <f>12*(INT(Table1[[#This Row],[OrderMonthKey]]/100)-INT(Table1[[#This Row],[CohortMonthKey]]/100)) + (MOD(Table1[[#This Row],[OrderMonthKey]],100)-MOD(Table1[[#This Row],[CohortMonthKey]],100))</f>
        <v>28</v>
      </c>
      <c r="H493" s="3" t="str">
        <f>TEXT(Table1[[#This Row],[OrderDate]],"MMM-YYYY")</f>
        <v>Jul-2025</v>
      </c>
      <c r="I493" s="3" t="str">
        <f t="shared" si="24"/>
        <v>Q3-2024</v>
      </c>
      <c r="J493" s="3" t="str">
        <f>IF(Table1[[#This Row],[LeadTimeDays]]&lt;=7,"Yes","No")</f>
        <v>No</v>
      </c>
      <c r="K493" s="3">
        <f>_xlfn.DAYS(Table1[[#This Row],[CorrectedRequiredDate]],Table1[[#This Row],[OrderDate]])</f>
        <v>27</v>
      </c>
      <c r="L493" s="3">
        <f>IF(Table1[[#This Row],[RequiredDate]]&lt;Table1[[#This Row],[OrderDate]],Table1[[#This Row],[OrderDate]],Table1[[#This Row],[RequiredDate]])</f>
        <v>45888</v>
      </c>
      <c r="M493" s="3">
        <v>45888</v>
      </c>
      <c r="N493" t="s">
        <v>647</v>
      </c>
      <c r="O493" t="s">
        <v>652</v>
      </c>
      <c r="P493" t="s">
        <v>694</v>
      </c>
      <c r="Q493" t="s">
        <v>704</v>
      </c>
      <c r="R493" t="s">
        <v>709</v>
      </c>
      <c r="S493" t="s">
        <v>717</v>
      </c>
      <c r="T493" t="s">
        <v>733</v>
      </c>
      <c r="U493" t="s">
        <v>1224</v>
      </c>
      <c r="V493" s="8">
        <v>896.09</v>
      </c>
      <c r="W493" s="8">
        <v>744.27</v>
      </c>
      <c r="X493" s="8">
        <f t="shared" si="25"/>
        <v>815.10700000000008</v>
      </c>
      <c r="Y493" s="8">
        <f t="shared" si="26"/>
        <v>1620.05</v>
      </c>
      <c r="AA493">
        <v>8.3000000000000004E-2</v>
      </c>
      <c r="AB493">
        <f>IF(Table1[[#This Row],[DiscountPct]]&gt;0.2,1,0)</f>
        <v>0</v>
      </c>
      <c r="AC493" s="6">
        <v>11</v>
      </c>
      <c r="AD493" s="8">
        <f>Table1[[#This Row],[UnitPrice]]*Table1[[#This Row],[Quantity]]</f>
        <v>8186.9699999999993</v>
      </c>
      <c r="AE493" s="8">
        <f>Table1[[#This Row],[UnitCost]]*Table1[[#This Row],[Quantity]]</f>
        <v>9856.99</v>
      </c>
      <c r="AF493" s="8">
        <f>Table1[[#This Row],[GrossRevenue]]-Table1[[#This Row],[CostOfGoods]]</f>
        <v>-1670.0200000000004</v>
      </c>
      <c r="AG493" s="8">
        <f>IF(Table1[[#This Row],[GrossRevenue]]=0,0,Table1[[#This Row],[GrossProfit]]/Table1[[#This Row],[GrossRevenue]])</f>
        <v>-0.20398511292944771</v>
      </c>
    </row>
    <row r="494" spans="1:33" x14ac:dyDescent="0.45">
      <c r="A494" t="s">
        <v>507</v>
      </c>
      <c r="B494">
        <v>1</v>
      </c>
      <c r="C494" s="3">
        <v>45352</v>
      </c>
      <c r="D494" s="6">
        <f>YEAR(Table1[[#This Row],[OrderDate]]) * 100 + MONTH(Table1[[#This Row],[OrderDate]])</f>
        <v>202403</v>
      </c>
      <c r="E494" s="6">
        <f>_xlfn.MINIFS(Table1[OrderMonthKey],Table1[Country],Table1[[#This Row],[Country]])</f>
        <v>202301</v>
      </c>
      <c r="F494" s="6">
        <f>Table1[[#This Row],[CountryFirstMonthKey]]</f>
        <v>202301</v>
      </c>
      <c r="G494" s="6">
        <f>12*(INT(Table1[[#This Row],[OrderMonthKey]]/100)-INT(Table1[[#This Row],[CohortMonthKey]]/100)) + (MOD(Table1[[#This Row],[OrderMonthKey]],100)-MOD(Table1[[#This Row],[CohortMonthKey]],100))</f>
        <v>14</v>
      </c>
      <c r="H494" s="3" t="str">
        <f>TEXT(Table1[[#This Row],[OrderDate]],"MMM-YYYY")</f>
        <v>Mar-2024</v>
      </c>
      <c r="I494" s="3" t="str">
        <f t="shared" si="24"/>
        <v>Q3-2025</v>
      </c>
      <c r="J494" s="26" t="str">
        <f>IF(Table1[[#This Row],[LeadTimeDays]]&lt;=7,"Yes","No")</f>
        <v>Yes</v>
      </c>
      <c r="K494" s="6">
        <f>_xlfn.DAYS(Table1[[#This Row],[CorrectedRequiredDate]],Table1[[#This Row],[OrderDate]])</f>
        <v>0</v>
      </c>
      <c r="L494" s="3">
        <f>IF(Table1[[#This Row],[RequiredDate]]&lt;Table1[[#This Row],[OrderDate]],Table1[[#This Row],[OrderDate]],Table1[[#This Row],[RequiredDate]])</f>
        <v>45352</v>
      </c>
      <c r="M494" s="3">
        <v>45351</v>
      </c>
      <c r="N494" t="s">
        <v>648</v>
      </c>
      <c r="O494" t="s">
        <v>655</v>
      </c>
      <c r="P494" t="s">
        <v>670</v>
      </c>
      <c r="Q494" t="s">
        <v>703</v>
      </c>
      <c r="R494" t="s">
        <v>711</v>
      </c>
      <c r="S494" t="s">
        <v>714</v>
      </c>
      <c r="T494" t="s">
        <v>730</v>
      </c>
      <c r="U494" t="s">
        <v>1225</v>
      </c>
      <c r="V494" s="8">
        <v>5.34</v>
      </c>
      <c r="W494" s="8">
        <v>12.69</v>
      </c>
      <c r="X494" s="8">
        <f t="shared" si="25"/>
        <v>815.10700000000008</v>
      </c>
      <c r="Y494" s="8">
        <f t="shared" si="26"/>
        <v>1620.05</v>
      </c>
      <c r="Z494" s="8" t="str">
        <f>IF(W493 &lt;= X492, "Low",IF(W493 &lt;= Y493, "Medium", "High"))</f>
        <v>Low</v>
      </c>
      <c r="AA494">
        <v>0.13200000000000001</v>
      </c>
      <c r="AB494">
        <f>IF(Table1[[#This Row],[DiscountPct]]&gt;0.2,1,0)</f>
        <v>0</v>
      </c>
      <c r="AC494" s="6">
        <v>10</v>
      </c>
      <c r="AD494" s="8">
        <f>Table1[[#This Row],[UnitPrice]]*Table1[[#This Row],[Quantity]]</f>
        <v>126.89999999999999</v>
      </c>
      <c r="AE494" s="8">
        <f>Table1[[#This Row],[UnitCost]]*Table1[[#This Row],[Quantity]]</f>
        <v>53.4</v>
      </c>
      <c r="AF494" s="8">
        <f>Table1[[#This Row],[GrossRevenue]]-Table1[[#This Row],[CostOfGoods]]</f>
        <v>73.5</v>
      </c>
      <c r="AG494" s="9">
        <f>IF(Table1[[#This Row],[GrossRevenue]]=0,0,Table1[[#This Row],[GrossProfit]]/Table1[[#This Row],[GrossRevenue]])</f>
        <v>0.57919621749408989</v>
      </c>
    </row>
    <row r="495" spans="1:33" x14ac:dyDescent="0.45">
      <c r="A495" t="s">
        <v>508</v>
      </c>
      <c r="B495">
        <v>1</v>
      </c>
      <c r="C495" s="3">
        <v>45439</v>
      </c>
      <c r="D495" s="6">
        <f>YEAR(Table1[[#This Row],[OrderDate]]) * 100 + MONTH(Table1[[#This Row],[OrderDate]])</f>
        <v>202405</v>
      </c>
      <c r="E495" s="6">
        <f>_xlfn.MINIFS(Table1[OrderMonthKey],Table1[Country],Table1[[#This Row],[Country]])</f>
        <v>202302</v>
      </c>
      <c r="F495" s="6">
        <f>Table1[[#This Row],[CountryFirstMonthKey]]</f>
        <v>202302</v>
      </c>
      <c r="G495" s="6">
        <f>12*(INT(Table1[[#This Row],[OrderMonthKey]]/100)-INT(Table1[[#This Row],[CohortMonthKey]]/100)) + (MOD(Table1[[#This Row],[OrderMonthKey]],100)-MOD(Table1[[#This Row],[CohortMonthKey]],100))</f>
        <v>15</v>
      </c>
      <c r="H495" s="3" t="str">
        <f>TEXT(Table1[[#This Row],[OrderDate]],"MMM-YYYY")</f>
        <v>May-2024</v>
      </c>
      <c r="I495" s="3" t="str">
        <f t="shared" si="24"/>
        <v>Q1-2024</v>
      </c>
      <c r="J495" s="26" t="str">
        <f>IF(Table1[[#This Row],[LeadTimeDays]]&lt;=7,"Yes","No")</f>
        <v>No</v>
      </c>
      <c r="K495" s="6">
        <f>_xlfn.DAYS(Table1[[#This Row],[CorrectedRequiredDate]],Table1[[#This Row],[OrderDate]])</f>
        <v>21</v>
      </c>
      <c r="L495" s="3">
        <f>IF(Table1[[#This Row],[RequiredDate]]&lt;Table1[[#This Row],[OrderDate]],Table1[[#This Row],[OrderDate]],Table1[[#This Row],[RequiredDate]])</f>
        <v>45460</v>
      </c>
      <c r="M495" s="3">
        <v>45460</v>
      </c>
      <c r="N495" t="s">
        <v>647</v>
      </c>
      <c r="O495" t="s">
        <v>654</v>
      </c>
      <c r="P495" t="s">
        <v>680</v>
      </c>
      <c r="Q495" t="s">
        <v>705</v>
      </c>
      <c r="R495" t="s">
        <v>708</v>
      </c>
      <c r="S495" t="s">
        <v>722</v>
      </c>
      <c r="T495" t="s">
        <v>733</v>
      </c>
      <c r="U495" t="s">
        <v>1226</v>
      </c>
      <c r="V495" s="8">
        <v>465.02</v>
      </c>
      <c r="W495" s="8">
        <v>651.55999999999995</v>
      </c>
      <c r="X495" s="8">
        <f t="shared" si="25"/>
        <v>815.10700000000008</v>
      </c>
      <c r="Y495" s="8">
        <f t="shared" si="26"/>
        <v>1620.05</v>
      </c>
      <c r="Z495" s="8" t="str">
        <f>IF(W494 &lt;= X493, "Low",IF(W494 &lt;= Y494, "Medium", "High"))</f>
        <v>Low</v>
      </c>
      <c r="AA495">
        <v>4.2000000000000003E-2</v>
      </c>
      <c r="AB495">
        <f>IF(Table1[[#This Row],[DiscountPct]]&gt;0.2,1,0)</f>
        <v>0</v>
      </c>
      <c r="AC495" s="6">
        <v>19</v>
      </c>
      <c r="AD495" s="8">
        <f>Table1[[#This Row],[UnitPrice]]*Table1[[#This Row],[Quantity]]</f>
        <v>12379.64</v>
      </c>
      <c r="AE495" s="8">
        <f>Table1[[#This Row],[UnitCost]]*Table1[[#This Row],[Quantity]]</f>
        <v>8835.3799999999992</v>
      </c>
      <c r="AF495" s="8">
        <f>Table1[[#This Row],[GrossRevenue]]-Table1[[#This Row],[CostOfGoods]]</f>
        <v>3544.26</v>
      </c>
      <c r="AG495" s="9">
        <f>IF(Table1[[#This Row],[GrossRevenue]]=0,0,Table1[[#This Row],[GrossProfit]]/Table1[[#This Row],[GrossRevenue]])</f>
        <v>0.28629750138130028</v>
      </c>
    </row>
    <row r="496" spans="1:33" hidden="1" x14ac:dyDescent="0.45">
      <c r="A496" t="s">
        <v>509</v>
      </c>
      <c r="C496" s="3">
        <v>45508</v>
      </c>
      <c r="D496" s="3">
        <f>YEAR(Table1[[#This Row],[OrderDate]]) * 100 + MONTH(Table1[[#This Row],[OrderDate]])</f>
        <v>202408</v>
      </c>
      <c r="E496" s="3">
        <f>_xlfn.MINIFS(Table1[OrderMonthKey],Table1[Country],Table1[[#This Row],[Country]])</f>
        <v>202301</v>
      </c>
      <c r="F496" s="3">
        <f>Table1[[#This Row],[CountryFirstMonthKey]]</f>
        <v>202301</v>
      </c>
      <c r="G496" s="3">
        <f>12*(INT(Table1[[#This Row],[OrderMonthKey]]/100)-INT(Table1[[#This Row],[CohortMonthKey]]/100)) + (MOD(Table1[[#This Row],[OrderMonthKey]],100)-MOD(Table1[[#This Row],[CohortMonthKey]],100))</f>
        <v>19</v>
      </c>
      <c r="H496" s="3" t="str">
        <f>TEXT(Table1[[#This Row],[OrderDate]],"MMM-YYYY")</f>
        <v>Aug-2024</v>
      </c>
      <c r="I496" s="3" t="str">
        <f t="shared" si="24"/>
        <v>Q2-2024</v>
      </c>
      <c r="J496" s="3" t="str">
        <f>IF(Table1[[#This Row],[LeadTimeDays]]&lt;=7,"Yes","No")</f>
        <v>No</v>
      </c>
      <c r="K496" s="3">
        <f>_xlfn.DAYS(Table1[[#This Row],[CorrectedRequiredDate]],Table1[[#This Row],[OrderDate]])</f>
        <v>13</v>
      </c>
      <c r="L496" s="3">
        <f>IF(Table1[[#This Row],[RequiredDate]]&lt;Table1[[#This Row],[OrderDate]],Table1[[#This Row],[OrderDate]],Table1[[#This Row],[RequiredDate]])</f>
        <v>45521</v>
      </c>
      <c r="M496" s="3">
        <v>45521</v>
      </c>
      <c r="N496" t="s">
        <v>648</v>
      </c>
      <c r="O496" t="s">
        <v>660</v>
      </c>
      <c r="P496" t="s">
        <v>697</v>
      </c>
      <c r="Q496" t="s">
        <v>704</v>
      </c>
      <c r="R496" t="s">
        <v>707</v>
      </c>
      <c r="S496" t="s">
        <v>726</v>
      </c>
      <c r="T496" t="s">
        <v>732</v>
      </c>
      <c r="U496" t="s">
        <v>1227</v>
      </c>
      <c r="V496" s="8">
        <v>352.79</v>
      </c>
      <c r="W496" s="8">
        <v>754.22</v>
      </c>
      <c r="X496" s="8">
        <f t="shared" si="25"/>
        <v>815.10700000000008</v>
      </c>
      <c r="Y496" s="8">
        <f t="shared" si="26"/>
        <v>1620.05</v>
      </c>
      <c r="AA496">
        <v>0.113</v>
      </c>
      <c r="AB496">
        <f>IF(Table1[[#This Row],[DiscountPct]]&gt;0.2,1,0)</f>
        <v>0</v>
      </c>
      <c r="AC496" s="6">
        <v>7</v>
      </c>
      <c r="AD496" s="8">
        <f>Table1[[#This Row],[UnitPrice]]*Table1[[#This Row],[Quantity]]</f>
        <v>5279.54</v>
      </c>
      <c r="AE496" s="8">
        <f>Table1[[#This Row],[UnitCost]]*Table1[[#This Row],[Quantity]]</f>
        <v>2469.5300000000002</v>
      </c>
      <c r="AF496" s="8">
        <f>Table1[[#This Row],[GrossRevenue]]-Table1[[#This Row],[CostOfGoods]]</f>
        <v>2810.0099999999998</v>
      </c>
      <c r="AG496" s="8">
        <f>IF(Table1[[#This Row],[GrossRevenue]]=0,0,Table1[[#This Row],[GrossProfit]]/Table1[[#This Row],[GrossRevenue]])</f>
        <v>0.53224523348625064</v>
      </c>
    </row>
    <row r="497" spans="1:33" x14ac:dyDescent="0.45">
      <c r="A497" t="s">
        <v>510</v>
      </c>
      <c r="B497">
        <v>1</v>
      </c>
      <c r="C497" s="3">
        <v>45097</v>
      </c>
      <c r="D497" s="6">
        <f>YEAR(Table1[[#This Row],[OrderDate]]) * 100 + MONTH(Table1[[#This Row],[OrderDate]])</f>
        <v>202306</v>
      </c>
      <c r="E497" s="6">
        <f>_xlfn.MINIFS(Table1[OrderMonthKey],Table1[Country],Table1[[#This Row],[Country]])</f>
        <v>202301</v>
      </c>
      <c r="F497" s="6">
        <f>Table1[[#This Row],[CountryFirstMonthKey]]</f>
        <v>202301</v>
      </c>
      <c r="G497" s="6">
        <f>12*(INT(Table1[[#This Row],[OrderMonthKey]]/100)-INT(Table1[[#This Row],[CohortMonthKey]]/100)) + (MOD(Table1[[#This Row],[OrderMonthKey]],100)-MOD(Table1[[#This Row],[CohortMonthKey]],100))</f>
        <v>5</v>
      </c>
      <c r="H497" s="3" t="str">
        <f>TEXT(Table1[[#This Row],[OrderDate]],"MMM-YYYY")</f>
        <v>Jun-2023</v>
      </c>
      <c r="I497" s="3" t="str">
        <f t="shared" si="24"/>
        <v>Q3-2024</v>
      </c>
      <c r="J497" s="26" t="str">
        <f>IF(Table1[[#This Row],[LeadTimeDays]]&lt;=7,"Yes","No")</f>
        <v>No</v>
      </c>
      <c r="K497" s="6">
        <f>_xlfn.DAYS(Table1[[#This Row],[CorrectedRequiredDate]],Table1[[#This Row],[OrderDate]])</f>
        <v>14</v>
      </c>
      <c r="L497" s="3">
        <f>IF(Table1[[#This Row],[RequiredDate]]&lt;Table1[[#This Row],[OrderDate]],Table1[[#This Row],[OrderDate]],Table1[[#This Row],[RequiredDate]])</f>
        <v>45111</v>
      </c>
      <c r="M497" s="3">
        <v>45111</v>
      </c>
      <c r="N497" t="s">
        <v>648</v>
      </c>
      <c r="O497" t="s">
        <v>655</v>
      </c>
      <c r="P497" t="s">
        <v>672</v>
      </c>
      <c r="Q497" t="s">
        <v>703</v>
      </c>
      <c r="R497" t="s">
        <v>711</v>
      </c>
      <c r="S497" t="s">
        <v>712</v>
      </c>
      <c r="T497" t="s">
        <v>729</v>
      </c>
      <c r="U497" t="s">
        <v>1228</v>
      </c>
      <c r="V497" s="8">
        <v>1292.8599999999999</v>
      </c>
      <c r="W497" s="8">
        <v>2981.01</v>
      </c>
      <c r="X497" s="8">
        <f t="shared" si="25"/>
        <v>815.10700000000008</v>
      </c>
      <c r="Y497" s="8">
        <f t="shared" si="26"/>
        <v>1620.05</v>
      </c>
      <c r="Z497" s="8" t="str">
        <f t="shared" ref="Z497:Z506" si="27">IF(W496 &lt;= X495, "Low",IF(W496 &lt;= Y496, "Medium", "High"))</f>
        <v>Low</v>
      </c>
      <c r="AA497">
        <v>0.14199999999999999</v>
      </c>
      <c r="AB497">
        <f>IF(Table1[[#This Row],[DiscountPct]]&gt;0.2,1,0)</f>
        <v>0</v>
      </c>
      <c r="AC497" s="6">
        <v>12</v>
      </c>
      <c r="AD497" s="8">
        <f>Table1[[#This Row],[UnitPrice]]*Table1[[#This Row],[Quantity]]</f>
        <v>35772.120000000003</v>
      </c>
      <c r="AE497" s="8">
        <f>Table1[[#This Row],[UnitCost]]*Table1[[#This Row],[Quantity]]</f>
        <v>15514.32</v>
      </c>
      <c r="AF497" s="8">
        <f>Table1[[#This Row],[GrossRevenue]]-Table1[[#This Row],[CostOfGoods]]</f>
        <v>20257.800000000003</v>
      </c>
      <c r="AG497" s="9">
        <f>IF(Table1[[#This Row],[GrossRevenue]]=0,0,Table1[[#This Row],[GrossProfit]]/Table1[[#This Row],[GrossRevenue]])</f>
        <v>0.56630135423899952</v>
      </c>
    </row>
    <row r="498" spans="1:33" x14ac:dyDescent="0.45">
      <c r="A498" t="s">
        <v>511</v>
      </c>
      <c r="B498">
        <v>1</v>
      </c>
      <c r="C498" s="3">
        <v>45544</v>
      </c>
      <c r="D498" s="6">
        <f>YEAR(Table1[[#This Row],[OrderDate]]) * 100 + MONTH(Table1[[#This Row],[OrderDate]])</f>
        <v>202409</v>
      </c>
      <c r="E498" s="6">
        <f>_xlfn.MINIFS(Table1[OrderMonthKey],Table1[Country],Table1[[#This Row],[Country]])</f>
        <v>202301</v>
      </c>
      <c r="F498" s="6">
        <f>Table1[[#This Row],[CountryFirstMonthKey]]</f>
        <v>202301</v>
      </c>
      <c r="G498" s="6">
        <f>12*(INT(Table1[[#This Row],[OrderMonthKey]]/100)-INT(Table1[[#This Row],[CohortMonthKey]]/100)) + (MOD(Table1[[#This Row],[OrderMonthKey]],100)-MOD(Table1[[#This Row],[CohortMonthKey]],100))</f>
        <v>20</v>
      </c>
      <c r="H498" s="3" t="str">
        <f>TEXT(Table1[[#This Row],[OrderDate]],"MMM-YYYY")</f>
        <v>Sep-2024</v>
      </c>
      <c r="I498" s="3" t="str">
        <f t="shared" si="24"/>
        <v>Q2-2023</v>
      </c>
      <c r="J498" s="26" t="str">
        <f>IF(Table1[[#This Row],[LeadTimeDays]]&lt;=7,"Yes","No")</f>
        <v>Yes</v>
      </c>
      <c r="K498" s="6">
        <f>_xlfn.DAYS(Table1[[#This Row],[CorrectedRequiredDate]],Table1[[#This Row],[OrderDate]])</f>
        <v>4</v>
      </c>
      <c r="L498" s="3">
        <f>IF(Table1[[#This Row],[RequiredDate]]&lt;Table1[[#This Row],[OrderDate]],Table1[[#This Row],[OrderDate]],Table1[[#This Row],[RequiredDate]])</f>
        <v>45548</v>
      </c>
      <c r="M498" s="3">
        <v>45548</v>
      </c>
      <c r="N498" t="s">
        <v>649</v>
      </c>
      <c r="O498" t="s">
        <v>658</v>
      </c>
      <c r="P498" t="s">
        <v>683</v>
      </c>
      <c r="Q498" t="s">
        <v>704</v>
      </c>
      <c r="R498" t="s">
        <v>709</v>
      </c>
      <c r="S498" t="s">
        <v>721</v>
      </c>
      <c r="T498" t="s">
        <v>729</v>
      </c>
      <c r="U498" t="s">
        <v>1229</v>
      </c>
      <c r="V498" s="8">
        <v>1133.08</v>
      </c>
      <c r="W498" s="8">
        <v>976.17</v>
      </c>
      <c r="X498" s="8">
        <f t="shared" si="25"/>
        <v>815.10700000000008</v>
      </c>
      <c r="Y498" s="8">
        <f t="shared" si="26"/>
        <v>1620.05</v>
      </c>
      <c r="Z498" s="8" t="str">
        <f t="shared" si="27"/>
        <v>High</v>
      </c>
      <c r="AA498">
        <v>4.2000000000000003E-2</v>
      </c>
      <c r="AB498">
        <f>IF(Table1[[#This Row],[DiscountPct]]&gt;0.2,1,0)</f>
        <v>0</v>
      </c>
      <c r="AC498" s="6">
        <v>27</v>
      </c>
      <c r="AD498" s="8">
        <f>Table1[[#This Row],[UnitPrice]]*Table1[[#This Row],[Quantity]]</f>
        <v>26356.59</v>
      </c>
      <c r="AE498" s="8">
        <f>Table1[[#This Row],[UnitCost]]*Table1[[#This Row],[Quantity]]</f>
        <v>30593.159999999996</v>
      </c>
      <c r="AF498" s="8">
        <f>Table1[[#This Row],[GrossRevenue]]-Table1[[#This Row],[CostOfGoods]]</f>
        <v>-4236.5699999999961</v>
      </c>
      <c r="AG498" s="9">
        <f>IF(Table1[[#This Row],[GrossRevenue]]=0,0,Table1[[#This Row],[GrossProfit]]/Table1[[#This Row],[GrossRevenue]])</f>
        <v>-0.1607404447995737</v>
      </c>
    </row>
    <row r="499" spans="1:33" x14ac:dyDescent="0.45">
      <c r="A499" t="s">
        <v>512</v>
      </c>
      <c r="B499">
        <v>1</v>
      </c>
      <c r="C499" s="3">
        <v>45224</v>
      </c>
      <c r="D499" s="6">
        <f>YEAR(Table1[[#This Row],[OrderDate]]) * 100 + MONTH(Table1[[#This Row],[OrderDate]])</f>
        <v>202310</v>
      </c>
      <c r="E499" s="6">
        <f>_xlfn.MINIFS(Table1[OrderMonthKey],Table1[Country],Table1[[#This Row],[Country]])</f>
        <v>202301</v>
      </c>
      <c r="F499" s="6">
        <f>Table1[[#This Row],[CountryFirstMonthKey]]</f>
        <v>202301</v>
      </c>
      <c r="G499" s="6">
        <f>12*(INT(Table1[[#This Row],[OrderMonthKey]]/100)-INT(Table1[[#This Row],[CohortMonthKey]]/100)) + (MOD(Table1[[#This Row],[OrderMonthKey]],100)-MOD(Table1[[#This Row],[CohortMonthKey]],100))</f>
        <v>9</v>
      </c>
      <c r="H499" s="3" t="str">
        <f>TEXT(Table1[[#This Row],[OrderDate]],"MMM-YYYY")</f>
        <v>Oct-2023</v>
      </c>
      <c r="I499" s="3" t="str">
        <f t="shared" si="24"/>
        <v>Q3-2024</v>
      </c>
      <c r="J499" s="26" t="str">
        <f>IF(Table1[[#This Row],[LeadTimeDays]]&lt;=7,"Yes","No")</f>
        <v>Yes</v>
      </c>
      <c r="K499" s="6">
        <f>_xlfn.DAYS(Table1[[#This Row],[CorrectedRequiredDate]],Table1[[#This Row],[OrderDate]])</f>
        <v>3</v>
      </c>
      <c r="L499" s="3">
        <f>IF(Table1[[#This Row],[RequiredDate]]&lt;Table1[[#This Row],[OrderDate]],Table1[[#This Row],[OrderDate]],Table1[[#This Row],[RequiredDate]])</f>
        <v>45227</v>
      </c>
      <c r="M499" s="3">
        <v>45227</v>
      </c>
      <c r="N499" t="s">
        <v>648</v>
      </c>
      <c r="O499" t="s">
        <v>655</v>
      </c>
      <c r="P499" t="s">
        <v>672</v>
      </c>
      <c r="Q499" t="s">
        <v>701</v>
      </c>
      <c r="R499" t="s">
        <v>710</v>
      </c>
      <c r="S499" t="s">
        <v>716</v>
      </c>
      <c r="T499" t="s">
        <v>733</v>
      </c>
      <c r="U499" t="s">
        <v>1230</v>
      </c>
      <c r="V499" s="8">
        <v>509.31</v>
      </c>
      <c r="W499" s="8">
        <v>1145.9000000000001</v>
      </c>
      <c r="X499" s="8">
        <f t="shared" si="25"/>
        <v>815.10700000000008</v>
      </c>
      <c r="Y499" s="8">
        <f t="shared" si="26"/>
        <v>1620.05</v>
      </c>
      <c r="Z499" s="8" t="str">
        <f t="shared" si="27"/>
        <v>Medium</v>
      </c>
      <c r="AA499">
        <v>5.7000000000000002E-2</v>
      </c>
      <c r="AB499">
        <f>IF(Table1[[#This Row],[DiscountPct]]&gt;0.2,1,0)</f>
        <v>0</v>
      </c>
      <c r="AC499" s="6">
        <v>8</v>
      </c>
      <c r="AD499" s="8">
        <f>Table1[[#This Row],[UnitPrice]]*Table1[[#This Row],[Quantity]]</f>
        <v>9167.2000000000007</v>
      </c>
      <c r="AE499" s="8">
        <f>Table1[[#This Row],[UnitCost]]*Table1[[#This Row],[Quantity]]</f>
        <v>4074.48</v>
      </c>
      <c r="AF499" s="8">
        <f>Table1[[#This Row],[GrossRevenue]]-Table1[[#This Row],[CostOfGoods]]</f>
        <v>5092.7200000000012</v>
      </c>
      <c r="AG499" s="9">
        <f>IF(Table1[[#This Row],[GrossRevenue]]=0,0,Table1[[#This Row],[GrossProfit]]/Table1[[#This Row],[GrossRevenue]])</f>
        <v>0.555537132385025</v>
      </c>
    </row>
    <row r="500" spans="1:33" x14ac:dyDescent="0.45">
      <c r="A500" t="s">
        <v>513</v>
      </c>
      <c r="B500">
        <v>1</v>
      </c>
      <c r="C500" s="3">
        <v>45908</v>
      </c>
      <c r="D500" s="6">
        <f>YEAR(Table1[[#This Row],[OrderDate]]) * 100 + MONTH(Table1[[#This Row],[OrderDate]])</f>
        <v>202509</v>
      </c>
      <c r="E500" s="6">
        <f>_xlfn.MINIFS(Table1[OrderMonthKey],Table1[Country],Table1[[#This Row],[Country]])</f>
        <v>202301</v>
      </c>
      <c r="F500" s="6">
        <f>Table1[[#This Row],[CountryFirstMonthKey]]</f>
        <v>202301</v>
      </c>
      <c r="G500" s="6">
        <f>12*(INT(Table1[[#This Row],[OrderMonthKey]]/100)-INT(Table1[[#This Row],[CohortMonthKey]]/100)) + (MOD(Table1[[#This Row],[OrderMonthKey]],100)-MOD(Table1[[#This Row],[CohortMonthKey]],100))</f>
        <v>32</v>
      </c>
      <c r="H500" s="3" t="str">
        <f>TEXT(Table1[[#This Row],[OrderDate]],"MMM-YYYY")</f>
        <v>Sep-2025</v>
      </c>
      <c r="I500" s="3" t="str">
        <f t="shared" si="24"/>
        <v>Q4-2023</v>
      </c>
      <c r="J500" s="26" t="str">
        <f>IF(Table1[[#This Row],[LeadTimeDays]]&lt;=7,"Yes","No")</f>
        <v>No</v>
      </c>
      <c r="K500" s="6">
        <f>_xlfn.DAYS(Table1[[#This Row],[CorrectedRequiredDate]],Table1[[#This Row],[OrderDate]])</f>
        <v>27</v>
      </c>
      <c r="L500" s="3">
        <f>IF(Table1[[#This Row],[RequiredDate]]&lt;Table1[[#This Row],[OrderDate]],Table1[[#This Row],[OrderDate]],Table1[[#This Row],[RequiredDate]])</f>
        <v>45935</v>
      </c>
      <c r="M500" s="3">
        <v>45935</v>
      </c>
      <c r="N500" t="s">
        <v>648</v>
      </c>
      <c r="O500" t="s">
        <v>655</v>
      </c>
      <c r="P500" t="s">
        <v>692</v>
      </c>
      <c r="Q500" t="s">
        <v>702</v>
      </c>
      <c r="R500" t="s">
        <v>708</v>
      </c>
      <c r="S500" t="s">
        <v>712</v>
      </c>
      <c r="T500" t="s">
        <v>732</v>
      </c>
      <c r="U500" t="s">
        <v>1231</v>
      </c>
      <c r="V500" s="8">
        <v>660.78</v>
      </c>
      <c r="W500" s="8">
        <v>1630.39</v>
      </c>
      <c r="X500" s="8">
        <f t="shared" si="25"/>
        <v>815.10700000000008</v>
      </c>
      <c r="Y500" s="8">
        <f t="shared" si="26"/>
        <v>1620.05</v>
      </c>
      <c r="Z500" s="8" t="str">
        <f t="shared" si="27"/>
        <v>Medium</v>
      </c>
      <c r="AA500">
        <v>0.218</v>
      </c>
      <c r="AB500">
        <f>IF(Table1[[#This Row],[DiscountPct]]&gt;0.2,1,0)</f>
        <v>1</v>
      </c>
      <c r="AC500" s="6">
        <v>13</v>
      </c>
      <c r="AD500" s="8">
        <f>Table1[[#This Row],[UnitPrice]]*Table1[[#This Row],[Quantity]]</f>
        <v>21195.07</v>
      </c>
      <c r="AE500" s="8">
        <f>Table1[[#This Row],[UnitCost]]*Table1[[#This Row],[Quantity]]</f>
        <v>8590.14</v>
      </c>
      <c r="AF500" s="8">
        <f>Table1[[#This Row],[GrossRevenue]]-Table1[[#This Row],[CostOfGoods]]</f>
        <v>12604.93</v>
      </c>
      <c r="AG500" s="9">
        <f>IF(Table1[[#This Row],[GrossRevenue]]=0,0,Table1[[#This Row],[GrossProfit]]/Table1[[#This Row],[GrossRevenue]])</f>
        <v>0.59471046804752237</v>
      </c>
    </row>
    <row r="501" spans="1:33" x14ac:dyDescent="0.45">
      <c r="A501" t="s">
        <v>514</v>
      </c>
      <c r="B501">
        <v>1</v>
      </c>
      <c r="C501" s="3">
        <v>45048</v>
      </c>
      <c r="D501" s="6">
        <f>YEAR(Table1[[#This Row],[OrderDate]]) * 100 + MONTH(Table1[[#This Row],[OrderDate]])</f>
        <v>202305</v>
      </c>
      <c r="E501" s="6">
        <f>_xlfn.MINIFS(Table1[OrderMonthKey],Table1[Country],Table1[[#This Row],[Country]])</f>
        <v>202302</v>
      </c>
      <c r="F501" s="6">
        <f>Table1[[#This Row],[CountryFirstMonthKey]]</f>
        <v>202302</v>
      </c>
      <c r="G501" s="6">
        <f>12*(INT(Table1[[#This Row],[OrderMonthKey]]/100)-INT(Table1[[#This Row],[CohortMonthKey]]/100)) + (MOD(Table1[[#This Row],[OrderMonthKey]],100)-MOD(Table1[[#This Row],[CohortMonthKey]],100))</f>
        <v>3</v>
      </c>
      <c r="H501" s="3" t="str">
        <f>TEXT(Table1[[#This Row],[OrderDate]],"MMM-YYYY")</f>
        <v>May-2023</v>
      </c>
      <c r="I501" s="3" t="str">
        <f t="shared" si="24"/>
        <v>Q3-2025</v>
      </c>
      <c r="J501" s="26" t="str">
        <f>IF(Table1[[#This Row],[LeadTimeDays]]&lt;=7,"Yes","No")</f>
        <v>No</v>
      </c>
      <c r="K501" s="6">
        <f>_xlfn.DAYS(Table1[[#This Row],[CorrectedRequiredDate]],Table1[[#This Row],[OrderDate]])</f>
        <v>14</v>
      </c>
      <c r="L501" s="3">
        <f>IF(Table1[[#This Row],[RequiredDate]]&lt;Table1[[#This Row],[OrderDate]],Table1[[#This Row],[OrderDate]],Table1[[#This Row],[RequiredDate]])</f>
        <v>45062</v>
      </c>
      <c r="M501" s="3">
        <v>45062</v>
      </c>
      <c r="N501" t="s">
        <v>647</v>
      </c>
      <c r="O501" t="s">
        <v>654</v>
      </c>
      <c r="P501" t="s">
        <v>668</v>
      </c>
      <c r="Q501" t="s">
        <v>703</v>
      </c>
      <c r="R501" t="s">
        <v>707</v>
      </c>
      <c r="S501" t="s">
        <v>716</v>
      </c>
      <c r="T501" t="s">
        <v>732</v>
      </c>
      <c r="U501" t="s">
        <v>1232</v>
      </c>
      <c r="V501" s="8">
        <v>475.37</v>
      </c>
      <c r="W501" s="8">
        <v>963.73</v>
      </c>
      <c r="X501" s="8">
        <f t="shared" si="25"/>
        <v>815.10700000000008</v>
      </c>
      <c r="Y501" s="8">
        <f t="shared" si="26"/>
        <v>1620.05</v>
      </c>
      <c r="Z501" s="8" t="str">
        <f t="shared" si="27"/>
        <v>High</v>
      </c>
      <c r="AA501">
        <v>4.1000000000000002E-2</v>
      </c>
      <c r="AB501">
        <f>IF(Table1[[#This Row],[DiscountPct]]&gt;0.2,1,0)</f>
        <v>0</v>
      </c>
      <c r="AC501" s="6">
        <v>22</v>
      </c>
      <c r="AD501" s="8">
        <f>Table1[[#This Row],[UnitPrice]]*Table1[[#This Row],[Quantity]]</f>
        <v>21202.06</v>
      </c>
      <c r="AE501" s="8">
        <f>Table1[[#This Row],[UnitCost]]*Table1[[#This Row],[Quantity]]</f>
        <v>10458.14</v>
      </c>
      <c r="AF501" s="8">
        <f>Table1[[#This Row],[GrossRevenue]]-Table1[[#This Row],[CostOfGoods]]</f>
        <v>10743.920000000002</v>
      </c>
      <c r="AG501" s="9">
        <f>IF(Table1[[#This Row],[GrossRevenue]]=0,0,Table1[[#This Row],[GrossProfit]]/Table1[[#This Row],[GrossRevenue]])</f>
        <v>0.50673943946956101</v>
      </c>
    </row>
    <row r="502" spans="1:33" x14ac:dyDescent="0.45">
      <c r="A502" t="s">
        <v>515</v>
      </c>
      <c r="B502">
        <v>1</v>
      </c>
      <c r="C502" s="3">
        <v>45408</v>
      </c>
      <c r="D502" s="6">
        <f>YEAR(Table1[[#This Row],[OrderDate]]) * 100 + MONTH(Table1[[#This Row],[OrderDate]])</f>
        <v>202404</v>
      </c>
      <c r="E502" s="6">
        <f>_xlfn.MINIFS(Table1[OrderMonthKey],Table1[Country],Table1[[#This Row],[Country]])</f>
        <v>202301</v>
      </c>
      <c r="F502" s="6">
        <f>Table1[[#This Row],[CountryFirstMonthKey]]</f>
        <v>202301</v>
      </c>
      <c r="G502" s="6">
        <f>12*(INT(Table1[[#This Row],[OrderMonthKey]]/100)-INT(Table1[[#This Row],[CohortMonthKey]]/100)) + (MOD(Table1[[#This Row],[OrderMonthKey]],100)-MOD(Table1[[#This Row],[CohortMonthKey]],100))</f>
        <v>15</v>
      </c>
      <c r="H502" s="3" t="str">
        <f>TEXT(Table1[[#This Row],[OrderDate]],"MMM-YYYY")</f>
        <v>Apr-2024</v>
      </c>
      <c r="I502" s="3" t="str">
        <f t="shared" si="24"/>
        <v>Q2-2023</v>
      </c>
      <c r="J502" s="26" t="str">
        <f>IF(Table1[[#This Row],[LeadTimeDays]]&lt;=7,"Yes","No")</f>
        <v>Yes</v>
      </c>
      <c r="K502" s="6">
        <f>_xlfn.DAYS(Table1[[#This Row],[CorrectedRequiredDate]],Table1[[#This Row],[OrderDate]])</f>
        <v>0</v>
      </c>
      <c r="L502" s="3">
        <f>IF(Table1[[#This Row],[RequiredDate]]&lt;Table1[[#This Row],[OrderDate]],Table1[[#This Row],[OrderDate]],Table1[[#This Row],[RequiredDate]])</f>
        <v>45408</v>
      </c>
      <c r="M502" s="3">
        <v>45406</v>
      </c>
      <c r="N502" t="s">
        <v>649</v>
      </c>
      <c r="O502" t="s">
        <v>658</v>
      </c>
      <c r="P502" t="s">
        <v>683</v>
      </c>
      <c r="Q502" t="s">
        <v>703</v>
      </c>
      <c r="R502" t="s">
        <v>710</v>
      </c>
      <c r="S502" t="s">
        <v>725</v>
      </c>
      <c r="T502" t="s">
        <v>730</v>
      </c>
      <c r="U502" t="s">
        <v>1233</v>
      </c>
      <c r="V502" s="8">
        <v>1232.77</v>
      </c>
      <c r="W502" s="8">
        <v>891.73</v>
      </c>
      <c r="X502" s="8">
        <f t="shared" si="25"/>
        <v>815.10700000000008</v>
      </c>
      <c r="Y502" s="8">
        <f t="shared" si="26"/>
        <v>1620.05</v>
      </c>
      <c r="Z502" s="8" t="str">
        <f t="shared" si="27"/>
        <v>Medium</v>
      </c>
      <c r="AA502">
        <v>0.16700000000000001</v>
      </c>
      <c r="AB502">
        <f>IF(Table1[[#This Row],[DiscountPct]]&gt;0.2,1,0)</f>
        <v>0</v>
      </c>
      <c r="AC502" s="6">
        <v>10</v>
      </c>
      <c r="AD502" s="8">
        <f>Table1[[#This Row],[UnitPrice]]*Table1[[#This Row],[Quantity]]</f>
        <v>8917.2999999999993</v>
      </c>
      <c r="AE502" s="8">
        <f>Table1[[#This Row],[UnitCost]]*Table1[[#This Row],[Quantity]]</f>
        <v>12327.7</v>
      </c>
      <c r="AF502" s="8">
        <f>Table1[[#This Row],[GrossRevenue]]-Table1[[#This Row],[CostOfGoods]]</f>
        <v>-3410.4000000000015</v>
      </c>
      <c r="AG502" s="9">
        <f>IF(Table1[[#This Row],[GrossRevenue]]=0,0,Table1[[#This Row],[GrossProfit]]/Table1[[#This Row],[GrossRevenue]])</f>
        <v>-0.38244760185257887</v>
      </c>
    </row>
    <row r="503" spans="1:33" x14ac:dyDescent="0.45">
      <c r="A503" t="s">
        <v>516</v>
      </c>
      <c r="B503">
        <v>1</v>
      </c>
      <c r="C503" s="3">
        <v>44980</v>
      </c>
      <c r="D503" s="6">
        <f>YEAR(Table1[[#This Row],[OrderDate]]) * 100 + MONTH(Table1[[#This Row],[OrderDate]])</f>
        <v>202302</v>
      </c>
      <c r="E503" s="6">
        <f>_xlfn.MINIFS(Table1[OrderMonthKey],Table1[Country],Table1[[#This Row],[Country]])</f>
        <v>202301</v>
      </c>
      <c r="F503" s="6">
        <f>Table1[[#This Row],[CountryFirstMonthKey]]</f>
        <v>202301</v>
      </c>
      <c r="G503" s="6">
        <f>12*(INT(Table1[[#This Row],[OrderMonthKey]]/100)-INT(Table1[[#This Row],[CohortMonthKey]]/100)) + (MOD(Table1[[#This Row],[OrderMonthKey]],100)-MOD(Table1[[#This Row],[CohortMonthKey]],100))</f>
        <v>1</v>
      </c>
      <c r="H503" s="3" t="str">
        <f>TEXT(Table1[[#This Row],[OrderDate]],"MMM-YYYY")</f>
        <v>Feb-2023</v>
      </c>
      <c r="I503" s="3" t="str">
        <f t="shared" si="24"/>
        <v>Q2-2024</v>
      </c>
      <c r="J503" s="26" t="str">
        <f>IF(Table1[[#This Row],[LeadTimeDays]]&lt;=7,"Yes","No")</f>
        <v>No</v>
      </c>
      <c r="K503" s="6">
        <f>_xlfn.DAYS(Table1[[#This Row],[CorrectedRequiredDate]],Table1[[#This Row],[OrderDate]])</f>
        <v>23</v>
      </c>
      <c r="L503" s="3">
        <f>IF(Table1[[#This Row],[RequiredDate]]&lt;Table1[[#This Row],[OrderDate]],Table1[[#This Row],[OrderDate]],Table1[[#This Row],[RequiredDate]])</f>
        <v>45003</v>
      </c>
      <c r="M503" s="3">
        <v>45003</v>
      </c>
      <c r="N503" t="s">
        <v>647</v>
      </c>
      <c r="O503" t="s">
        <v>659</v>
      </c>
      <c r="P503" t="s">
        <v>699</v>
      </c>
      <c r="Q503" t="s">
        <v>702</v>
      </c>
      <c r="R503" t="s">
        <v>710</v>
      </c>
      <c r="S503" t="s">
        <v>723</v>
      </c>
      <c r="T503" t="s">
        <v>728</v>
      </c>
      <c r="U503" t="s">
        <v>1234</v>
      </c>
      <c r="V503" s="8">
        <v>770.11</v>
      </c>
      <c r="W503" s="8">
        <v>1667.82</v>
      </c>
      <c r="X503" s="8">
        <f t="shared" si="25"/>
        <v>815.10700000000008</v>
      </c>
      <c r="Y503" s="8">
        <f t="shared" si="26"/>
        <v>1620.05</v>
      </c>
      <c r="Z503" s="8" t="str">
        <f t="shared" si="27"/>
        <v>Medium</v>
      </c>
      <c r="AA503">
        <v>6.9000000000000006E-2</v>
      </c>
      <c r="AB503">
        <f>IF(Table1[[#This Row],[DiscountPct]]&gt;0.2,1,0)</f>
        <v>0</v>
      </c>
      <c r="AC503" s="6">
        <v>7</v>
      </c>
      <c r="AD503" s="8">
        <f>Table1[[#This Row],[UnitPrice]]*Table1[[#This Row],[Quantity]]</f>
        <v>11674.74</v>
      </c>
      <c r="AE503" s="8">
        <f>Table1[[#This Row],[UnitCost]]*Table1[[#This Row],[Quantity]]</f>
        <v>5390.77</v>
      </c>
      <c r="AF503" s="8">
        <f>Table1[[#This Row],[GrossRevenue]]-Table1[[#This Row],[CostOfGoods]]</f>
        <v>6283.9699999999993</v>
      </c>
      <c r="AG503" s="9">
        <f>IF(Table1[[#This Row],[GrossRevenue]]=0,0,Table1[[#This Row],[GrossProfit]]/Table1[[#This Row],[GrossRevenue]])</f>
        <v>0.5382535285582376</v>
      </c>
    </row>
    <row r="504" spans="1:33" x14ac:dyDescent="0.45">
      <c r="A504" t="s">
        <v>517</v>
      </c>
      <c r="B504">
        <v>1</v>
      </c>
      <c r="C504" s="3">
        <v>45740</v>
      </c>
      <c r="D504" s="6">
        <f>YEAR(Table1[[#This Row],[OrderDate]]) * 100 + MONTH(Table1[[#This Row],[OrderDate]])</f>
        <v>202503</v>
      </c>
      <c r="E504" s="6">
        <f>_xlfn.MINIFS(Table1[OrderMonthKey],Table1[Country],Table1[[#This Row],[Country]])</f>
        <v>202301</v>
      </c>
      <c r="F504" s="6">
        <f>Table1[[#This Row],[CountryFirstMonthKey]]</f>
        <v>202301</v>
      </c>
      <c r="G504" s="6">
        <f>12*(INT(Table1[[#This Row],[OrderMonthKey]]/100)-INT(Table1[[#This Row],[CohortMonthKey]]/100)) + (MOD(Table1[[#This Row],[OrderMonthKey]],100)-MOD(Table1[[#This Row],[CohortMonthKey]],100))</f>
        <v>26</v>
      </c>
      <c r="H504" s="3" t="str">
        <f>TEXT(Table1[[#This Row],[OrderDate]],"MMM-YYYY")</f>
        <v>Mar-2025</v>
      </c>
      <c r="I504" s="3" t="str">
        <f t="shared" si="24"/>
        <v>Q1-2023</v>
      </c>
      <c r="J504" s="26" t="str">
        <f>IF(Table1[[#This Row],[LeadTimeDays]]&lt;=7,"Yes","No")</f>
        <v>Yes</v>
      </c>
      <c r="K504" s="6">
        <f>_xlfn.DAYS(Table1[[#This Row],[CorrectedRequiredDate]],Table1[[#This Row],[OrderDate]])</f>
        <v>1</v>
      </c>
      <c r="L504" s="3">
        <f>IF(Table1[[#This Row],[RequiredDate]]&lt;Table1[[#This Row],[OrderDate]],Table1[[#This Row],[OrderDate]],Table1[[#This Row],[RequiredDate]])</f>
        <v>45741</v>
      </c>
      <c r="M504" s="3">
        <v>45741</v>
      </c>
      <c r="N504" t="s">
        <v>647</v>
      </c>
      <c r="O504" t="s">
        <v>659</v>
      </c>
      <c r="P504" t="s">
        <v>699</v>
      </c>
      <c r="Q504" t="s">
        <v>703</v>
      </c>
      <c r="R504" t="s">
        <v>708</v>
      </c>
      <c r="S504" t="s">
        <v>715</v>
      </c>
      <c r="T504" t="s">
        <v>729</v>
      </c>
      <c r="U504" t="s">
        <v>1235</v>
      </c>
      <c r="V504" s="8">
        <v>1133.03</v>
      </c>
      <c r="W504" s="8">
        <v>1921.51</v>
      </c>
      <c r="X504" s="8">
        <f t="shared" si="25"/>
        <v>815.10700000000008</v>
      </c>
      <c r="Y504" s="8">
        <f t="shared" si="26"/>
        <v>1620.05</v>
      </c>
      <c r="Z504" s="8" t="str">
        <f t="shared" si="27"/>
        <v>High</v>
      </c>
      <c r="AA504">
        <v>0.10100000000000001</v>
      </c>
      <c r="AB504">
        <f>IF(Table1[[#This Row],[DiscountPct]]&gt;0.2,1,0)</f>
        <v>0</v>
      </c>
      <c r="AC504" s="6">
        <v>5</v>
      </c>
      <c r="AD504" s="8">
        <f>Table1[[#This Row],[UnitPrice]]*Table1[[#This Row],[Quantity]]</f>
        <v>9607.5499999999993</v>
      </c>
      <c r="AE504" s="8">
        <f>Table1[[#This Row],[UnitCost]]*Table1[[#This Row],[Quantity]]</f>
        <v>5665.15</v>
      </c>
      <c r="AF504" s="8">
        <f>Table1[[#This Row],[GrossRevenue]]-Table1[[#This Row],[CostOfGoods]]</f>
        <v>3942.3999999999996</v>
      </c>
      <c r="AG504" s="9">
        <f>IF(Table1[[#This Row],[GrossRevenue]]=0,0,Table1[[#This Row],[GrossProfit]]/Table1[[#This Row],[GrossRevenue]])</f>
        <v>0.41034394824903331</v>
      </c>
    </row>
    <row r="505" spans="1:33" x14ac:dyDescent="0.45">
      <c r="A505" t="s">
        <v>518</v>
      </c>
      <c r="B505">
        <v>1</v>
      </c>
      <c r="C505" s="3">
        <v>45726</v>
      </c>
      <c r="D505" s="6">
        <f>YEAR(Table1[[#This Row],[OrderDate]]) * 100 + MONTH(Table1[[#This Row],[OrderDate]])</f>
        <v>202503</v>
      </c>
      <c r="E505" s="6">
        <f>_xlfn.MINIFS(Table1[OrderMonthKey],Table1[Country],Table1[[#This Row],[Country]])</f>
        <v>202301</v>
      </c>
      <c r="F505" s="6">
        <f>Table1[[#This Row],[CountryFirstMonthKey]]</f>
        <v>202301</v>
      </c>
      <c r="G505" s="6">
        <f>12*(INT(Table1[[#This Row],[OrderMonthKey]]/100)-INT(Table1[[#This Row],[CohortMonthKey]]/100)) + (MOD(Table1[[#This Row],[OrderMonthKey]],100)-MOD(Table1[[#This Row],[CohortMonthKey]],100))</f>
        <v>26</v>
      </c>
      <c r="H505" s="3" t="str">
        <f>TEXT(Table1[[#This Row],[OrderDate]],"MMM-YYYY")</f>
        <v>Mar-2025</v>
      </c>
      <c r="I505" s="3" t="str">
        <f t="shared" si="24"/>
        <v>Q1-2025</v>
      </c>
      <c r="J505" s="26" t="str">
        <f>IF(Table1[[#This Row],[LeadTimeDays]]&lt;=7,"Yes","No")</f>
        <v>No</v>
      </c>
      <c r="K505" s="6">
        <f>_xlfn.DAYS(Table1[[#This Row],[CorrectedRequiredDate]],Table1[[#This Row],[OrderDate]])</f>
        <v>17</v>
      </c>
      <c r="L505" s="3">
        <f>IF(Table1[[#This Row],[RequiredDate]]&lt;Table1[[#This Row],[OrderDate]],Table1[[#This Row],[OrderDate]],Table1[[#This Row],[RequiredDate]])</f>
        <v>45743</v>
      </c>
      <c r="M505" s="3">
        <v>45743</v>
      </c>
      <c r="N505" t="s">
        <v>648</v>
      </c>
      <c r="O505" t="s">
        <v>655</v>
      </c>
      <c r="P505" t="s">
        <v>692</v>
      </c>
      <c r="Q505" t="s">
        <v>706</v>
      </c>
      <c r="R505" t="s">
        <v>711</v>
      </c>
      <c r="S505" t="s">
        <v>721</v>
      </c>
      <c r="T505" t="s">
        <v>729</v>
      </c>
      <c r="U505" t="s">
        <v>1236</v>
      </c>
      <c r="V505" s="8">
        <v>996.73</v>
      </c>
      <c r="W505" s="8">
        <v>1217.43</v>
      </c>
      <c r="X505" s="8">
        <f t="shared" si="25"/>
        <v>815.10700000000008</v>
      </c>
      <c r="Y505" s="8">
        <f t="shared" si="26"/>
        <v>1620.05</v>
      </c>
      <c r="Z505" s="8" t="str">
        <f t="shared" si="27"/>
        <v>High</v>
      </c>
      <c r="AA505">
        <v>7.0000000000000007E-2</v>
      </c>
      <c r="AB505">
        <f>IF(Table1[[#This Row],[DiscountPct]]&gt;0.2,1,0)</f>
        <v>0</v>
      </c>
      <c r="AC505" s="6">
        <v>9</v>
      </c>
      <c r="AD505" s="8">
        <f>Table1[[#This Row],[UnitPrice]]*Table1[[#This Row],[Quantity]]</f>
        <v>10956.87</v>
      </c>
      <c r="AE505" s="8">
        <f>Table1[[#This Row],[UnitCost]]*Table1[[#This Row],[Quantity]]</f>
        <v>8970.57</v>
      </c>
      <c r="AF505" s="8">
        <f>Table1[[#This Row],[GrossRevenue]]-Table1[[#This Row],[CostOfGoods]]</f>
        <v>1986.3000000000011</v>
      </c>
      <c r="AG505" s="9">
        <f>IF(Table1[[#This Row],[GrossRevenue]]=0,0,Table1[[#This Row],[GrossProfit]]/Table1[[#This Row],[GrossRevenue]])</f>
        <v>0.1812835234880035</v>
      </c>
    </row>
    <row r="506" spans="1:33" x14ac:dyDescent="0.45">
      <c r="A506" t="s">
        <v>519</v>
      </c>
      <c r="B506">
        <v>1</v>
      </c>
      <c r="C506" s="3">
        <v>45387</v>
      </c>
      <c r="D506" s="6">
        <f>YEAR(Table1[[#This Row],[OrderDate]]) * 100 + MONTH(Table1[[#This Row],[OrderDate]])</f>
        <v>202404</v>
      </c>
      <c r="E506" s="6">
        <f>_xlfn.MINIFS(Table1[OrderMonthKey],Table1[Country],Table1[[#This Row],[Country]])</f>
        <v>202301</v>
      </c>
      <c r="F506" s="6">
        <f>Table1[[#This Row],[CountryFirstMonthKey]]</f>
        <v>202301</v>
      </c>
      <c r="G506" s="6">
        <f>12*(INT(Table1[[#This Row],[OrderMonthKey]]/100)-INT(Table1[[#This Row],[CohortMonthKey]]/100)) + (MOD(Table1[[#This Row],[OrderMonthKey]],100)-MOD(Table1[[#This Row],[CohortMonthKey]],100))</f>
        <v>15</v>
      </c>
      <c r="H506" s="3" t="str">
        <f>TEXT(Table1[[#This Row],[OrderDate]],"MMM-YYYY")</f>
        <v>Apr-2024</v>
      </c>
      <c r="I506" s="3" t="str">
        <f t="shared" si="24"/>
        <v>Q1-2025</v>
      </c>
      <c r="J506" s="26" t="str">
        <f>IF(Table1[[#This Row],[LeadTimeDays]]&lt;=7,"Yes","No")</f>
        <v>Yes</v>
      </c>
      <c r="K506" s="6">
        <f>_xlfn.DAYS(Table1[[#This Row],[CorrectedRequiredDate]],Table1[[#This Row],[OrderDate]])</f>
        <v>4</v>
      </c>
      <c r="L506" s="3">
        <f>IF(Table1[[#This Row],[RequiredDate]]&lt;Table1[[#This Row],[OrderDate]],Table1[[#This Row],[OrderDate]],Table1[[#This Row],[RequiredDate]])</f>
        <v>45391</v>
      </c>
      <c r="M506" s="3">
        <v>45391</v>
      </c>
      <c r="N506" t="s">
        <v>646</v>
      </c>
      <c r="O506" t="s">
        <v>651</v>
      </c>
      <c r="P506" t="s">
        <v>665</v>
      </c>
      <c r="Q506" t="s">
        <v>703</v>
      </c>
      <c r="R506" t="s">
        <v>711</v>
      </c>
      <c r="S506" t="s">
        <v>723</v>
      </c>
      <c r="T506" t="s">
        <v>727</v>
      </c>
      <c r="U506" t="s">
        <v>1237</v>
      </c>
      <c r="V506" s="8">
        <v>395.07</v>
      </c>
      <c r="W506" s="8">
        <v>970.27</v>
      </c>
      <c r="X506" s="8">
        <f t="shared" si="25"/>
        <v>815.10700000000008</v>
      </c>
      <c r="Y506" s="8">
        <f t="shared" si="26"/>
        <v>1620.05</v>
      </c>
      <c r="Z506" s="8" t="str">
        <f t="shared" si="27"/>
        <v>Medium</v>
      </c>
      <c r="AA506">
        <v>0.123</v>
      </c>
      <c r="AB506">
        <f>IF(Table1[[#This Row],[DiscountPct]]&gt;0.2,1,0)</f>
        <v>0</v>
      </c>
      <c r="AC506" s="6">
        <v>38</v>
      </c>
      <c r="AD506" s="8">
        <f>Table1[[#This Row],[UnitPrice]]*Table1[[#This Row],[Quantity]]</f>
        <v>36870.26</v>
      </c>
      <c r="AE506" s="8">
        <f>Table1[[#This Row],[UnitCost]]*Table1[[#This Row],[Quantity]]</f>
        <v>15012.66</v>
      </c>
      <c r="AF506" s="8">
        <f>Table1[[#This Row],[GrossRevenue]]-Table1[[#This Row],[CostOfGoods]]</f>
        <v>21857.600000000002</v>
      </c>
      <c r="AG506" s="9">
        <f>IF(Table1[[#This Row],[GrossRevenue]]=0,0,Table1[[#This Row],[GrossProfit]]/Table1[[#This Row],[GrossRevenue]])</f>
        <v>0.59282467766704117</v>
      </c>
    </row>
    <row r="507" spans="1:33" hidden="1" x14ac:dyDescent="0.45">
      <c r="A507" t="s">
        <v>520</v>
      </c>
      <c r="C507" s="3">
        <v>45774</v>
      </c>
      <c r="D507" s="3">
        <f>YEAR(Table1[[#This Row],[OrderDate]]) * 100 + MONTH(Table1[[#This Row],[OrderDate]])</f>
        <v>202504</v>
      </c>
      <c r="E507" s="3">
        <f>_xlfn.MINIFS(Table1[OrderMonthKey],Table1[Country],Table1[[#This Row],[Country]])</f>
        <v>202301</v>
      </c>
      <c r="F507" s="3">
        <f>Table1[[#This Row],[CountryFirstMonthKey]]</f>
        <v>202301</v>
      </c>
      <c r="G507" s="3">
        <f>12*(INT(Table1[[#This Row],[OrderMonthKey]]/100)-INT(Table1[[#This Row],[CohortMonthKey]]/100)) + (MOD(Table1[[#This Row],[OrderMonthKey]],100)-MOD(Table1[[#This Row],[CohortMonthKey]],100))</f>
        <v>27</v>
      </c>
      <c r="H507" s="3" t="str">
        <f>TEXT(Table1[[#This Row],[OrderDate]],"MMM-YYYY")</f>
        <v>Apr-2025</v>
      </c>
      <c r="I507" s="3" t="str">
        <f t="shared" si="24"/>
        <v>Q2-2024</v>
      </c>
      <c r="J507" s="3" t="str">
        <f>IF(Table1[[#This Row],[LeadTimeDays]]&lt;=7,"Yes","No")</f>
        <v>No</v>
      </c>
      <c r="K507" s="3">
        <f>_xlfn.DAYS(Table1[[#This Row],[CorrectedRequiredDate]],Table1[[#This Row],[OrderDate]])</f>
        <v>20</v>
      </c>
      <c r="L507" s="3">
        <f>IF(Table1[[#This Row],[RequiredDate]]&lt;Table1[[#This Row],[OrderDate]],Table1[[#This Row],[OrderDate]],Table1[[#This Row],[RequiredDate]])</f>
        <v>45794</v>
      </c>
      <c r="M507" s="3">
        <v>45794</v>
      </c>
      <c r="N507" t="s">
        <v>648</v>
      </c>
      <c r="O507" t="s">
        <v>660</v>
      </c>
      <c r="P507" t="s">
        <v>697</v>
      </c>
      <c r="Q507" t="s">
        <v>701</v>
      </c>
      <c r="R507" t="s">
        <v>711</v>
      </c>
      <c r="S507" t="s">
        <v>725</v>
      </c>
      <c r="T507" t="s">
        <v>730</v>
      </c>
      <c r="U507" t="s">
        <v>1238</v>
      </c>
      <c r="V507" s="8">
        <v>932.26</v>
      </c>
      <c r="W507" s="8">
        <v>1624.67</v>
      </c>
      <c r="X507" s="8">
        <f t="shared" si="25"/>
        <v>815.10700000000008</v>
      </c>
      <c r="Y507" s="8">
        <f t="shared" si="26"/>
        <v>1620.05</v>
      </c>
      <c r="AA507">
        <v>0.23499999999999999</v>
      </c>
      <c r="AB507">
        <f>IF(Table1[[#This Row],[DiscountPct]]&gt;0.2,1,0)</f>
        <v>1</v>
      </c>
      <c r="AC507" s="6">
        <v>28</v>
      </c>
      <c r="AD507" s="8">
        <f>Table1[[#This Row],[UnitPrice]]*Table1[[#This Row],[Quantity]]</f>
        <v>45490.76</v>
      </c>
      <c r="AE507" s="8">
        <f>Table1[[#This Row],[UnitCost]]*Table1[[#This Row],[Quantity]]</f>
        <v>26103.279999999999</v>
      </c>
      <c r="AF507" s="8">
        <f>Table1[[#This Row],[GrossRevenue]]-Table1[[#This Row],[CostOfGoods]]</f>
        <v>19387.480000000003</v>
      </c>
      <c r="AG507" s="8">
        <f>IF(Table1[[#This Row],[GrossRevenue]]=0,0,Table1[[#This Row],[GrossProfit]]/Table1[[#This Row],[GrossRevenue]])</f>
        <v>0.42618500987892932</v>
      </c>
    </row>
    <row r="508" spans="1:33" x14ac:dyDescent="0.45">
      <c r="A508" t="s">
        <v>521</v>
      </c>
      <c r="B508">
        <v>1</v>
      </c>
      <c r="C508" s="3">
        <v>45589</v>
      </c>
      <c r="D508" s="6">
        <f>YEAR(Table1[[#This Row],[OrderDate]]) * 100 + MONTH(Table1[[#This Row],[OrderDate]])</f>
        <v>202410</v>
      </c>
      <c r="E508" s="6">
        <f>_xlfn.MINIFS(Table1[OrderMonthKey],Table1[Country],Table1[[#This Row],[Country]])</f>
        <v>202301</v>
      </c>
      <c r="F508" s="6">
        <f>Table1[[#This Row],[CountryFirstMonthKey]]</f>
        <v>202301</v>
      </c>
      <c r="G508" s="6">
        <f>12*(INT(Table1[[#This Row],[OrderMonthKey]]/100)-INT(Table1[[#This Row],[CohortMonthKey]]/100)) + (MOD(Table1[[#This Row],[OrderMonthKey]],100)-MOD(Table1[[#This Row],[CohortMonthKey]],100))</f>
        <v>21</v>
      </c>
      <c r="H508" s="3" t="str">
        <f>TEXT(Table1[[#This Row],[OrderDate]],"MMM-YYYY")</f>
        <v>Oct-2024</v>
      </c>
      <c r="I508" s="3" t="str">
        <f t="shared" si="24"/>
        <v>Q2-2025</v>
      </c>
      <c r="J508" s="26" t="str">
        <f>IF(Table1[[#This Row],[LeadTimeDays]]&lt;=7,"Yes","No")</f>
        <v>Yes</v>
      </c>
      <c r="K508" s="6">
        <f>_xlfn.DAYS(Table1[[#This Row],[CorrectedRequiredDate]],Table1[[#This Row],[OrderDate]])</f>
        <v>4</v>
      </c>
      <c r="L508" s="3">
        <f>IF(Table1[[#This Row],[RequiredDate]]&lt;Table1[[#This Row],[OrderDate]],Table1[[#This Row],[OrderDate]],Table1[[#This Row],[RequiredDate]])</f>
        <v>45593</v>
      </c>
      <c r="M508" s="3">
        <v>45593</v>
      </c>
      <c r="N508" t="s">
        <v>647</v>
      </c>
      <c r="O508" t="s">
        <v>659</v>
      </c>
      <c r="P508" t="s">
        <v>685</v>
      </c>
      <c r="Q508" t="s">
        <v>705</v>
      </c>
      <c r="R508" t="s">
        <v>710</v>
      </c>
      <c r="S508" t="s">
        <v>714</v>
      </c>
      <c r="T508" t="s">
        <v>729</v>
      </c>
      <c r="U508" t="s">
        <v>1239</v>
      </c>
      <c r="V508" s="8">
        <v>1331.77</v>
      </c>
      <c r="W508" s="8">
        <v>2606.11</v>
      </c>
      <c r="X508" s="8">
        <f t="shared" si="25"/>
        <v>815.10700000000008</v>
      </c>
      <c r="Y508" s="8">
        <f t="shared" si="26"/>
        <v>1620.05</v>
      </c>
      <c r="Z508" s="8" t="str">
        <f>IF(W507 &lt;= X506, "Low",IF(W507 &lt;= Y507, "Medium", "High"))</f>
        <v>High</v>
      </c>
      <c r="AA508">
        <v>0.02</v>
      </c>
      <c r="AB508">
        <f>IF(Table1[[#This Row],[DiscountPct]]&gt;0.2,1,0)</f>
        <v>0</v>
      </c>
      <c r="AC508" s="6">
        <v>6</v>
      </c>
      <c r="AD508" s="8">
        <f>Table1[[#This Row],[UnitPrice]]*Table1[[#This Row],[Quantity]]</f>
        <v>15636.66</v>
      </c>
      <c r="AE508" s="8">
        <f>Table1[[#This Row],[UnitCost]]*Table1[[#This Row],[Quantity]]</f>
        <v>7990.62</v>
      </c>
      <c r="AF508" s="8">
        <f>Table1[[#This Row],[GrossRevenue]]-Table1[[#This Row],[CostOfGoods]]</f>
        <v>7646.04</v>
      </c>
      <c r="AG508" s="9">
        <f>IF(Table1[[#This Row],[GrossRevenue]]=0,0,Table1[[#This Row],[GrossProfit]]/Table1[[#This Row],[GrossRevenue]])</f>
        <v>0.48898166232430712</v>
      </c>
    </row>
    <row r="509" spans="1:33" hidden="1" x14ac:dyDescent="0.45">
      <c r="A509" t="s">
        <v>522</v>
      </c>
      <c r="C509" s="3">
        <v>45029</v>
      </c>
      <c r="D509" s="3">
        <f>YEAR(Table1[[#This Row],[OrderDate]]) * 100 + MONTH(Table1[[#This Row],[OrderDate]])</f>
        <v>202304</v>
      </c>
      <c r="E509" s="3">
        <f>_xlfn.MINIFS(Table1[OrderMonthKey],Table1[Country],Table1[[#This Row],[Country]])</f>
        <v>202301</v>
      </c>
      <c r="F509" s="3">
        <f>Table1[[#This Row],[CountryFirstMonthKey]]</f>
        <v>202301</v>
      </c>
      <c r="G509" s="3">
        <f>12*(INT(Table1[[#This Row],[OrderMonthKey]]/100)-INT(Table1[[#This Row],[CohortMonthKey]]/100)) + (MOD(Table1[[#This Row],[OrderMonthKey]],100)-MOD(Table1[[#This Row],[CohortMonthKey]],100))</f>
        <v>3</v>
      </c>
      <c r="H509" s="3" t="str">
        <f>TEXT(Table1[[#This Row],[OrderDate]],"MMM-YYYY")</f>
        <v>Apr-2023</v>
      </c>
      <c r="I509" s="3" t="str">
        <f t="shared" si="24"/>
        <v>Q4-2024</v>
      </c>
      <c r="J509" s="3" t="str">
        <f>IF(Table1[[#This Row],[LeadTimeDays]]&lt;=7,"Yes","No")</f>
        <v>Yes</v>
      </c>
      <c r="K509" s="3">
        <f>_xlfn.DAYS(Table1[[#This Row],[CorrectedRequiredDate]],Table1[[#This Row],[OrderDate]])</f>
        <v>7</v>
      </c>
      <c r="L509" s="3">
        <f>IF(Table1[[#This Row],[RequiredDate]]&lt;Table1[[#This Row],[OrderDate]],Table1[[#This Row],[OrderDate]],Table1[[#This Row],[RequiredDate]])</f>
        <v>45036</v>
      </c>
      <c r="M509" s="3">
        <v>45036</v>
      </c>
      <c r="N509" t="s">
        <v>649</v>
      </c>
      <c r="O509" t="s">
        <v>657</v>
      </c>
      <c r="P509" t="s">
        <v>679</v>
      </c>
      <c r="Q509" t="s">
        <v>705</v>
      </c>
      <c r="R509" t="s">
        <v>708</v>
      </c>
      <c r="S509" t="s">
        <v>720</v>
      </c>
      <c r="T509" t="s">
        <v>731</v>
      </c>
      <c r="U509" t="s">
        <v>1240</v>
      </c>
      <c r="V509" s="8">
        <v>227.02</v>
      </c>
      <c r="W509" s="8">
        <v>434.72</v>
      </c>
      <c r="X509" s="8">
        <f t="shared" si="25"/>
        <v>815.10700000000008</v>
      </c>
      <c r="Y509" s="8">
        <f t="shared" si="26"/>
        <v>1620.05</v>
      </c>
      <c r="AA509">
        <v>9.8000000000000004E-2</v>
      </c>
      <c r="AB509">
        <f>IF(Table1[[#This Row],[DiscountPct]]&gt;0.2,1,0)</f>
        <v>0</v>
      </c>
      <c r="AC509" s="6">
        <v>10</v>
      </c>
      <c r="AD509" s="8">
        <f>Table1[[#This Row],[UnitPrice]]*Table1[[#This Row],[Quantity]]</f>
        <v>4347.2000000000007</v>
      </c>
      <c r="AE509" s="8">
        <f>Table1[[#This Row],[UnitCost]]*Table1[[#This Row],[Quantity]]</f>
        <v>2270.2000000000003</v>
      </c>
      <c r="AF509" s="8">
        <f>Table1[[#This Row],[GrossRevenue]]-Table1[[#This Row],[CostOfGoods]]</f>
        <v>2077.0000000000005</v>
      </c>
      <c r="AG509" s="8">
        <f>IF(Table1[[#This Row],[GrossRevenue]]=0,0,Table1[[#This Row],[GrossProfit]]/Table1[[#This Row],[GrossRevenue]])</f>
        <v>0.47777880014722124</v>
      </c>
    </row>
    <row r="510" spans="1:33" x14ac:dyDescent="0.45">
      <c r="A510" t="s">
        <v>523</v>
      </c>
      <c r="B510">
        <v>1</v>
      </c>
      <c r="C510" s="3">
        <v>45608</v>
      </c>
      <c r="D510" s="6">
        <f>YEAR(Table1[[#This Row],[OrderDate]]) * 100 + MONTH(Table1[[#This Row],[OrderDate]])</f>
        <v>202411</v>
      </c>
      <c r="E510" s="6">
        <f>_xlfn.MINIFS(Table1[OrderMonthKey],Table1[Country],Table1[[#This Row],[Country]])</f>
        <v>202302</v>
      </c>
      <c r="F510" s="6">
        <f>Table1[[#This Row],[CountryFirstMonthKey]]</f>
        <v>202302</v>
      </c>
      <c r="G510" s="6">
        <f>12*(INT(Table1[[#This Row],[OrderMonthKey]]/100)-INT(Table1[[#This Row],[CohortMonthKey]]/100)) + (MOD(Table1[[#This Row],[OrderMonthKey]],100)-MOD(Table1[[#This Row],[CohortMonthKey]],100))</f>
        <v>21</v>
      </c>
      <c r="H510" s="3" t="str">
        <f>TEXT(Table1[[#This Row],[OrderDate]],"MMM-YYYY")</f>
        <v>Nov-2024</v>
      </c>
      <c r="I510" s="3" t="str">
        <f t="shared" si="24"/>
        <v>Q2-2023</v>
      </c>
      <c r="J510" s="26" t="str">
        <f>IF(Table1[[#This Row],[LeadTimeDays]]&lt;=7,"Yes","No")</f>
        <v>No</v>
      </c>
      <c r="K510" s="6">
        <f>_xlfn.DAYS(Table1[[#This Row],[CorrectedRequiredDate]],Table1[[#This Row],[OrderDate]])</f>
        <v>9</v>
      </c>
      <c r="L510" s="3">
        <f>IF(Table1[[#This Row],[RequiredDate]]&lt;Table1[[#This Row],[OrderDate]],Table1[[#This Row],[OrderDate]],Table1[[#This Row],[RequiredDate]])</f>
        <v>45617</v>
      </c>
      <c r="M510" s="3">
        <v>45617</v>
      </c>
      <c r="N510" t="s">
        <v>647</v>
      </c>
      <c r="O510" t="s">
        <v>654</v>
      </c>
      <c r="P510" t="s">
        <v>691</v>
      </c>
      <c r="Q510" t="s">
        <v>701</v>
      </c>
      <c r="R510" t="s">
        <v>711</v>
      </c>
      <c r="S510" t="s">
        <v>722</v>
      </c>
      <c r="T510" t="s">
        <v>731</v>
      </c>
      <c r="U510" t="s">
        <v>1241</v>
      </c>
      <c r="V510" s="8">
        <v>903.41</v>
      </c>
      <c r="W510" s="8">
        <v>1860.41</v>
      </c>
      <c r="X510" s="8">
        <f t="shared" si="25"/>
        <v>815.10700000000008</v>
      </c>
      <c r="Y510" s="8">
        <f t="shared" si="26"/>
        <v>1620.05</v>
      </c>
      <c r="Z510" s="8" t="str">
        <f>IF(W509 &lt;= X508, "Low",IF(W509 &lt;= Y509, "Medium", "High"))</f>
        <v>Low</v>
      </c>
      <c r="AA510">
        <v>0.108</v>
      </c>
      <c r="AB510">
        <f>IF(Table1[[#This Row],[DiscountPct]]&gt;0.2,1,0)</f>
        <v>0</v>
      </c>
      <c r="AC510" s="6">
        <v>5</v>
      </c>
      <c r="AD510" s="8">
        <f>Table1[[#This Row],[UnitPrice]]*Table1[[#This Row],[Quantity]]</f>
        <v>9302.0500000000011</v>
      </c>
      <c r="AE510" s="8">
        <f>Table1[[#This Row],[UnitCost]]*Table1[[#This Row],[Quantity]]</f>
        <v>4517.05</v>
      </c>
      <c r="AF510" s="8">
        <f>Table1[[#This Row],[GrossRevenue]]-Table1[[#This Row],[CostOfGoods]]</f>
        <v>4785.0000000000009</v>
      </c>
      <c r="AG510" s="9">
        <f>IF(Table1[[#This Row],[GrossRevenue]]=0,0,Table1[[#This Row],[GrossProfit]]/Table1[[#This Row],[GrossRevenue]])</f>
        <v>0.51440273918114832</v>
      </c>
    </row>
    <row r="511" spans="1:33" x14ac:dyDescent="0.45">
      <c r="A511" t="s">
        <v>524</v>
      </c>
      <c r="B511">
        <v>1</v>
      </c>
      <c r="C511" s="3">
        <v>45056</v>
      </c>
      <c r="D511" s="6">
        <f>YEAR(Table1[[#This Row],[OrderDate]]) * 100 + MONTH(Table1[[#This Row],[OrderDate]])</f>
        <v>202305</v>
      </c>
      <c r="E511" s="6">
        <f>_xlfn.MINIFS(Table1[OrderMonthKey],Table1[Country],Table1[[#This Row],[Country]])</f>
        <v>202302</v>
      </c>
      <c r="F511" s="6">
        <f>Table1[[#This Row],[CountryFirstMonthKey]]</f>
        <v>202302</v>
      </c>
      <c r="G511" s="6">
        <f>12*(INT(Table1[[#This Row],[OrderMonthKey]]/100)-INT(Table1[[#This Row],[CohortMonthKey]]/100)) + (MOD(Table1[[#This Row],[OrderMonthKey]],100)-MOD(Table1[[#This Row],[CohortMonthKey]],100))</f>
        <v>3</v>
      </c>
      <c r="H511" s="3" t="str">
        <f>TEXT(Table1[[#This Row],[OrderDate]],"MMM-YYYY")</f>
        <v>May-2023</v>
      </c>
      <c r="I511" s="3" t="str">
        <f t="shared" si="24"/>
        <v>Q4-2024</v>
      </c>
      <c r="J511" s="26" t="str">
        <f>IF(Table1[[#This Row],[LeadTimeDays]]&lt;=7,"Yes","No")</f>
        <v>Yes</v>
      </c>
      <c r="K511" s="6">
        <f>_xlfn.DAYS(Table1[[#This Row],[CorrectedRequiredDate]],Table1[[#This Row],[OrderDate]])</f>
        <v>4</v>
      </c>
      <c r="L511" s="3">
        <f>IF(Table1[[#This Row],[RequiredDate]]&lt;Table1[[#This Row],[OrderDate]],Table1[[#This Row],[OrderDate]],Table1[[#This Row],[RequiredDate]])</f>
        <v>45060</v>
      </c>
      <c r="M511" s="3">
        <v>45060</v>
      </c>
      <c r="N511" t="s">
        <v>647</v>
      </c>
      <c r="O511" t="s">
        <v>654</v>
      </c>
      <c r="P511" t="s">
        <v>680</v>
      </c>
      <c r="Q511" t="s">
        <v>703</v>
      </c>
      <c r="R511" t="s">
        <v>710</v>
      </c>
      <c r="S511" t="s">
        <v>712</v>
      </c>
      <c r="T511" t="s">
        <v>732</v>
      </c>
      <c r="U511" t="s">
        <v>1242</v>
      </c>
      <c r="V511" s="8">
        <v>622.6</v>
      </c>
      <c r="W511" s="8">
        <v>833.69</v>
      </c>
      <c r="X511" s="8">
        <f t="shared" si="25"/>
        <v>815.10700000000008</v>
      </c>
      <c r="Y511" s="8">
        <f t="shared" si="26"/>
        <v>1620.05</v>
      </c>
      <c r="Z511" s="8" t="str">
        <f>IF(W510 &lt;= X509, "Low",IF(W510 &lt;= Y510, "Medium", "High"))</f>
        <v>High</v>
      </c>
      <c r="AA511">
        <v>0.20899999999999999</v>
      </c>
      <c r="AB511">
        <f>IF(Table1[[#This Row],[DiscountPct]]&gt;0.2,1,0)</f>
        <v>1</v>
      </c>
      <c r="AC511" s="6">
        <v>14</v>
      </c>
      <c r="AD511" s="8">
        <f>Table1[[#This Row],[UnitPrice]]*Table1[[#This Row],[Quantity]]</f>
        <v>11671.66</v>
      </c>
      <c r="AE511" s="8">
        <f>Table1[[#This Row],[UnitCost]]*Table1[[#This Row],[Quantity]]</f>
        <v>8716.4</v>
      </c>
      <c r="AF511" s="8">
        <f>Table1[[#This Row],[GrossRevenue]]-Table1[[#This Row],[CostOfGoods]]</f>
        <v>2955.26</v>
      </c>
      <c r="AG511" s="9">
        <f>IF(Table1[[#This Row],[GrossRevenue]]=0,0,Table1[[#This Row],[GrossProfit]]/Table1[[#This Row],[GrossRevenue]])</f>
        <v>0.25319963055812117</v>
      </c>
    </row>
    <row r="512" spans="1:33" hidden="1" x14ac:dyDescent="0.45">
      <c r="A512" t="s">
        <v>525</v>
      </c>
      <c r="C512" s="3">
        <v>45353</v>
      </c>
      <c r="D512" s="3">
        <f>YEAR(Table1[[#This Row],[OrderDate]]) * 100 + MONTH(Table1[[#This Row],[OrderDate]])</f>
        <v>202403</v>
      </c>
      <c r="E512" s="3">
        <f>_xlfn.MINIFS(Table1[OrderMonthKey],Table1[Country],Table1[[#This Row],[Country]])</f>
        <v>202301</v>
      </c>
      <c r="F512" s="3">
        <f>Table1[[#This Row],[CountryFirstMonthKey]]</f>
        <v>202301</v>
      </c>
      <c r="G512" s="3">
        <f>12*(INT(Table1[[#This Row],[OrderMonthKey]]/100)-INT(Table1[[#This Row],[CohortMonthKey]]/100)) + (MOD(Table1[[#This Row],[OrderMonthKey]],100)-MOD(Table1[[#This Row],[CohortMonthKey]],100))</f>
        <v>14</v>
      </c>
      <c r="H512" s="3" t="str">
        <f>TEXT(Table1[[#This Row],[OrderDate]],"MMM-YYYY")</f>
        <v>Mar-2024</v>
      </c>
      <c r="I512" s="3" t="str">
        <f t="shared" si="24"/>
        <v>Q2-2023</v>
      </c>
      <c r="J512" s="3" t="str">
        <f>IF(Table1[[#This Row],[LeadTimeDays]]&lt;=7,"Yes","No")</f>
        <v>No</v>
      </c>
      <c r="K512" s="3">
        <f>_xlfn.DAYS(Table1[[#This Row],[CorrectedRequiredDate]],Table1[[#This Row],[OrderDate]])</f>
        <v>21</v>
      </c>
      <c r="L512" s="3">
        <f>IF(Table1[[#This Row],[RequiredDate]]&lt;Table1[[#This Row],[OrderDate]],Table1[[#This Row],[OrderDate]],Table1[[#This Row],[RequiredDate]])</f>
        <v>45374</v>
      </c>
      <c r="M512" s="3">
        <v>45374</v>
      </c>
      <c r="N512" t="s">
        <v>648</v>
      </c>
      <c r="O512" t="s">
        <v>660</v>
      </c>
      <c r="P512" t="s">
        <v>677</v>
      </c>
      <c r="Q512" t="s">
        <v>705</v>
      </c>
      <c r="R512" t="s">
        <v>708</v>
      </c>
      <c r="S512" t="s">
        <v>721</v>
      </c>
      <c r="T512" t="s">
        <v>727</v>
      </c>
      <c r="U512" t="s">
        <v>1243</v>
      </c>
      <c r="V512" s="8">
        <v>225.01</v>
      </c>
      <c r="W512" s="8">
        <v>333.48</v>
      </c>
      <c r="X512" s="8">
        <f t="shared" si="25"/>
        <v>815.10700000000008</v>
      </c>
      <c r="Y512" s="8">
        <f t="shared" si="26"/>
        <v>1620.05</v>
      </c>
      <c r="AA512">
        <v>0.11899999999999999</v>
      </c>
      <c r="AB512">
        <f>IF(Table1[[#This Row],[DiscountPct]]&gt;0.2,1,0)</f>
        <v>0</v>
      </c>
      <c r="AC512" s="6">
        <v>12</v>
      </c>
      <c r="AD512" s="8">
        <f>Table1[[#This Row],[UnitPrice]]*Table1[[#This Row],[Quantity]]</f>
        <v>4001.76</v>
      </c>
      <c r="AE512" s="8">
        <f>Table1[[#This Row],[UnitCost]]*Table1[[#This Row],[Quantity]]</f>
        <v>2700.12</v>
      </c>
      <c r="AF512" s="8">
        <f>Table1[[#This Row],[GrossRevenue]]-Table1[[#This Row],[CostOfGoods]]</f>
        <v>1301.6400000000003</v>
      </c>
      <c r="AG512" s="8">
        <f>IF(Table1[[#This Row],[GrossRevenue]]=0,0,Table1[[#This Row],[GrossProfit]]/Table1[[#This Row],[GrossRevenue]])</f>
        <v>0.32526688257166853</v>
      </c>
    </row>
    <row r="513" spans="1:33" x14ac:dyDescent="0.45">
      <c r="A513" t="s">
        <v>526</v>
      </c>
      <c r="B513">
        <v>1</v>
      </c>
      <c r="C513" s="3">
        <v>45575</v>
      </c>
      <c r="D513" s="6">
        <f>YEAR(Table1[[#This Row],[OrderDate]]) * 100 + MONTH(Table1[[#This Row],[OrderDate]])</f>
        <v>202410</v>
      </c>
      <c r="E513" s="6">
        <f>_xlfn.MINIFS(Table1[OrderMonthKey],Table1[Country],Table1[[#This Row],[Country]])</f>
        <v>202301</v>
      </c>
      <c r="F513" s="6">
        <f>Table1[[#This Row],[CountryFirstMonthKey]]</f>
        <v>202301</v>
      </c>
      <c r="G513" s="6">
        <f>12*(INT(Table1[[#This Row],[OrderMonthKey]]/100)-INT(Table1[[#This Row],[CohortMonthKey]]/100)) + (MOD(Table1[[#This Row],[OrderMonthKey]],100)-MOD(Table1[[#This Row],[CohortMonthKey]],100))</f>
        <v>21</v>
      </c>
      <c r="H513" s="3" t="str">
        <f>TEXT(Table1[[#This Row],[OrderDate]],"MMM-YYYY")</f>
        <v>Oct-2024</v>
      </c>
      <c r="I513" s="3" t="str">
        <f t="shared" si="24"/>
        <v>Q1-2024</v>
      </c>
      <c r="J513" s="26" t="str">
        <f>IF(Table1[[#This Row],[LeadTimeDays]]&lt;=7,"Yes","No")</f>
        <v>Yes</v>
      </c>
      <c r="K513" s="6">
        <f>_xlfn.DAYS(Table1[[#This Row],[CorrectedRequiredDate]],Table1[[#This Row],[OrderDate]])</f>
        <v>1</v>
      </c>
      <c r="L513" s="3">
        <f>IF(Table1[[#This Row],[RequiredDate]]&lt;Table1[[#This Row],[OrderDate]],Table1[[#This Row],[OrderDate]],Table1[[#This Row],[RequiredDate]])</f>
        <v>45576</v>
      </c>
      <c r="M513" s="3">
        <v>45576</v>
      </c>
      <c r="N513" t="s">
        <v>649</v>
      </c>
      <c r="O513" t="s">
        <v>658</v>
      </c>
      <c r="P513" t="s">
        <v>693</v>
      </c>
      <c r="Q513" t="s">
        <v>703</v>
      </c>
      <c r="R513" t="s">
        <v>710</v>
      </c>
      <c r="S513" t="s">
        <v>716</v>
      </c>
      <c r="T513" t="s">
        <v>727</v>
      </c>
      <c r="U513" t="s">
        <v>1244</v>
      </c>
      <c r="V513" s="8">
        <v>1389.46</v>
      </c>
      <c r="W513" s="8">
        <v>1784.7</v>
      </c>
      <c r="X513" s="8">
        <f t="shared" si="25"/>
        <v>815.10700000000008</v>
      </c>
      <c r="Y513" s="8">
        <f t="shared" si="26"/>
        <v>1620.05</v>
      </c>
      <c r="Z513" s="8" t="str">
        <f>IF(W512 &lt;= X511, "Low",IF(W512 &lt;= Y512, "Medium", "High"))</f>
        <v>Low</v>
      </c>
      <c r="AA513">
        <v>0.14599999999999999</v>
      </c>
      <c r="AB513">
        <f>IF(Table1[[#This Row],[DiscountPct]]&gt;0.2,1,0)</f>
        <v>0</v>
      </c>
      <c r="AC513" s="6">
        <v>33</v>
      </c>
      <c r="AD513" s="8">
        <f>Table1[[#This Row],[UnitPrice]]*Table1[[#This Row],[Quantity]]</f>
        <v>58895.1</v>
      </c>
      <c r="AE513" s="8">
        <f>Table1[[#This Row],[UnitCost]]*Table1[[#This Row],[Quantity]]</f>
        <v>45852.18</v>
      </c>
      <c r="AF513" s="8">
        <f>Table1[[#This Row],[GrossRevenue]]-Table1[[#This Row],[CostOfGoods]]</f>
        <v>13042.919999999998</v>
      </c>
      <c r="AG513" s="9">
        <f>IF(Table1[[#This Row],[GrossRevenue]]=0,0,Table1[[#This Row],[GrossProfit]]/Table1[[#This Row],[GrossRevenue]])</f>
        <v>0.22146018938757212</v>
      </c>
    </row>
    <row r="514" spans="1:33" hidden="1" x14ac:dyDescent="0.45">
      <c r="A514" t="s">
        <v>527</v>
      </c>
      <c r="C514" s="3">
        <v>45078</v>
      </c>
      <c r="D514" s="3">
        <f>YEAR(Table1[[#This Row],[OrderDate]]) * 100 + MONTH(Table1[[#This Row],[OrderDate]])</f>
        <v>202306</v>
      </c>
      <c r="E514" s="3">
        <f>_xlfn.MINIFS(Table1[OrderMonthKey],Table1[Country],Table1[[#This Row],[Country]])</f>
        <v>202301</v>
      </c>
      <c r="F514" s="3">
        <f>Table1[[#This Row],[CountryFirstMonthKey]]</f>
        <v>202301</v>
      </c>
      <c r="G514" s="3">
        <f>12*(INT(Table1[[#This Row],[OrderMonthKey]]/100)-INT(Table1[[#This Row],[CohortMonthKey]]/100)) + (MOD(Table1[[#This Row],[OrderMonthKey]],100)-MOD(Table1[[#This Row],[CohortMonthKey]],100))</f>
        <v>5</v>
      </c>
      <c r="H514" s="3" t="str">
        <f>TEXT(Table1[[#This Row],[OrderDate]],"MMM-YYYY")</f>
        <v>Jun-2023</v>
      </c>
      <c r="I514" s="3" t="str">
        <f t="shared" ref="I514:I577" si="28">"Q" &amp; ROUNDUP(MONTH(C513)/3,0) &amp; "-" &amp; YEAR(C513)</f>
        <v>Q4-2024</v>
      </c>
      <c r="J514" s="3" t="str">
        <f>IF(Table1[[#This Row],[LeadTimeDays]]&lt;=7,"Yes","No")</f>
        <v>Yes</v>
      </c>
      <c r="K514" s="3">
        <f>_xlfn.DAYS(Table1[[#This Row],[CorrectedRequiredDate]],Table1[[#This Row],[OrderDate]])</f>
        <v>7</v>
      </c>
      <c r="L514" s="3">
        <f>IF(Table1[[#This Row],[RequiredDate]]&lt;Table1[[#This Row],[OrderDate]],Table1[[#This Row],[OrderDate]],Table1[[#This Row],[RequiredDate]])</f>
        <v>45085</v>
      </c>
      <c r="M514" s="3">
        <v>45085</v>
      </c>
      <c r="N514" t="s">
        <v>649</v>
      </c>
      <c r="O514" t="s">
        <v>656</v>
      </c>
      <c r="P514" t="s">
        <v>698</v>
      </c>
      <c r="Q514" t="s">
        <v>704</v>
      </c>
      <c r="R514" t="s">
        <v>708</v>
      </c>
      <c r="S514" t="s">
        <v>720</v>
      </c>
      <c r="T514" t="s">
        <v>730</v>
      </c>
      <c r="U514" t="s">
        <v>1245</v>
      </c>
      <c r="V514" s="8">
        <v>804.17</v>
      </c>
      <c r="W514" s="8">
        <v>1072.29</v>
      </c>
      <c r="X514" s="8">
        <f t="shared" ref="X514:X577" si="29">_xlfn.PERCENTILE.INC(W:W, 0.33)</f>
        <v>815.10700000000008</v>
      </c>
      <c r="Y514" s="8">
        <f t="shared" ref="Y514:Y577" si="30">_xlfn.PERCENTILE.INC(W:W, 0.66)</f>
        <v>1620.05</v>
      </c>
      <c r="AA514">
        <v>3.2000000000000001E-2</v>
      </c>
      <c r="AB514">
        <f>IF(Table1[[#This Row],[DiscountPct]]&gt;0.2,1,0)</f>
        <v>0</v>
      </c>
      <c r="AC514" s="6">
        <v>5</v>
      </c>
      <c r="AD514" s="8">
        <f>Table1[[#This Row],[UnitPrice]]*Table1[[#This Row],[Quantity]]</f>
        <v>5361.45</v>
      </c>
      <c r="AE514" s="8">
        <f>Table1[[#This Row],[UnitCost]]*Table1[[#This Row],[Quantity]]</f>
        <v>4020.85</v>
      </c>
      <c r="AF514" s="8">
        <f>Table1[[#This Row],[GrossRevenue]]-Table1[[#This Row],[CostOfGoods]]</f>
        <v>1340.6</v>
      </c>
      <c r="AG514" s="8">
        <f>IF(Table1[[#This Row],[GrossRevenue]]=0,0,Table1[[#This Row],[GrossProfit]]/Table1[[#This Row],[GrossRevenue]])</f>
        <v>0.2500442977179681</v>
      </c>
    </row>
    <row r="515" spans="1:33" x14ac:dyDescent="0.45">
      <c r="A515" t="s">
        <v>528</v>
      </c>
      <c r="B515">
        <v>1</v>
      </c>
      <c r="C515" s="3">
        <v>45661</v>
      </c>
      <c r="D515" s="6">
        <f>YEAR(Table1[[#This Row],[OrderDate]]) * 100 + MONTH(Table1[[#This Row],[OrderDate]])</f>
        <v>202501</v>
      </c>
      <c r="E515" s="6">
        <f>_xlfn.MINIFS(Table1[OrderMonthKey],Table1[Country],Table1[[#This Row],[Country]])</f>
        <v>202302</v>
      </c>
      <c r="F515" s="6">
        <f>Table1[[#This Row],[CountryFirstMonthKey]]</f>
        <v>202302</v>
      </c>
      <c r="G515" s="6">
        <f>12*(INT(Table1[[#This Row],[OrderMonthKey]]/100)-INT(Table1[[#This Row],[CohortMonthKey]]/100)) + (MOD(Table1[[#This Row],[OrderMonthKey]],100)-MOD(Table1[[#This Row],[CohortMonthKey]],100))</f>
        <v>23</v>
      </c>
      <c r="H515" s="3" t="str">
        <f>TEXT(Table1[[#This Row],[OrderDate]],"MMM-YYYY")</f>
        <v>Jan-2025</v>
      </c>
      <c r="I515" s="3" t="str">
        <f t="shared" si="28"/>
        <v>Q2-2023</v>
      </c>
      <c r="J515" s="26" t="str">
        <f>IF(Table1[[#This Row],[LeadTimeDays]]&lt;=7,"Yes","No")</f>
        <v>Yes</v>
      </c>
      <c r="K515" s="6">
        <f>_xlfn.DAYS(Table1[[#This Row],[CorrectedRequiredDate]],Table1[[#This Row],[OrderDate]])</f>
        <v>1</v>
      </c>
      <c r="L515" s="3">
        <f>IF(Table1[[#This Row],[RequiredDate]]&lt;Table1[[#This Row],[OrderDate]],Table1[[#This Row],[OrderDate]],Table1[[#This Row],[RequiredDate]])</f>
        <v>45662</v>
      </c>
      <c r="M515" s="3">
        <v>45662</v>
      </c>
      <c r="N515" t="s">
        <v>647</v>
      </c>
      <c r="O515" t="s">
        <v>654</v>
      </c>
      <c r="P515" t="s">
        <v>680</v>
      </c>
      <c r="Q515" t="s">
        <v>702</v>
      </c>
      <c r="R515" t="s">
        <v>707</v>
      </c>
      <c r="S515" t="s">
        <v>714</v>
      </c>
      <c r="T515" t="s">
        <v>727</v>
      </c>
      <c r="U515" t="s">
        <v>1246</v>
      </c>
      <c r="V515" s="8">
        <v>1428.33</v>
      </c>
      <c r="W515" s="8">
        <v>3028.05</v>
      </c>
      <c r="X515" s="8">
        <f t="shared" si="29"/>
        <v>815.10700000000008</v>
      </c>
      <c r="Y515" s="8">
        <f t="shared" si="30"/>
        <v>1620.05</v>
      </c>
      <c r="Z515" s="8" t="str">
        <f>IF(W514 &lt;= X513, "Low",IF(W514 &lt;= Y514, "Medium", "High"))</f>
        <v>Medium</v>
      </c>
      <c r="AA515">
        <v>0</v>
      </c>
      <c r="AB515">
        <f>IF(Table1[[#This Row],[DiscountPct]]&gt;0.2,1,0)</f>
        <v>0</v>
      </c>
      <c r="AC515" s="6">
        <v>11</v>
      </c>
      <c r="AD515" s="8">
        <f>Table1[[#This Row],[UnitPrice]]*Table1[[#This Row],[Quantity]]</f>
        <v>33308.550000000003</v>
      </c>
      <c r="AE515" s="8">
        <f>Table1[[#This Row],[UnitCost]]*Table1[[#This Row],[Quantity]]</f>
        <v>15711.63</v>
      </c>
      <c r="AF515" s="8">
        <f>Table1[[#This Row],[GrossRevenue]]-Table1[[#This Row],[CostOfGoods]]</f>
        <v>17596.920000000006</v>
      </c>
      <c r="AG515" s="9">
        <f>IF(Table1[[#This Row],[GrossRevenue]]=0,0,Table1[[#This Row],[GrossProfit]]/Table1[[#This Row],[GrossRevenue]])</f>
        <v>0.52830039134096207</v>
      </c>
    </row>
    <row r="516" spans="1:33" x14ac:dyDescent="0.45">
      <c r="A516" t="s">
        <v>529</v>
      </c>
      <c r="B516">
        <v>1</v>
      </c>
      <c r="C516" s="3">
        <v>45874</v>
      </c>
      <c r="D516" s="6">
        <f>YEAR(Table1[[#This Row],[OrderDate]]) * 100 + MONTH(Table1[[#This Row],[OrderDate]])</f>
        <v>202508</v>
      </c>
      <c r="E516" s="6">
        <f>_xlfn.MINIFS(Table1[OrderMonthKey],Table1[Country],Table1[[#This Row],[Country]])</f>
        <v>202302</v>
      </c>
      <c r="F516" s="6">
        <f>Table1[[#This Row],[CountryFirstMonthKey]]</f>
        <v>202302</v>
      </c>
      <c r="G516" s="6">
        <f>12*(INT(Table1[[#This Row],[OrderMonthKey]]/100)-INT(Table1[[#This Row],[CohortMonthKey]]/100)) + (MOD(Table1[[#This Row],[OrderMonthKey]],100)-MOD(Table1[[#This Row],[CohortMonthKey]],100))</f>
        <v>30</v>
      </c>
      <c r="H516" s="3" t="str">
        <f>TEXT(Table1[[#This Row],[OrderDate]],"MMM-YYYY")</f>
        <v>Aug-2025</v>
      </c>
      <c r="I516" s="3" t="str">
        <f t="shared" si="28"/>
        <v>Q1-2025</v>
      </c>
      <c r="J516" s="26" t="str">
        <f>IF(Table1[[#This Row],[LeadTimeDays]]&lt;=7,"Yes","No")</f>
        <v>No</v>
      </c>
      <c r="K516" s="6">
        <f>_xlfn.DAYS(Table1[[#This Row],[CorrectedRequiredDate]],Table1[[#This Row],[OrderDate]])</f>
        <v>23</v>
      </c>
      <c r="L516" s="3">
        <f>IF(Table1[[#This Row],[RequiredDate]]&lt;Table1[[#This Row],[OrderDate]],Table1[[#This Row],[OrderDate]],Table1[[#This Row],[RequiredDate]])</f>
        <v>45897</v>
      </c>
      <c r="M516" s="3">
        <v>45897</v>
      </c>
      <c r="N516" t="s">
        <v>647</v>
      </c>
      <c r="O516" t="s">
        <v>654</v>
      </c>
      <c r="P516" t="s">
        <v>691</v>
      </c>
      <c r="Q516" t="s">
        <v>703</v>
      </c>
      <c r="R516" t="s">
        <v>710</v>
      </c>
      <c r="S516" t="s">
        <v>725</v>
      </c>
      <c r="T516" t="s">
        <v>731</v>
      </c>
      <c r="U516" t="s">
        <v>1247</v>
      </c>
      <c r="V516" s="8">
        <v>638.54</v>
      </c>
      <c r="W516" s="8">
        <v>987.24</v>
      </c>
      <c r="X516" s="8">
        <f t="shared" si="29"/>
        <v>815.10700000000008</v>
      </c>
      <c r="Y516" s="8">
        <f t="shared" si="30"/>
        <v>1620.05</v>
      </c>
      <c r="Z516" s="8" t="str">
        <f>IF(W515 &lt;= X514, "Low",IF(W515 &lt;= Y515, "Medium", "High"))</f>
        <v>High</v>
      </c>
      <c r="AA516">
        <v>0</v>
      </c>
      <c r="AB516">
        <f>IF(Table1[[#This Row],[DiscountPct]]&gt;0.2,1,0)</f>
        <v>0</v>
      </c>
      <c r="AC516" s="6">
        <v>11</v>
      </c>
      <c r="AD516" s="8">
        <f>Table1[[#This Row],[UnitPrice]]*Table1[[#This Row],[Quantity]]</f>
        <v>10859.64</v>
      </c>
      <c r="AE516" s="8">
        <f>Table1[[#This Row],[UnitCost]]*Table1[[#This Row],[Quantity]]</f>
        <v>7023.94</v>
      </c>
      <c r="AF516" s="8">
        <f>Table1[[#This Row],[GrossRevenue]]-Table1[[#This Row],[CostOfGoods]]</f>
        <v>3835.7</v>
      </c>
      <c r="AG516" s="9">
        <f>IF(Table1[[#This Row],[GrossRevenue]]=0,0,Table1[[#This Row],[GrossProfit]]/Table1[[#This Row],[GrossRevenue]])</f>
        <v>0.35320692030306716</v>
      </c>
    </row>
    <row r="517" spans="1:33" hidden="1" x14ac:dyDescent="0.45">
      <c r="A517" t="s">
        <v>530</v>
      </c>
      <c r="C517" s="3">
        <v>45199</v>
      </c>
      <c r="D517" s="3">
        <f>YEAR(Table1[[#This Row],[OrderDate]]) * 100 + MONTH(Table1[[#This Row],[OrderDate]])</f>
        <v>202309</v>
      </c>
      <c r="E517" s="3">
        <f>_xlfn.MINIFS(Table1[OrderMonthKey],Table1[Country],Table1[[#This Row],[Country]])</f>
        <v>202303</v>
      </c>
      <c r="F517" s="3">
        <f>Table1[[#This Row],[CountryFirstMonthKey]]</f>
        <v>202303</v>
      </c>
      <c r="G517" s="3">
        <f>12*(INT(Table1[[#This Row],[OrderMonthKey]]/100)-INT(Table1[[#This Row],[CohortMonthKey]]/100)) + (MOD(Table1[[#This Row],[OrderMonthKey]],100)-MOD(Table1[[#This Row],[CohortMonthKey]],100))</f>
        <v>6</v>
      </c>
      <c r="H517" s="3" t="str">
        <f>TEXT(Table1[[#This Row],[OrderDate]],"MMM-YYYY")</f>
        <v>Sep-2023</v>
      </c>
      <c r="I517" s="3" t="str">
        <f t="shared" si="28"/>
        <v>Q3-2025</v>
      </c>
      <c r="J517" s="3" t="str">
        <f>IF(Table1[[#This Row],[LeadTimeDays]]&lt;=7,"Yes","No")</f>
        <v>No</v>
      </c>
      <c r="K517" s="3">
        <f>_xlfn.DAYS(Table1[[#This Row],[CorrectedRequiredDate]],Table1[[#This Row],[OrderDate]])</f>
        <v>30</v>
      </c>
      <c r="L517" s="3">
        <f>IF(Table1[[#This Row],[RequiredDate]]&lt;Table1[[#This Row],[OrderDate]],Table1[[#This Row],[OrderDate]],Table1[[#This Row],[RequiredDate]])</f>
        <v>45229</v>
      </c>
      <c r="M517" s="3">
        <v>45229</v>
      </c>
      <c r="N517" t="s">
        <v>647</v>
      </c>
      <c r="O517" t="s">
        <v>652</v>
      </c>
      <c r="P517" t="s">
        <v>689</v>
      </c>
      <c r="Q517" t="s">
        <v>706</v>
      </c>
      <c r="R517" t="s">
        <v>708</v>
      </c>
      <c r="S517" t="s">
        <v>726</v>
      </c>
      <c r="T517" t="s">
        <v>728</v>
      </c>
      <c r="U517" t="s">
        <v>1248</v>
      </c>
      <c r="V517" s="8">
        <v>649.13</v>
      </c>
      <c r="W517" s="8">
        <v>975.43</v>
      </c>
      <c r="X517" s="8">
        <f t="shared" si="29"/>
        <v>815.10700000000008</v>
      </c>
      <c r="Y517" s="8">
        <f t="shared" si="30"/>
        <v>1620.05</v>
      </c>
      <c r="AA517">
        <v>0.157</v>
      </c>
      <c r="AB517">
        <f>IF(Table1[[#This Row],[DiscountPct]]&gt;0.2,1,0)</f>
        <v>0</v>
      </c>
      <c r="AC517" s="6">
        <v>27</v>
      </c>
      <c r="AD517" s="8">
        <f>Table1[[#This Row],[UnitPrice]]*Table1[[#This Row],[Quantity]]</f>
        <v>26336.609999999997</v>
      </c>
      <c r="AE517" s="8">
        <f>Table1[[#This Row],[UnitCost]]*Table1[[#This Row],[Quantity]]</f>
        <v>17526.509999999998</v>
      </c>
      <c r="AF517" s="8">
        <f>Table1[[#This Row],[GrossRevenue]]-Table1[[#This Row],[CostOfGoods]]</f>
        <v>8810.0999999999985</v>
      </c>
      <c r="AG517" s="8">
        <f>IF(Table1[[#This Row],[GrossRevenue]]=0,0,Table1[[#This Row],[GrossProfit]]/Table1[[#This Row],[GrossRevenue]])</f>
        <v>0.33451913515065151</v>
      </c>
    </row>
    <row r="518" spans="1:33" x14ac:dyDescent="0.45">
      <c r="A518" t="s">
        <v>531</v>
      </c>
      <c r="B518">
        <v>1</v>
      </c>
      <c r="C518" s="3">
        <v>45794</v>
      </c>
      <c r="D518" s="6">
        <f>YEAR(Table1[[#This Row],[OrderDate]]) * 100 + MONTH(Table1[[#This Row],[OrderDate]])</f>
        <v>202505</v>
      </c>
      <c r="E518" s="6">
        <f>_xlfn.MINIFS(Table1[OrderMonthKey],Table1[Country],Table1[[#This Row],[Country]])</f>
        <v>202301</v>
      </c>
      <c r="F518" s="6">
        <f>Table1[[#This Row],[CountryFirstMonthKey]]</f>
        <v>202301</v>
      </c>
      <c r="G518" s="6">
        <f>12*(INT(Table1[[#This Row],[OrderMonthKey]]/100)-INT(Table1[[#This Row],[CohortMonthKey]]/100)) + (MOD(Table1[[#This Row],[OrderMonthKey]],100)-MOD(Table1[[#This Row],[CohortMonthKey]],100))</f>
        <v>28</v>
      </c>
      <c r="H518" s="3" t="str">
        <f>TEXT(Table1[[#This Row],[OrderDate]],"MMM-YYYY")</f>
        <v>May-2025</v>
      </c>
      <c r="I518" s="3" t="str">
        <f t="shared" si="28"/>
        <v>Q3-2023</v>
      </c>
      <c r="J518" s="26" t="str">
        <f>IF(Table1[[#This Row],[LeadTimeDays]]&lt;=7,"Yes","No")</f>
        <v>No</v>
      </c>
      <c r="K518" s="6">
        <f>_xlfn.DAYS(Table1[[#This Row],[CorrectedRequiredDate]],Table1[[#This Row],[OrderDate]])</f>
        <v>13</v>
      </c>
      <c r="L518" s="3">
        <f>IF(Table1[[#This Row],[RequiredDate]]&lt;Table1[[#This Row],[OrderDate]],Table1[[#This Row],[OrderDate]],Table1[[#This Row],[RequiredDate]])</f>
        <v>45807</v>
      </c>
      <c r="M518" s="3">
        <v>45807</v>
      </c>
      <c r="N518" t="s">
        <v>646</v>
      </c>
      <c r="O518" t="s">
        <v>651</v>
      </c>
      <c r="P518" t="s">
        <v>665</v>
      </c>
      <c r="Q518" t="s">
        <v>704</v>
      </c>
      <c r="R518" t="s">
        <v>710</v>
      </c>
      <c r="S518" t="s">
        <v>721</v>
      </c>
      <c r="T518" t="s">
        <v>733</v>
      </c>
      <c r="U518" t="s">
        <v>1249</v>
      </c>
      <c r="V518" s="8">
        <v>66.400000000000006</v>
      </c>
      <c r="W518" s="8">
        <v>141.43</v>
      </c>
      <c r="X518" s="8">
        <f t="shared" si="29"/>
        <v>815.10700000000008</v>
      </c>
      <c r="Y518" s="8">
        <f t="shared" si="30"/>
        <v>1620.05</v>
      </c>
      <c r="Z518" s="8" t="str">
        <f>IF(W517 &lt;= X516, "Low",IF(W517 &lt;= Y517, "Medium", "High"))</f>
        <v>Medium</v>
      </c>
      <c r="AA518">
        <v>0.107</v>
      </c>
      <c r="AB518">
        <f>IF(Table1[[#This Row],[DiscountPct]]&gt;0.2,1,0)</f>
        <v>0</v>
      </c>
      <c r="AC518" s="6">
        <v>8</v>
      </c>
      <c r="AD518" s="8">
        <f>Table1[[#This Row],[UnitPrice]]*Table1[[#This Row],[Quantity]]</f>
        <v>1131.44</v>
      </c>
      <c r="AE518" s="8">
        <f>Table1[[#This Row],[UnitCost]]*Table1[[#This Row],[Quantity]]</f>
        <v>531.20000000000005</v>
      </c>
      <c r="AF518" s="8">
        <f>Table1[[#This Row],[GrossRevenue]]-Table1[[#This Row],[CostOfGoods]]</f>
        <v>600.24</v>
      </c>
      <c r="AG518" s="9">
        <f>IF(Table1[[#This Row],[GrossRevenue]]=0,0,Table1[[#This Row],[GrossProfit]]/Table1[[#This Row],[GrossRevenue]])</f>
        <v>0.53050979283037547</v>
      </c>
    </row>
    <row r="519" spans="1:33" hidden="1" x14ac:dyDescent="0.45">
      <c r="A519" t="s">
        <v>532</v>
      </c>
      <c r="C519" s="3">
        <v>45413</v>
      </c>
      <c r="D519" s="3">
        <f>YEAR(Table1[[#This Row],[OrderDate]]) * 100 + MONTH(Table1[[#This Row],[OrderDate]])</f>
        <v>202405</v>
      </c>
      <c r="E519" s="3">
        <f>_xlfn.MINIFS(Table1[OrderMonthKey],Table1[Country],Table1[[#This Row],[Country]])</f>
        <v>202301</v>
      </c>
      <c r="F519" s="3">
        <f>Table1[[#This Row],[CountryFirstMonthKey]]</f>
        <v>202301</v>
      </c>
      <c r="G519" s="3">
        <f>12*(INT(Table1[[#This Row],[OrderMonthKey]]/100)-INT(Table1[[#This Row],[CohortMonthKey]]/100)) + (MOD(Table1[[#This Row],[OrderMonthKey]],100)-MOD(Table1[[#This Row],[CohortMonthKey]],100))</f>
        <v>16</v>
      </c>
      <c r="H519" s="3" t="str">
        <f>TEXT(Table1[[#This Row],[OrderDate]],"MMM-YYYY")</f>
        <v>May-2024</v>
      </c>
      <c r="I519" s="3" t="str">
        <f t="shared" si="28"/>
        <v>Q2-2025</v>
      </c>
      <c r="J519" s="3" t="str">
        <f>IF(Table1[[#This Row],[LeadTimeDays]]&lt;=7,"Yes","No")</f>
        <v>No</v>
      </c>
      <c r="K519" s="3">
        <f>_xlfn.DAYS(Table1[[#This Row],[CorrectedRequiredDate]],Table1[[#This Row],[OrderDate]])</f>
        <v>25</v>
      </c>
      <c r="L519" s="3">
        <f>IF(Table1[[#This Row],[RequiredDate]]&lt;Table1[[#This Row],[OrderDate]],Table1[[#This Row],[OrderDate]],Table1[[#This Row],[RequiredDate]])</f>
        <v>45438</v>
      </c>
      <c r="M519" s="3">
        <v>45438</v>
      </c>
      <c r="N519" t="s">
        <v>649</v>
      </c>
      <c r="O519" t="s">
        <v>656</v>
      </c>
      <c r="P519" t="s">
        <v>671</v>
      </c>
      <c r="Q519" t="s">
        <v>703</v>
      </c>
      <c r="R519" t="s">
        <v>707</v>
      </c>
      <c r="S519" t="s">
        <v>717</v>
      </c>
      <c r="T519" t="s">
        <v>729</v>
      </c>
      <c r="U519" t="s">
        <v>1250</v>
      </c>
      <c r="V519" s="8">
        <v>930.71</v>
      </c>
      <c r="W519" s="8">
        <v>1625.42</v>
      </c>
      <c r="X519" s="8">
        <f t="shared" si="29"/>
        <v>815.10700000000008</v>
      </c>
      <c r="Y519" s="8">
        <f t="shared" si="30"/>
        <v>1620.05</v>
      </c>
      <c r="AA519">
        <v>0.13800000000000001</v>
      </c>
      <c r="AB519">
        <f>IF(Table1[[#This Row],[DiscountPct]]&gt;0.2,1,0)</f>
        <v>0</v>
      </c>
      <c r="AC519" s="6">
        <v>7</v>
      </c>
      <c r="AD519" s="8">
        <f>Table1[[#This Row],[UnitPrice]]*Table1[[#This Row],[Quantity]]</f>
        <v>11377.94</v>
      </c>
      <c r="AE519" s="8">
        <f>Table1[[#This Row],[UnitCost]]*Table1[[#This Row],[Quantity]]</f>
        <v>6514.97</v>
      </c>
      <c r="AF519" s="8">
        <f>Table1[[#This Row],[GrossRevenue]]-Table1[[#This Row],[CostOfGoods]]</f>
        <v>4862.97</v>
      </c>
      <c r="AG519" s="8">
        <f>IF(Table1[[#This Row],[GrossRevenue]]=0,0,Table1[[#This Row],[GrossProfit]]/Table1[[#This Row],[GrossRevenue]])</f>
        <v>0.42740337881901291</v>
      </c>
    </row>
    <row r="520" spans="1:33" x14ac:dyDescent="0.45">
      <c r="A520" t="s">
        <v>533</v>
      </c>
      <c r="B520">
        <v>1</v>
      </c>
      <c r="C520" s="3">
        <v>45047</v>
      </c>
      <c r="D520" s="6">
        <f>YEAR(Table1[[#This Row],[OrderDate]]) * 100 + MONTH(Table1[[#This Row],[OrderDate]])</f>
        <v>202305</v>
      </c>
      <c r="E520" s="6">
        <f>_xlfn.MINIFS(Table1[OrderMonthKey],Table1[Country],Table1[[#This Row],[Country]])</f>
        <v>202301</v>
      </c>
      <c r="F520" s="6">
        <f>Table1[[#This Row],[CountryFirstMonthKey]]</f>
        <v>202301</v>
      </c>
      <c r="G520" s="6">
        <f>12*(INT(Table1[[#This Row],[OrderMonthKey]]/100)-INT(Table1[[#This Row],[CohortMonthKey]]/100)) + (MOD(Table1[[#This Row],[OrderMonthKey]],100)-MOD(Table1[[#This Row],[CohortMonthKey]],100))</f>
        <v>4</v>
      </c>
      <c r="H520" s="3" t="str">
        <f>TEXT(Table1[[#This Row],[OrderDate]],"MMM-YYYY")</f>
        <v>May-2023</v>
      </c>
      <c r="I520" s="3" t="str">
        <f t="shared" si="28"/>
        <v>Q2-2024</v>
      </c>
      <c r="J520" s="26" t="str">
        <f>IF(Table1[[#This Row],[LeadTimeDays]]&lt;=7,"Yes","No")</f>
        <v>No</v>
      </c>
      <c r="K520" s="6">
        <f>_xlfn.DAYS(Table1[[#This Row],[CorrectedRequiredDate]],Table1[[#This Row],[OrderDate]])</f>
        <v>17</v>
      </c>
      <c r="L520" s="3">
        <f>IF(Table1[[#This Row],[RequiredDate]]&lt;Table1[[#This Row],[OrderDate]],Table1[[#This Row],[OrderDate]],Table1[[#This Row],[RequiredDate]])</f>
        <v>45064</v>
      </c>
      <c r="M520" s="3">
        <v>45064</v>
      </c>
      <c r="N520" t="s">
        <v>646</v>
      </c>
      <c r="O520" t="s">
        <v>651</v>
      </c>
      <c r="P520" t="s">
        <v>663</v>
      </c>
      <c r="Q520" t="s">
        <v>701</v>
      </c>
      <c r="R520" t="s">
        <v>711</v>
      </c>
      <c r="S520" t="s">
        <v>721</v>
      </c>
      <c r="T520" t="s">
        <v>727</v>
      </c>
      <c r="U520" t="s">
        <v>1251</v>
      </c>
      <c r="V520" s="8">
        <v>327.97</v>
      </c>
      <c r="W520" s="8">
        <v>299.94</v>
      </c>
      <c r="X520" s="8">
        <f t="shared" si="29"/>
        <v>815.10700000000008</v>
      </c>
      <c r="Y520" s="8">
        <f t="shared" si="30"/>
        <v>1620.05</v>
      </c>
      <c r="Z520" s="8" t="str">
        <f>IF(W519 &lt;= X518, "Low",IF(W519 &lt;= Y519, "Medium", "High"))</f>
        <v>High</v>
      </c>
      <c r="AA520">
        <v>4.9000000000000002E-2</v>
      </c>
      <c r="AB520">
        <f>IF(Table1[[#This Row],[DiscountPct]]&gt;0.2,1,0)</f>
        <v>0</v>
      </c>
      <c r="AC520" s="6">
        <v>3</v>
      </c>
      <c r="AD520" s="8">
        <f>Table1[[#This Row],[UnitPrice]]*Table1[[#This Row],[Quantity]]</f>
        <v>899.81999999999994</v>
      </c>
      <c r="AE520" s="8">
        <f>Table1[[#This Row],[UnitCost]]*Table1[[#This Row],[Quantity]]</f>
        <v>983.91000000000008</v>
      </c>
      <c r="AF520" s="8">
        <f>Table1[[#This Row],[GrossRevenue]]-Table1[[#This Row],[CostOfGoods]]</f>
        <v>-84.090000000000146</v>
      </c>
      <c r="AG520" s="9">
        <f>IF(Table1[[#This Row],[GrossRevenue]]=0,0,Table1[[#This Row],[GrossProfit]]/Table1[[#This Row],[GrossRevenue]])</f>
        <v>-9.3452023738081119E-2</v>
      </c>
    </row>
    <row r="521" spans="1:33" hidden="1" x14ac:dyDescent="0.45">
      <c r="A521" t="s">
        <v>534</v>
      </c>
      <c r="C521" s="3">
        <v>45482</v>
      </c>
      <c r="D521" s="3">
        <f>YEAR(Table1[[#This Row],[OrderDate]]) * 100 + MONTH(Table1[[#This Row],[OrderDate]])</f>
        <v>202407</v>
      </c>
      <c r="E521" s="3">
        <f>_xlfn.MINIFS(Table1[OrderMonthKey],Table1[Country],Table1[[#This Row],[Country]])</f>
        <v>202301</v>
      </c>
      <c r="F521" s="3">
        <f>Table1[[#This Row],[CountryFirstMonthKey]]</f>
        <v>202301</v>
      </c>
      <c r="G521" s="3">
        <f>12*(INT(Table1[[#This Row],[OrderMonthKey]]/100)-INT(Table1[[#This Row],[CohortMonthKey]]/100)) + (MOD(Table1[[#This Row],[OrderMonthKey]],100)-MOD(Table1[[#This Row],[CohortMonthKey]],100))</f>
        <v>18</v>
      </c>
      <c r="H521" s="3" t="str">
        <f>TEXT(Table1[[#This Row],[OrderDate]],"MMM-YYYY")</f>
        <v>Jul-2024</v>
      </c>
      <c r="I521" s="3" t="str">
        <f t="shared" si="28"/>
        <v>Q2-2023</v>
      </c>
      <c r="J521" s="3" t="str">
        <f>IF(Table1[[#This Row],[LeadTimeDays]]&lt;=7,"Yes","No")</f>
        <v>No</v>
      </c>
      <c r="K521" s="3">
        <f>_xlfn.DAYS(Table1[[#This Row],[CorrectedRequiredDate]],Table1[[#This Row],[OrderDate]])</f>
        <v>30</v>
      </c>
      <c r="L521" s="3">
        <f>IF(Table1[[#This Row],[RequiredDate]]&lt;Table1[[#This Row],[OrderDate]],Table1[[#This Row],[OrderDate]],Table1[[#This Row],[RequiredDate]])</f>
        <v>45512</v>
      </c>
      <c r="M521" s="3">
        <v>45512</v>
      </c>
      <c r="N521" t="s">
        <v>649</v>
      </c>
      <c r="O521" t="s">
        <v>657</v>
      </c>
      <c r="P521" t="s">
        <v>673</v>
      </c>
      <c r="Q521" t="s">
        <v>701</v>
      </c>
      <c r="R521" t="s">
        <v>711</v>
      </c>
      <c r="S521" t="s">
        <v>713</v>
      </c>
      <c r="T521" t="s">
        <v>727</v>
      </c>
      <c r="U521" t="s">
        <v>1252</v>
      </c>
      <c r="V521" s="8">
        <v>1062.3800000000001</v>
      </c>
      <c r="W521" s="8">
        <v>1503.96</v>
      </c>
      <c r="X521" s="8">
        <f t="shared" si="29"/>
        <v>815.10700000000008</v>
      </c>
      <c r="Y521" s="8">
        <f t="shared" si="30"/>
        <v>1620.05</v>
      </c>
      <c r="AA521">
        <v>0.18</v>
      </c>
      <c r="AB521">
        <f>IF(Table1[[#This Row],[DiscountPct]]&gt;0.2,1,0)</f>
        <v>0</v>
      </c>
      <c r="AC521" s="6">
        <v>6</v>
      </c>
      <c r="AD521" s="8">
        <f>Table1[[#This Row],[UnitPrice]]*Table1[[#This Row],[Quantity]]</f>
        <v>9023.76</v>
      </c>
      <c r="AE521" s="8">
        <f>Table1[[#This Row],[UnitCost]]*Table1[[#This Row],[Quantity]]</f>
        <v>6374.2800000000007</v>
      </c>
      <c r="AF521" s="8">
        <f>Table1[[#This Row],[GrossRevenue]]-Table1[[#This Row],[CostOfGoods]]</f>
        <v>2649.4799999999996</v>
      </c>
      <c r="AG521" s="8">
        <f>IF(Table1[[#This Row],[GrossRevenue]]=0,0,Table1[[#This Row],[GrossProfit]]/Table1[[#This Row],[GrossRevenue]])</f>
        <v>0.29361153222160158</v>
      </c>
    </row>
    <row r="522" spans="1:33" x14ac:dyDescent="0.45">
      <c r="A522" t="s">
        <v>535</v>
      </c>
      <c r="B522">
        <v>1</v>
      </c>
      <c r="C522" s="3">
        <v>45056</v>
      </c>
      <c r="D522" s="6">
        <f>YEAR(Table1[[#This Row],[OrderDate]]) * 100 + MONTH(Table1[[#This Row],[OrderDate]])</f>
        <v>202305</v>
      </c>
      <c r="E522" s="6">
        <f>_xlfn.MINIFS(Table1[OrderMonthKey],Table1[Country],Table1[[#This Row],[Country]])</f>
        <v>202302</v>
      </c>
      <c r="F522" s="6">
        <f>Table1[[#This Row],[CountryFirstMonthKey]]</f>
        <v>202302</v>
      </c>
      <c r="G522" s="6">
        <f>12*(INT(Table1[[#This Row],[OrderMonthKey]]/100)-INT(Table1[[#This Row],[CohortMonthKey]]/100)) + (MOD(Table1[[#This Row],[OrderMonthKey]],100)-MOD(Table1[[#This Row],[CohortMonthKey]],100))</f>
        <v>3</v>
      </c>
      <c r="H522" s="3" t="str">
        <f>TEXT(Table1[[#This Row],[OrderDate]],"MMM-YYYY")</f>
        <v>May-2023</v>
      </c>
      <c r="I522" s="3" t="str">
        <f t="shared" si="28"/>
        <v>Q3-2024</v>
      </c>
      <c r="J522" s="26" t="str">
        <f>IF(Table1[[#This Row],[LeadTimeDays]]&lt;=7,"Yes","No")</f>
        <v>No</v>
      </c>
      <c r="K522" s="6">
        <f>_xlfn.DAYS(Table1[[#This Row],[CorrectedRequiredDate]],Table1[[#This Row],[OrderDate]])</f>
        <v>17</v>
      </c>
      <c r="L522" s="3">
        <f>IF(Table1[[#This Row],[RequiredDate]]&lt;Table1[[#This Row],[OrderDate]],Table1[[#This Row],[OrderDate]],Table1[[#This Row],[RequiredDate]])</f>
        <v>45073</v>
      </c>
      <c r="M522" s="3">
        <v>45073</v>
      </c>
      <c r="N522" t="s">
        <v>647</v>
      </c>
      <c r="O522" t="s">
        <v>654</v>
      </c>
      <c r="P522" t="s">
        <v>691</v>
      </c>
      <c r="Q522" t="s">
        <v>704</v>
      </c>
      <c r="R522" t="s">
        <v>707</v>
      </c>
      <c r="S522" t="s">
        <v>724</v>
      </c>
      <c r="T522" t="s">
        <v>731</v>
      </c>
      <c r="U522" t="s">
        <v>1253</v>
      </c>
      <c r="V522" s="8">
        <v>1286.1600000000001</v>
      </c>
      <c r="W522" s="8">
        <v>3101.11</v>
      </c>
      <c r="X522" s="8">
        <f t="shared" si="29"/>
        <v>815.10700000000008</v>
      </c>
      <c r="Y522" s="8">
        <f t="shared" si="30"/>
        <v>1620.05</v>
      </c>
      <c r="Z522" s="8" t="str">
        <f>IF(W521 &lt;= X520, "Low",IF(W521 &lt;= Y521, "Medium", "High"))</f>
        <v>Medium</v>
      </c>
      <c r="AA522">
        <v>0.1</v>
      </c>
      <c r="AB522">
        <f>IF(Table1[[#This Row],[DiscountPct]]&gt;0.2,1,0)</f>
        <v>0</v>
      </c>
      <c r="AC522" s="6">
        <v>23</v>
      </c>
      <c r="AD522" s="8">
        <f>Table1[[#This Row],[UnitPrice]]*Table1[[#This Row],[Quantity]]</f>
        <v>71325.53</v>
      </c>
      <c r="AE522" s="8">
        <f>Table1[[#This Row],[UnitCost]]*Table1[[#This Row],[Quantity]]</f>
        <v>29581.68</v>
      </c>
      <c r="AF522" s="8">
        <f>Table1[[#This Row],[GrossRevenue]]-Table1[[#This Row],[CostOfGoods]]</f>
        <v>41743.85</v>
      </c>
      <c r="AG522" s="9">
        <f>IF(Table1[[#This Row],[GrossRevenue]]=0,0,Table1[[#This Row],[GrossProfit]]/Table1[[#This Row],[GrossRevenue]])</f>
        <v>0.58525818174782573</v>
      </c>
    </row>
    <row r="523" spans="1:33" x14ac:dyDescent="0.45">
      <c r="A523" t="s">
        <v>536</v>
      </c>
      <c r="B523">
        <v>1</v>
      </c>
      <c r="C523" s="3">
        <v>45482</v>
      </c>
      <c r="D523" s="6">
        <f>YEAR(Table1[[#This Row],[OrderDate]]) * 100 + MONTH(Table1[[#This Row],[OrderDate]])</f>
        <v>202407</v>
      </c>
      <c r="E523" s="6">
        <f>_xlfn.MINIFS(Table1[OrderMonthKey],Table1[Country],Table1[[#This Row],[Country]])</f>
        <v>202301</v>
      </c>
      <c r="F523" s="6">
        <f>Table1[[#This Row],[CountryFirstMonthKey]]</f>
        <v>202301</v>
      </c>
      <c r="G523" s="6">
        <f>12*(INT(Table1[[#This Row],[OrderMonthKey]]/100)-INT(Table1[[#This Row],[CohortMonthKey]]/100)) + (MOD(Table1[[#This Row],[OrderMonthKey]],100)-MOD(Table1[[#This Row],[CohortMonthKey]],100))</f>
        <v>18</v>
      </c>
      <c r="H523" s="3" t="str">
        <f>TEXT(Table1[[#This Row],[OrderDate]],"MMM-YYYY")</f>
        <v>Jul-2024</v>
      </c>
      <c r="I523" s="3" t="str">
        <f t="shared" si="28"/>
        <v>Q2-2023</v>
      </c>
      <c r="J523" s="26" t="str">
        <f>IF(Table1[[#This Row],[LeadTimeDays]]&lt;=7,"Yes","No")</f>
        <v>Yes</v>
      </c>
      <c r="K523" s="6">
        <f>_xlfn.DAYS(Table1[[#This Row],[CorrectedRequiredDate]],Table1[[#This Row],[OrderDate]])</f>
        <v>3</v>
      </c>
      <c r="L523" s="3">
        <f>IF(Table1[[#This Row],[RequiredDate]]&lt;Table1[[#This Row],[OrderDate]],Table1[[#This Row],[OrderDate]],Table1[[#This Row],[RequiredDate]])</f>
        <v>45485</v>
      </c>
      <c r="M523" s="3">
        <v>45485</v>
      </c>
      <c r="N523" t="s">
        <v>647</v>
      </c>
      <c r="O523" t="s">
        <v>659</v>
      </c>
      <c r="P523" t="s">
        <v>685</v>
      </c>
      <c r="Q523" t="s">
        <v>705</v>
      </c>
      <c r="R523" t="s">
        <v>707</v>
      </c>
      <c r="S523" t="s">
        <v>726</v>
      </c>
      <c r="T523" t="s">
        <v>733</v>
      </c>
      <c r="U523" t="s">
        <v>1254</v>
      </c>
      <c r="V523" s="8">
        <v>748.39</v>
      </c>
      <c r="W523" s="8">
        <v>979.42</v>
      </c>
      <c r="X523" s="8">
        <f t="shared" si="29"/>
        <v>815.10700000000008</v>
      </c>
      <c r="Y523" s="8">
        <f t="shared" si="30"/>
        <v>1620.05</v>
      </c>
      <c r="Z523" s="8" t="str">
        <f>IF(W522 &lt;= X521, "Low",IF(W522 &lt;= Y522, "Medium", "High"))</f>
        <v>High</v>
      </c>
      <c r="AA523">
        <v>0</v>
      </c>
      <c r="AB523">
        <f>IF(Table1[[#This Row],[DiscountPct]]&gt;0.2,1,0)</f>
        <v>0</v>
      </c>
      <c r="AC523" s="6">
        <v>23</v>
      </c>
      <c r="AD523" s="8">
        <f>Table1[[#This Row],[UnitPrice]]*Table1[[#This Row],[Quantity]]</f>
        <v>22526.66</v>
      </c>
      <c r="AE523" s="8">
        <f>Table1[[#This Row],[UnitCost]]*Table1[[#This Row],[Quantity]]</f>
        <v>17212.97</v>
      </c>
      <c r="AF523" s="8">
        <f>Table1[[#This Row],[GrossRevenue]]-Table1[[#This Row],[CostOfGoods]]</f>
        <v>5313.6899999999987</v>
      </c>
      <c r="AG523" s="9">
        <f>IF(Table1[[#This Row],[GrossRevenue]]=0,0,Table1[[#This Row],[GrossProfit]]/Table1[[#This Row],[GrossRevenue]])</f>
        <v>0.23588450307324738</v>
      </c>
    </row>
    <row r="524" spans="1:33" hidden="1" x14ac:dyDescent="0.45">
      <c r="A524" t="s">
        <v>537</v>
      </c>
      <c r="C524" s="3">
        <v>45406</v>
      </c>
      <c r="D524" s="3">
        <f>YEAR(Table1[[#This Row],[OrderDate]]) * 100 + MONTH(Table1[[#This Row],[OrderDate]])</f>
        <v>202404</v>
      </c>
      <c r="E524" s="3">
        <f>_xlfn.MINIFS(Table1[OrderMonthKey],Table1[Country],Table1[[#This Row],[Country]])</f>
        <v>202301</v>
      </c>
      <c r="F524" s="3">
        <f>Table1[[#This Row],[CountryFirstMonthKey]]</f>
        <v>202301</v>
      </c>
      <c r="G524" s="3">
        <f>12*(INT(Table1[[#This Row],[OrderMonthKey]]/100)-INT(Table1[[#This Row],[CohortMonthKey]]/100)) + (MOD(Table1[[#This Row],[OrderMonthKey]],100)-MOD(Table1[[#This Row],[CohortMonthKey]],100))</f>
        <v>15</v>
      </c>
      <c r="H524" s="3" t="str">
        <f>TEXT(Table1[[#This Row],[OrderDate]],"MMM-YYYY")</f>
        <v>Apr-2024</v>
      </c>
      <c r="I524" s="3" t="str">
        <f t="shared" si="28"/>
        <v>Q3-2024</v>
      </c>
      <c r="J524" s="3" t="str">
        <f>IF(Table1[[#This Row],[LeadTimeDays]]&lt;=7,"Yes","No")</f>
        <v>No</v>
      </c>
      <c r="K524" s="3">
        <f>_xlfn.DAYS(Table1[[#This Row],[CorrectedRequiredDate]],Table1[[#This Row],[OrderDate]])</f>
        <v>16</v>
      </c>
      <c r="L524" s="3">
        <f>IF(Table1[[#This Row],[RequiredDate]]&lt;Table1[[#This Row],[OrderDate]],Table1[[#This Row],[OrderDate]],Table1[[#This Row],[RequiredDate]])</f>
        <v>45422</v>
      </c>
      <c r="M524" s="3">
        <v>45422</v>
      </c>
      <c r="N524" t="s">
        <v>646</v>
      </c>
      <c r="O524" t="s">
        <v>650</v>
      </c>
      <c r="P524" t="s">
        <v>662</v>
      </c>
      <c r="Q524" t="s">
        <v>703</v>
      </c>
      <c r="R524" t="s">
        <v>708</v>
      </c>
      <c r="S524" t="s">
        <v>725</v>
      </c>
      <c r="T524" t="s">
        <v>732</v>
      </c>
      <c r="U524" t="s">
        <v>1255</v>
      </c>
      <c r="V524" s="8">
        <v>513.30999999999995</v>
      </c>
      <c r="W524" s="8">
        <v>1186.26</v>
      </c>
      <c r="X524" s="8">
        <f t="shared" si="29"/>
        <v>815.10700000000008</v>
      </c>
      <c r="Y524" s="8">
        <f t="shared" si="30"/>
        <v>1620.05</v>
      </c>
      <c r="AA524">
        <v>9.4E-2</v>
      </c>
      <c r="AB524">
        <f>IF(Table1[[#This Row],[DiscountPct]]&gt;0.2,1,0)</f>
        <v>0</v>
      </c>
      <c r="AC524" s="6">
        <v>15</v>
      </c>
      <c r="AD524" s="8">
        <f>Table1[[#This Row],[UnitPrice]]*Table1[[#This Row],[Quantity]]</f>
        <v>17793.900000000001</v>
      </c>
      <c r="AE524" s="8">
        <f>Table1[[#This Row],[UnitCost]]*Table1[[#This Row],[Quantity]]</f>
        <v>7699.65</v>
      </c>
      <c r="AF524" s="8">
        <f>Table1[[#This Row],[GrossRevenue]]-Table1[[#This Row],[CostOfGoods]]</f>
        <v>10094.250000000002</v>
      </c>
      <c r="AG524" s="8">
        <f>IF(Table1[[#This Row],[GrossRevenue]]=0,0,Table1[[#This Row],[GrossProfit]]/Table1[[#This Row],[GrossRevenue]])</f>
        <v>0.56728710400755322</v>
      </c>
    </row>
    <row r="525" spans="1:33" hidden="1" x14ac:dyDescent="0.45">
      <c r="A525" t="s">
        <v>538</v>
      </c>
      <c r="C525" s="3">
        <v>45304</v>
      </c>
      <c r="D525" s="3">
        <f>YEAR(Table1[[#This Row],[OrderDate]]) * 100 + MONTH(Table1[[#This Row],[OrderDate]])</f>
        <v>202401</v>
      </c>
      <c r="E525" s="3">
        <f>_xlfn.MINIFS(Table1[OrderMonthKey],Table1[Country],Table1[[#This Row],[Country]])</f>
        <v>202301</v>
      </c>
      <c r="F525" s="3">
        <f>Table1[[#This Row],[CountryFirstMonthKey]]</f>
        <v>202301</v>
      </c>
      <c r="G525" s="3">
        <f>12*(INT(Table1[[#This Row],[OrderMonthKey]]/100)-INT(Table1[[#This Row],[CohortMonthKey]]/100)) + (MOD(Table1[[#This Row],[OrderMonthKey]],100)-MOD(Table1[[#This Row],[CohortMonthKey]],100))</f>
        <v>12</v>
      </c>
      <c r="H525" s="3" t="str">
        <f>TEXT(Table1[[#This Row],[OrderDate]],"MMM-YYYY")</f>
        <v>Jan-2024</v>
      </c>
      <c r="I525" s="3" t="str">
        <f t="shared" si="28"/>
        <v>Q2-2024</v>
      </c>
      <c r="J525" s="3" t="str">
        <f>IF(Table1[[#This Row],[LeadTimeDays]]&lt;=7,"Yes","No")</f>
        <v>Yes</v>
      </c>
      <c r="K525" s="3">
        <f>_xlfn.DAYS(Table1[[#This Row],[CorrectedRequiredDate]],Table1[[#This Row],[OrderDate]])</f>
        <v>2</v>
      </c>
      <c r="L525" s="3">
        <f>IF(Table1[[#This Row],[RequiredDate]]&lt;Table1[[#This Row],[OrderDate]],Table1[[#This Row],[OrderDate]],Table1[[#This Row],[RequiredDate]])</f>
        <v>45306</v>
      </c>
      <c r="M525" s="3">
        <v>45306</v>
      </c>
      <c r="N525" t="s">
        <v>648</v>
      </c>
      <c r="O525" t="s">
        <v>660</v>
      </c>
      <c r="P525" t="s">
        <v>686</v>
      </c>
      <c r="Q525" t="s">
        <v>703</v>
      </c>
      <c r="R525" t="s">
        <v>711</v>
      </c>
      <c r="S525" t="s">
        <v>718</v>
      </c>
      <c r="T525" t="s">
        <v>727</v>
      </c>
      <c r="U525" t="s">
        <v>1256</v>
      </c>
      <c r="V525" s="8">
        <v>1061.3699999999999</v>
      </c>
      <c r="W525" s="8">
        <v>1938.33</v>
      </c>
      <c r="X525" s="8">
        <f t="shared" si="29"/>
        <v>815.10700000000008</v>
      </c>
      <c r="Y525" s="8">
        <f t="shared" si="30"/>
        <v>1620.05</v>
      </c>
      <c r="AA525">
        <v>0.17</v>
      </c>
      <c r="AB525">
        <f>IF(Table1[[#This Row],[DiscountPct]]&gt;0.2,1,0)</f>
        <v>0</v>
      </c>
      <c r="AC525" s="6">
        <v>4</v>
      </c>
      <c r="AD525" s="8">
        <f>Table1[[#This Row],[UnitPrice]]*Table1[[#This Row],[Quantity]]</f>
        <v>7753.32</v>
      </c>
      <c r="AE525" s="8">
        <f>Table1[[#This Row],[UnitCost]]*Table1[[#This Row],[Quantity]]</f>
        <v>4245.4799999999996</v>
      </c>
      <c r="AF525" s="8">
        <f>Table1[[#This Row],[GrossRevenue]]-Table1[[#This Row],[CostOfGoods]]</f>
        <v>3507.84</v>
      </c>
      <c r="AG525" s="8">
        <f>IF(Table1[[#This Row],[GrossRevenue]]=0,0,Table1[[#This Row],[GrossProfit]]/Table1[[#This Row],[GrossRevenue]])</f>
        <v>0.45243070065468732</v>
      </c>
    </row>
    <row r="526" spans="1:33" hidden="1" x14ac:dyDescent="0.45">
      <c r="A526" t="s">
        <v>539</v>
      </c>
      <c r="C526" s="3">
        <v>45398</v>
      </c>
      <c r="D526" s="3">
        <f>YEAR(Table1[[#This Row],[OrderDate]]) * 100 + MONTH(Table1[[#This Row],[OrderDate]])</f>
        <v>202404</v>
      </c>
      <c r="E526" s="3">
        <f>_xlfn.MINIFS(Table1[OrderMonthKey],Table1[Country],Table1[[#This Row],[Country]])</f>
        <v>202301</v>
      </c>
      <c r="F526" s="3">
        <f>Table1[[#This Row],[CountryFirstMonthKey]]</f>
        <v>202301</v>
      </c>
      <c r="G526" s="3">
        <f>12*(INT(Table1[[#This Row],[OrderMonthKey]]/100)-INT(Table1[[#This Row],[CohortMonthKey]]/100)) + (MOD(Table1[[#This Row],[OrderMonthKey]],100)-MOD(Table1[[#This Row],[CohortMonthKey]],100))</f>
        <v>15</v>
      </c>
      <c r="H526" s="3" t="str">
        <f>TEXT(Table1[[#This Row],[OrderDate]],"MMM-YYYY")</f>
        <v>Apr-2024</v>
      </c>
      <c r="I526" s="3" t="str">
        <f t="shared" si="28"/>
        <v>Q1-2024</v>
      </c>
      <c r="J526" s="3" t="str">
        <f>IF(Table1[[#This Row],[LeadTimeDays]]&lt;=7,"Yes","No")</f>
        <v>No</v>
      </c>
      <c r="K526" s="3">
        <f>_xlfn.DAYS(Table1[[#This Row],[CorrectedRequiredDate]],Table1[[#This Row],[OrderDate]])</f>
        <v>11</v>
      </c>
      <c r="L526" s="3">
        <f>IF(Table1[[#This Row],[RequiredDate]]&lt;Table1[[#This Row],[OrderDate]],Table1[[#This Row],[OrderDate]],Table1[[#This Row],[RequiredDate]])</f>
        <v>45409</v>
      </c>
      <c r="M526" s="3">
        <v>45409</v>
      </c>
      <c r="N526" t="s">
        <v>646</v>
      </c>
      <c r="O526" t="s">
        <v>650</v>
      </c>
      <c r="P526" t="s">
        <v>678</v>
      </c>
      <c r="Q526" t="s">
        <v>706</v>
      </c>
      <c r="R526" t="s">
        <v>708</v>
      </c>
      <c r="S526" t="s">
        <v>726</v>
      </c>
      <c r="T526" t="s">
        <v>728</v>
      </c>
      <c r="U526" t="s">
        <v>1257</v>
      </c>
      <c r="V526" s="8">
        <v>401.3</v>
      </c>
      <c r="W526" s="8">
        <v>826.47</v>
      </c>
      <c r="X526" s="8">
        <f t="shared" si="29"/>
        <v>815.10700000000008</v>
      </c>
      <c r="Y526" s="8">
        <f t="shared" si="30"/>
        <v>1620.05</v>
      </c>
      <c r="AA526">
        <v>0.22500000000000001</v>
      </c>
      <c r="AB526">
        <f>IF(Table1[[#This Row],[DiscountPct]]&gt;0.2,1,0)</f>
        <v>1</v>
      </c>
      <c r="AC526" s="6">
        <v>13</v>
      </c>
      <c r="AD526" s="8">
        <f>Table1[[#This Row],[UnitPrice]]*Table1[[#This Row],[Quantity]]</f>
        <v>10744.11</v>
      </c>
      <c r="AE526" s="8">
        <f>Table1[[#This Row],[UnitCost]]*Table1[[#This Row],[Quantity]]</f>
        <v>5216.9000000000005</v>
      </c>
      <c r="AF526" s="8">
        <f>Table1[[#This Row],[GrossRevenue]]-Table1[[#This Row],[CostOfGoods]]</f>
        <v>5527.21</v>
      </c>
      <c r="AG526" s="8">
        <f>IF(Table1[[#This Row],[GrossRevenue]]=0,0,Table1[[#This Row],[GrossProfit]]/Table1[[#This Row],[GrossRevenue]])</f>
        <v>0.5144409355451498</v>
      </c>
    </row>
    <row r="527" spans="1:33" x14ac:dyDescent="0.45">
      <c r="A527" t="s">
        <v>540</v>
      </c>
      <c r="B527">
        <v>1</v>
      </c>
      <c r="C527" s="3">
        <v>45695</v>
      </c>
      <c r="D527" s="6">
        <f>YEAR(Table1[[#This Row],[OrderDate]]) * 100 + MONTH(Table1[[#This Row],[OrderDate]])</f>
        <v>202502</v>
      </c>
      <c r="E527" s="6">
        <f>_xlfn.MINIFS(Table1[OrderMonthKey],Table1[Country],Table1[[#This Row],[Country]])</f>
        <v>202301</v>
      </c>
      <c r="F527" s="6">
        <f>Table1[[#This Row],[CountryFirstMonthKey]]</f>
        <v>202301</v>
      </c>
      <c r="G527" s="6">
        <f>12*(INT(Table1[[#This Row],[OrderMonthKey]]/100)-INT(Table1[[#This Row],[CohortMonthKey]]/100)) + (MOD(Table1[[#This Row],[OrderMonthKey]],100)-MOD(Table1[[#This Row],[CohortMonthKey]],100))</f>
        <v>25</v>
      </c>
      <c r="H527" s="3" t="str">
        <f>TEXT(Table1[[#This Row],[OrderDate]],"MMM-YYYY")</f>
        <v>Feb-2025</v>
      </c>
      <c r="I527" s="3" t="str">
        <f t="shared" si="28"/>
        <v>Q2-2024</v>
      </c>
      <c r="J527" s="26" t="str">
        <f>IF(Table1[[#This Row],[LeadTimeDays]]&lt;=7,"Yes","No")</f>
        <v>No</v>
      </c>
      <c r="K527" s="6">
        <f>_xlfn.DAYS(Table1[[#This Row],[CorrectedRequiredDate]],Table1[[#This Row],[OrderDate]])</f>
        <v>9</v>
      </c>
      <c r="L527" s="3">
        <f>IF(Table1[[#This Row],[RequiredDate]]&lt;Table1[[#This Row],[OrderDate]],Table1[[#This Row],[OrderDate]],Table1[[#This Row],[RequiredDate]])</f>
        <v>45704</v>
      </c>
      <c r="M527" s="3">
        <v>45704</v>
      </c>
      <c r="N527" t="s">
        <v>646</v>
      </c>
      <c r="O527" t="s">
        <v>651</v>
      </c>
      <c r="P527" t="s">
        <v>665</v>
      </c>
      <c r="Q527" t="s">
        <v>705</v>
      </c>
      <c r="R527" t="s">
        <v>710</v>
      </c>
      <c r="S527" t="s">
        <v>712</v>
      </c>
      <c r="T527" t="s">
        <v>728</v>
      </c>
      <c r="U527" t="s">
        <v>1258</v>
      </c>
      <c r="V527" s="8">
        <v>90.68</v>
      </c>
      <c r="W527" s="8">
        <v>118.17</v>
      </c>
      <c r="X527" s="8">
        <f t="shared" si="29"/>
        <v>815.10700000000008</v>
      </c>
      <c r="Y527" s="8">
        <f t="shared" si="30"/>
        <v>1620.05</v>
      </c>
      <c r="Z527" s="8" t="str">
        <f>IF(W526 &lt;= X525, "Low",IF(W526 &lt;= Y526, "Medium", "High"))</f>
        <v>Medium</v>
      </c>
      <c r="AA527">
        <v>0.13500000000000001</v>
      </c>
      <c r="AB527">
        <f>IF(Table1[[#This Row],[DiscountPct]]&gt;0.2,1,0)</f>
        <v>0</v>
      </c>
      <c r="AC527" s="6">
        <v>21</v>
      </c>
      <c r="AD527" s="8">
        <f>Table1[[#This Row],[UnitPrice]]*Table1[[#This Row],[Quantity]]</f>
        <v>2481.5700000000002</v>
      </c>
      <c r="AE527" s="8">
        <f>Table1[[#This Row],[UnitCost]]*Table1[[#This Row],[Quantity]]</f>
        <v>1904.2800000000002</v>
      </c>
      <c r="AF527" s="8">
        <f>Table1[[#This Row],[GrossRevenue]]-Table1[[#This Row],[CostOfGoods]]</f>
        <v>577.29</v>
      </c>
      <c r="AG527" s="9">
        <f>IF(Table1[[#This Row],[GrossRevenue]]=0,0,Table1[[#This Row],[GrossProfit]]/Table1[[#This Row],[GrossRevenue]])</f>
        <v>0.23263095540323261</v>
      </c>
    </row>
    <row r="528" spans="1:33" x14ac:dyDescent="0.45">
      <c r="A528" t="s">
        <v>541</v>
      </c>
      <c r="B528">
        <v>1</v>
      </c>
      <c r="C528" s="3">
        <v>44938</v>
      </c>
      <c r="D528" s="6">
        <f>YEAR(Table1[[#This Row],[OrderDate]]) * 100 + MONTH(Table1[[#This Row],[OrderDate]])</f>
        <v>202301</v>
      </c>
      <c r="E528" s="6">
        <f>_xlfn.MINIFS(Table1[OrderMonthKey],Table1[Country],Table1[[#This Row],[Country]])</f>
        <v>202301</v>
      </c>
      <c r="F528" s="6">
        <f>Table1[[#This Row],[CountryFirstMonthKey]]</f>
        <v>202301</v>
      </c>
      <c r="G528" s="6">
        <f>12*(INT(Table1[[#This Row],[OrderMonthKey]]/100)-INT(Table1[[#This Row],[CohortMonthKey]]/100)) + (MOD(Table1[[#This Row],[OrderMonthKey]],100)-MOD(Table1[[#This Row],[CohortMonthKey]],100))</f>
        <v>0</v>
      </c>
      <c r="H528" s="3" t="str">
        <f>TEXT(Table1[[#This Row],[OrderDate]],"MMM-YYYY")</f>
        <v>Jan-2023</v>
      </c>
      <c r="I528" s="3" t="str">
        <f t="shared" si="28"/>
        <v>Q1-2025</v>
      </c>
      <c r="J528" s="26" t="str">
        <f>IF(Table1[[#This Row],[LeadTimeDays]]&lt;=7,"Yes","No")</f>
        <v>No</v>
      </c>
      <c r="K528" s="6">
        <f>_xlfn.DAYS(Table1[[#This Row],[CorrectedRequiredDate]],Table1[[#This Row],[OrderDate]])</f>
        <v>14</v>
      </c>
      <c r="L528" s="3">
        <f>IF(Table1[[#This Row],[RequiredDate]]&lt;Table1[[#This Row],[OrderDate]],Table1[[#This Row],[OrderDate]],Table1[[#This Row],[RequiredDate]])</f>
        <v>44952</v>
      </c>
      <c r="M528" s="3">
        <v>44952</v>
      </c>
      <c r="N528" t="s">
        <v>647</v>
      </c>
      <c r="O528" t="s">
        <v>659</v>
      </c>
      <c r="P528" t="s">
        <v>676</v>
      </c>
      <c r="Q528" t="s">
        <v>703</v>
      </c>
      <c r="R528" t="s">
        <v>707</v>
      </c>
      <c r="S528" t="s">
        <v>724</v>
      </c>
      <c r="T528" t="s">
        <v>728</v>
      </c>
      <c r="U528" t="s">
        <v>1259</v>
      </c>
      <c r="V528" s="8">
        <v>1083.0899999999999</v>
      </c>
      <c r="W528" s="8">
        <v>1425.87</v>
      </c>
      <c r="X528" s="8">
        <f t="shared" si="29"/>
        <v>815.10700000000008</v>
      </c>
      <c r="Y528" s="8">
        <f t="shared" si="30"/>
        <v>1620.05</v>
      </c>
      <c r="Z528" s="8" t="str">
        <f>IF(W527 &lt;= X526, "Low",IF(W527 &lt;= Y527, "Medium", "High"))</f>
        <v>Low</v>
      </c>
      <c r="AA528">
        <v>0</v>
      </c>
      <c r="AB528">
        <f>IF(Table1[[#This Row],[DiscountPct]]&gt;0.2,1,0)</f>
        <v>0</v>
      </c>
      <c r="AC528" s="6">
        <v>8</v>
      </c>
      <c r="AD528" s="8">
        <f>Table1[[#This Row],[UnitPrice]]*Table1[[#This Row],[Quantity]]</f>
        <v>11406.96</v>
      </c>
      <c r="AE528" s="8">
        <f>Table1[[#This Row],[UnitCost]]*Table1[[#This Row],[Quantity]]</f>
        <v>8664.7199999999993</v>
      </c>
      <c r="AF528" s="8">
        <f>Table1[[#This Row],[GrossRevenue]]-Table1[[#This Row],[CostOfGoods]]</f>
        <v>2742.24</v>
      </c>
      <c r="AG528" s="9">
        <f>IF(Table1[[#This Row],[GrossRevenue]]=0,0,Table1[[#This Row],[GrossProfit]]/Table1[[#This Row],[GrossRevenue]])</f>
        <v>0.24040059752992909</v>
      </c>
    </row>
    <row r="529" spans="1:33" hidden="1" x14ac:dyDescent="0.45">
      <c r="A529" t="s">
        <v>542</v>
      </c>
      <c r="C529" s="3">
        <v>45448</v>
      </c>
      <c r="D529" s="3">
        <f>YEAR(Table1[[#This Row],[OrderDate]]) * 100 + MONTH(Table1[[#This Row],[OrderDate]])</f>
        <v>202406</v>
      </c>
      <c r="E529" s="3">
        <f>_xlfn.MINIFS(Table1[OrderMonthKey],Table1[Country],Table1[[#This Row],[Country]])</f>
        <v>202301</v>
      </c>
      <c r="F529" s="3">
        <f>Table1[[#This Row],[CountryFirstMonthKey]]</f>
        <v>202301</v>
      </c>
      <c r="G529" s="3">
        <f>12*(INT(Table1[[#This Row],[OrderMonthKey]]/100)-INT(Table1[[#This Row],[CohortMonthKey]]/100)) + (MOD(Table1[[#This Row],[OrderMonthKey]],100)-MOD(Table1[[#This Row],[CohortMonthKey]],100))</f>
        <v>17</v>
      </c>
      <c r="H529" s="3" t="str">
        <f>TEXT(Table1[[#This Row],[OrderDate]],"MMM-YYYY")</f>
        <v>Jun-2024</v>
      </c>
      <c r="I529" s="3" t="str">
        <f t="shared" si="28"/>
        <v>Q1-2023</v>
      </c>
      <c r="J529" s="3" t="str">
        <f>IF(Table1[[#This Row],[LeadTimeDays]]&lt;=7,"Yes","No")</f>
        <v>No</v>
      </c>
      <c r="K529" s="3">
        <f>_xlfn.DAYS(Table1[[#This Row],[CorrectedRequiredDate]],Table1[[#This Row],[OrderDate]])</f>
        <v>18</v>
      </c>
      <c r="L529" s="3">
        <f>IF(Table1[[#This Row],[RequiredDate]]&lt;Table1[[#This Row],[OrderDate]],Table1[[#This Row],[OrderDate]],Table1[[#This Row],[RequiredDate]])</f>
        <v>45466</v>
      </c>
      <c r="M529" s="3">
        <v>45466</v>
      </c>
      <c r="N529" t="s">
        <v>646</v>
      </c>
      <c r="O529" t="s">
        <v>650</v>
      </c>
      <c r="P529" t="s">
        <v>664</v>
      </c>
      <c r="Q529" t="s">
        <v>704</v>
      </c>
      <c r="R529" t="s">
        <v>710</v>
      </c>
      <c r="S529" t="s">
        <v>726</v>
      </c>
      <c r="T529" t="s">
        <v>731</v>
      </c>
      <c r="U529" t="s">
        <v>1260</v>
      </c>
      <c r="V529" s="8">
        <v>1208.74</v>
      </c>
      <c r="W529" s="8">
        <v>1594.78</v>
      </c>
      <c r="X529" s="8">
        <f t="shared" si="29"/>
        <v>815.10700000000008</v>
      </c>
      <c r="Y529" s="8">
        <f t="shared" si="30"/>
        <v>1620.05</v>
      </c>
      <c r="AA529">
        <v>5.8999999999999997E-2</v>
      </c>
      <c r="AB529">
        <f>IF(Table1[[#This Row],[DiscountPct]]&gt;0.2,1,0)</f>
        <v>0</v>
      </c>
      <c r="AC529" s="6">
        <v>39</v>
      </c>
      <c r="AD529" s="8">
        <f>Table1[[#This Row],[UnitPrice]]*Table1[[#This Row],[Quantity]]</f>
        <v>62196.42</v>
      </c>
      <c r="AE529" s="8">
        <f>Table1[[#This Row],[UnitCost]]*Table1[[#This Row],[Quantity]]</f>
        <v>47140.86</v>
      </c>
      <c r="AF529" s="8">
        <f>Table1[[#This Row],[GrossRevenue]]-Table1[[#This Row],[CostOfGoods]]</f>
        <v>15055.559999999998</v>
      </c>
      <c r="AG529" s="8">
        <f>IF(Table1[[#This Row],[GrossRevenue]]=0,0,Table1[[#This Row],[GrossProfit]]/Table1[[#This Row],[GrossRevenue]])</f>
        <v>0.24206473620185853</v>
      </c>
    </row>
    <row r="530" spans="1:33" hidden="1" x14ac:dyDescent="0.45">
      <c r="A530" t="s">
        <v>543</v>
      </c>
      <c r="C530" s="3">
        <v>45162</v>
      </c>
      <c r="D530" s="3">
        <f>YEAR(Table1[[#This Row],[OrderDate]]) * 100 + MONTH(Table1[[#This Row],[OrderDate]])</f>
        <v>202308</v>
      </c>
      <c r="E530" s="3">
        <f>_xlfn.MINIFS(Table1[OrderMonthKey],Table1[Country],Table1[[#This Row],[Country]])</f>
        <v>202301</v>
      </c>
      <c r="F530" s="3">
        <f>Table1[[#This Row],[CountryFirstMonthKey]]</f>
        <v>202301</v>
      </c>
      <c r="G530" s="3">
        <f>12*(INT(Table1[[#This Row],[OrderMonthKey]]/100)-INT(Table1[[#This Row],[CohortMonthKey]]/100)) + (MOD(Table1[[#This Row],[OrderMonthKey]],100)-MOD(Table1[[#This Row],[CohortMonthKey]],100))</f>
        <v>7</v>
      </c>
      <c r="H530" s="3" t="str">
        <f>TEXT(Table1[[#This Row],[OrderDate]],"MMM-YYYY")</f>
        <v>Aug-2023</v>
      </c>
      <c r="I530" s="3" t="str">
        <f t="shared" si="28"/>
        <v>Q2-2024</v>
      </c>
      <c r="J530" s="3" t="str">
        <f>IF(Table1[[#This Row],[LeadTimeDays]]&lt;=7,"Yes","No")</f>
        <v>No</v>
      </c>
      <c r="K530" s="3">
        <f>_xlfn.DAYS(Table1[[#This Row],[CorrectedRequiredDate]],Table1[[#This Row],[OrderDate]])</f>
        <v>27</v>
      </c>
      <c r="L530" s="3">
        <f>IF(Table1[[#This Row],[RequiredDate]]&lt;Table1[[#This Row],[OrderDate]],Table1[[#This Row],[OrderDate]],Table1[[#This Row],[RequiredDate]])</f>
        <v>45189</v>
      </c>
      <c r="M530" s="3">
        <v>45189</v>
      </c>
      <c r="N530" t="s">
        <v>646</v>
      </c>
      <c r="O530" t="s">
        <v>661</v>
      </c>
      <c r="P530" t="s">
        <v>687</v>
      </c>
      <c r="Q530" t="s">
        <v>705</v>
      </c>
      <c r="R530" t="s">
        <v>709</v>
      </c>
      <c r="S530" t="s">
        <v>724</v>
      </c>
      <c r="T530" t="s">
        <v>728</v>
      </c>
      <c r="U530" t="s">
        <v>1261</v>
      </c>
      <c r="V530" s="8">
        <v>1399.64</v>
      </c>
      <c r="W530" s="8">
        <v>3342.11</v>
      </c>
      <c r="X530" s="8">
        <f t="shared" si="29"/>
        <v>815.10700000000008</v>
      </c>
      <c r="Y530" s="8">
        <f t="shared" si="30"/>
        <v>1620.05</v>
      </c>
      <c r="AA530">
        <v>0</v>
      </c>
      <c r="AB530">
        <f>IF(Table1[[#This Row],[DiscountPct]]&gt;0.2,1,0)</f>
        <v>0</v>
      </c>
      <c r="AC530" s="6">
        <v>10</v>
      </c>
      <c r="AD530" s="8">
        <f>Table1[[#This Row],[UnitPrice]]*Table1[[#This Row],[Quantity]]</f>
        <v>33421.1</v>
      </c>
      <c r="AE530" s="8">
        <f>Table1[[#This Row],[UnitCost]]*Table1[[#This Row],[Quantity]]</f>
        <v>13996.400000000001</v>
      </c>
      <c r="AF530" s="8">
        <f>Table1[[#This Row],[GrossRevenue]]-Table1[[#This Row],[CostOfGoods]]</f>
        <v>19424.699999999997</v>
      </c>
      <c r="AG530" s="8">
        <f>IF(Table1[[#This Row],[GrossRevenue]]=0,0,Table1[[#This Row],[GrossProfit]]/Table1[[#This Row],[GrossRevenue]])</f>
        <v>0.58121067229983447</v>
      </c>
    </row>
    <row r="531" spans="1:33" hidden="1" x14ac:dyDescent="0.45">
      <c r="A531" t="s">
        <v>544</v>
      </c>
      <c r="C531" s="3">
        <v>45316</v>
      </c>
      <c r="D531" s="3">
        <f>YEAR(Table1[[#This Row],[OrderDate]]) * 100 + MONTH(Table1[[#This Row],[OrderDate]])</f>
        <v>202401</v>
      </c>
      <c r="E531" s="3">
        <f>_xlfn.MINIFS(Table1[OrderMonthKey],Table1[Country],Table1[[#This Row],[Country]])</f>
        <v>202303</v>
      </c>
      <c r="F531" s="3">
        <f>Table1[[#This Row],[CountryFirstMonthKey]]</f>
        <v>202303</v>
      </c>
      <c r="G531" s="3">
        <f>12*(INT(Table1[[#This Row],[OrderMonthKey]]/100)-INT(Table1[[#This Row],[CohortMonthKey]]/100)) + (MOD(Table1[[#This Row],[OrderMonthKey]],100)-MOD(Table1[[#This Row],[CohortMonthKey]],100))</f>
        <v>10</v>
      </c>
      <c r="H531" s="3" t="str">
        <f>TEXT(Table1[[#This Row],[OrderDate]],"MMM-YYYY")</f>
        <v>Jan-2024</v>
      </c>
      <c r="I531" s="3" t="str">
        <f t="shared" si="28"/>
        <v>Q3-2023</v>
      </c>
      <c r="J531" s="3" t="str">
        <f>IF(Table1[[#This Row],[LeadTimeDays]]&lt;=7,"Yes","No")</f>
        <v>No</v>
      </c>
      <c r="K531" s="3">
        <f>_xlfn.DAYS(Table1[[#This Row],[CorrectedRequiredDate]],Table1[[#This Row],[OrderDate]])</f>
        <v>14</v>
      </c>
      <c r="L531" s="3">
        <f>IF(Table1[[#This Row],[RequiredDate]]&lt;Table1[[#This Row],[OrderDate]],Table1[[#This Row],[OrderDate]],Table1[[#This Row],[RequiredDate]])</f>
        <v>45330</v>
      </c>
      <c r="M531" s="3">
        <v>45330</v>
      </c>
      <c r="N531" t="s">
        <v>647</v>
      </c>
      <c r="O531" t="s">
        <v>652</v>
      </c>
      <c r="P531" t="s">
        <v>666</v>
      </c>
      <c r="Q531" t="s">
        <v>704</v>
      </c>
      <c r="R531" t="s">
        <v>709</v>
      </c>
      <c r="S531" t="s">
        <v>714</v>
      </c>
      <c r="T531" t="s">
        <v>729</v>
      </c>
      <c r="U531" t="s">
        <v>1262</v>
      </c>
      <c r="V531" s="8">
        <v>937.16</v>
      </c>
      <c r="W531" s="8">
        <v>1069.77</v>
      </c>
      <c r="X531" s="8">
        <f t="shared" si="29"/>
        <v>815.10700000000008</v>
      </c>
      <c r="Y531" s="8">
        <f t="shared" si="30"/>
        <v>1620.05</v>
      </c>
      <c r="AA531">
        <v>3.7999999999999999E-2</v>
      </c>
      <c r="AB531">
        <f>IF(Table1[[#This Row],[DiscountPct]]&gt;0.2,1,0)</f>
        <v>0</v>
      </c>
      <c r="AC531" s="6">
        <v>9</v>
      </c>
      <c r="AD531" s="8">
        <f>Table1[[#This Row],[UnitPrice]]*Table1[[#This Row],[Quantity]]</f>
        <v>9627.93</v>
      </c>
      <c r="AE531" s="8">
        <f>Table1[[#This Row],[UnitCost]]*Table1[[#This Row],[Quantity]]</f>
        <v>8434.44</v>
      </c>
      <c r="AF531" s="8">
        <f>Table1[[#This Row],[GrossRevenue]]-Table1[[#This Row],[CostOfGoods]]</f>
        <v>1193.4899999999998</v>
      </c>
      <c r="AG531" s="8">
        <f>IF(Table1[[#This Row],[GrossRevenue]]=0,0,Table1[[#This Row],[GrossProfit]]/Table1[[#This Row],[GrossRevenue]])</f>
        <v>0.12396122531011336</v>
      </c>
    </row>
    <row r="532" spans="1:33" hidden="1" x14ac:dyDescent="0.45">
      <c r="A532" t="s">
        <v>545</v>
      </c>
      <c r="C532" s="3">
        <v>45727</v>
      </c>
      <c r="D532" s="3">
        <f>YEAR(Table1[[#This Row],[OrderDate]]) * 100 + MONTH(Table1[[#This Row],[OrderDate]])</f>
        <v>202503</v>
      </c>
      <c r="E532" s="3">
        <f>_xlfn.MINIFS(Table1[OrderMonthKey],Table1[Country],Table1[[#This Row],[Country]])</f>
        <v>202301</v>
      </c>
      <c r="F532" s="3">
        <f>Table1[[#This Row],[CountryFirstMonthKey]]</f>
        <v>202301</v>
      </c>
      <c r="G532" s="3">
        <f>12*(INT(Table1[[#This Row],[OrderMonthKey]]/100)-INT(Table1[[#This Row],[CohortMonthKey]]/100)) + (MOD(Table1[[#This Row],[OrderMonthKey]],100)-MOD(Table1[[#This Row],[CohortMonthKey]],100))</f>
        <v>26</v>
      </c>
      <c r="H532" s="3" t="str">
        <f>TEXT(Table1[[#This Row],[OrderDate]],"MMM-YYYY")</f>
        <v>Mar-2025</v>
      </c>
      <c r="I532" s="3" t="str">
        <f t="shared" si="28"/>
        <v>Q1-2024</v>
      </c>
      <c r="J532" s="3" t="str">
        <f>IF(Table1[[#This Row],[LeadTimeDays]]&lt;=7,"Yes","No")</f>
        <v>No</v>
      </c>
      <c r="K532" s="3">
        <f>_xlfn.DAYS(Table1[[#This Row],[CorrectedRequiredDate]],Table1[[#This Row],[OrderDate]])</f>
        <v>15</v>
      </c>
      <c r="L532" s="3">
        <f>IF(Table1[[#This Row],[RequiredDate]]&lt;Table1[[#This Row],[OrderDate]],Table1[[#This Row],[OrderDate]],Table1[[#This Row],[RequiredDate]])</f>
        <v>45742</v>
      </c>
      <c r="M532" s="3">
        <v>45742</v>
      </c>
      <c r="N532" t="s">
        <v>649</v>
      </c>
      <c r="O532" t="s">
        <v>656</v>
      </c>
      <c r="P532" t="s">
        <v>671</v>
      </c>
      <c r="Q532" t="s">
        <v>705</v>
      </c>
      <c r="R532" t="s">
        <v>708</v>
      </c>
      <c r="S532" t="s">
        <v>714</v>
      </c>
      <c r="T532" t="s">
        <v>730</v>
      </c>
      <c r="U532" t="s">
        <v>1263</v>
      </c>
      <c r="V532" s="8">
        <v>116.97</v>
      </c>
      <c r="W532" s="8">
        <v>140.82</v>
      </c>
      <c r="X532" s="8">
        <f t="shared" si="29"/>
        <v>815.10700000000008</v>
      </c>
      <c r="Y532" s="8">
        <f t="shared" si="30"/>
        <v>1620.05</v>
      </c>
      <c r="AA532">
        <v>0.122</v>
      </c>
      <c r="AB532">
        <f>IF(Table1[[#This Row],[DiscountPct]]&gt;0.2,1,0)</f>
        <v>0</v>
      </c>
      <c r="AC532" s="6">
        <v>5</v>
      </c>
      <c r="AD532" s="8">
        <f>Table1[[#This Row],[UnitPrice]]*Table1[[#This Row],[Quantity]]</f>
        <v>704.09999999999991</v>
      </c>
      <c r="AE532" s="8">
        <f>Table1[[#This Row],[UnitCost]]*Table1[[#This Row],[Quantity]]</f>
        <v>584.85</v>
      </c>
      <c r="AF532" s="8">
        <f>Table1[[#This Row],[GrossRevenue]]-Table1[[#This Row],[CostOfGoods]]</f>
        <v>119.24999999999989</v>
      </c>
      <c r="AG532" s="8">
        <f>IF(Table1[[#This Row],[GrossRevenue]]=0,0,Table1[[#This Row],[GrossProfit]]/Table1[[#This Row],[GrossRevenue]])</f>
        <v>0.16936514699616517</v>
      </c>
    </row>
    <row r="533" spans="1:33" hidden="1" x14ac:dyDescent="0.45">
      <c r="A533" t="s">
        <v>546</v>
      </c>
      <c r="C533" s="3">
        <v>45769</v>
      </c>
      <c r="D533" s="3">
        <f>YEAR(Table1[[#This Row],[OrderDate]]) * 100 + MONTH(Table1[[#This Row],[OrderDate]])</f>
        <v>202504</v>
      </c>
      <c r="E533" s="3">
        <f>_xlfn.MINIFS(Table1[OrderMonthKey],Table1[Country],Table1[[#This Row],[Country]])</f>
        <v>202301</v>
      </c>
      <c r="F533" s="3">
        <f>Table1[[#This Row],[CountryFirstMonthKey]]</f>
        <v>202301</v>
      </c>
      <c r="G533" s="3">
        <f>12*(INT(Table1[[#This Row],[OrderMonthKey]]/100)-INT(Table1[[#This Row],[CohortMonthKey]]/100)) + (MOD(Table1[[#This Row],[OrderMonthKey]],100)-MOD(Table1[[#This Row],[CohortMonthKey]],100))</f>
        <v>27</v>
      </c>
      <c r="H533" s="3" t="str">
        <f>TEXT(Table1[[#This Row],[OrderDate]],"MMM-YYYY")</f>
        <v>Apr-2025</v>
      </c>
      <c r="I533" s="3" t="str">
        <f t="shared" si="28"/>
        <v>Q1-2025</v>
      </c>
      <c r="J533" s="3" t="str">
        <f>IF(Table1[[#This Row],[LeadTimeDays]]&lt;=7,"Yes","No")</f>
        <v>No</v>
      </c>
      <c r="K533" s="3">
        <f>_xlfn.DAYS(Table1[[#This Row],[CorrectedRequiredDate]],Table1[[#This Row],[OrderDate]])</f>
        <v>20</v>
      </c>
      <c r="L533" s="3">
        <f>IF(Table1[[#This Row],[RequiredDate]]&lt;Table1[[#This Row],[OrderDate]],Table1[[#This Row],[OrderDate]],Table1[[#This Row],[RequiredDate]])</f>
        <v>45789</v>
      </c>
      <c r="M533" s="3">
        <v>45789</v>
      </c>
      <c r="N533" t="s">
        <v>649</v>
      </c>
      <c r="O533" t="s">
        <v>657</v>
      </c>
      <c r="P533" t="s">
        <v>679</v>
      </c>
      <c r="Q533" t="s">
        <v>706</v>
      </c>
      <c r="R533" t="s">
        <v>709</v>
      </c>
      <c r="S533" t="s">
        <v>723</v>
      </c>
      <c r="T533" t="s">
        <v>732</v>
      </c>
      <c r="U533" t="s">
        <v>1264</v>
      </c>
      <c r="V533" s="8">
        <v>59.51</v>
      </c>
      <c r="W533" s="8">
        <v>67.040000000000006</v>
      </c>
      <c r="X533" s="8">
        <f t="shared" si="29"/>
        <v>815.10700000000008</v>
      </c>
      <c r="Y533" s="8">
        <f t="shared" si="30"/>
        <v>1620.05</v>
      </c>
      <c r="AA533">
        <v>0.114</v>
      </c>
      <c r="AB533">
        <f>IF(Table1[[#This Row],[DiscountPct]]&gt;0.2,1,0)</f>
        <v>0</v>
      </c>
      <c r="AC533" s="6">
        <v>9</v>
      </c>
      <c r="AD533" s="8">
        <f>Table1[[#This Row],[UnitPrice]]*Table1[[#This Row],[Quantity]]</f>
        <v>603.36</v>
      </c>
      <c r="AE533" s="8">
        <f>Table1[[#This Row],[UnitCost]]*Table1[[#This Row],[Quantity]]</f>
        <v>535.59</v>
      </c>
      <c r="AF533" s="8">
        <f>Table1[[#This Row],[GrossRevenue]]-Table1[[#This Row],[CostOfGoods]]</f>
        <v>67.769999999999982</v>
      </c>
      <c r="AG533" s="8">
        <f>IF(Table1[[#This Row],[GrossRevenue]]=0,0,Table1[[#This Row],[GrossProfit]]/Table1[[#This Row],[GrossRevenue]])</f>
        <v>0.11232100238663481</v>
      </c>
    </row>
    <row r="534" spans="1:33" hidden="1" x14ac:dyDescent="0.45">
      <c r="A534" t="s">
        <v>547</v>
      </c>
      <c r="C534" s="3">
        <v>45155</v>
      </c>
      <c r="D534" s="3">
        <f>YEAR(Table1[[#This Row],[OrderDate]]) * 100 + MONTH(Table1[[#This Row],[OrderDate]])</f>
        <v>202308</v>
      </c>
      <c r="E534" s="3">
        <f>_xlfn.MINIFS(Table1[OrderMonthKey],Table1[Country],Table1[[#This Row],[Country]])</f>
        <v>202301</v>
      </c>
      <c r="F534" s="3">
        <f>Table1[[#This Row],[CountryFirstMonthKey]]</f>
        <v>202301</v>
      </c>
      <c r="G534" s="3">
        <f>12*(INT(Table1[[#This Row],[OrderMonthKey]]/100)-INT(Table1[[#This Row],[CohortMonthKey]]/100)) + (MOD(Table1[[#This Row],[OrderMonthKey]],100)-MOD(Table1[[#This Row],[CohortMonthKey]],100))</f>
        <v>7</v>
      </c>
      <c r="H534" s="3" t="str">
        <f>TEXT(Table1[[#This Row],[OrderDate]],"MMM-YYYY")</f>
        <v>Aug-2023</v>
      </c>
      <c r="I534" s="3" t="str">
        <f t="shared" si="28"/>
        <v>Q2-2025</v>
      </c>
      <c r="J534" s="3" t="str">
        <f>IF(Table1[[#This Row],[LeadTimeDays]]&lt;=7,"Yes","No")</f>
        <v>No</v>
      </c>
      <c r="K534" s="3">
        <f>_xlfn.DAYS(Table1[[#This Row],[CorrectedRequiredDate]],Table1[[#This Row],[OrderDate]])</f>
        <v>17</v>
      </c>
      <c r="L534" s="3">
        <f>IF(Table1[[#This Row],[RequiredDate]]&lt;Table1[[#This Row],[OrderDate]],Table1[[#This Row],[OrderDate]],Table1[[#This Row],[RequiredDate]])</f>
        <v>45172</v>
      </c>
      <c r="M534" s="3">
        <v>45172</v>
      </c>
      <c r="N534" t="s">
        <v>646</v>
      </c>
      <c r="O534" t="s">
        <v>661</v>
      </c>
      <c r="P534" t="s">
        <v>687</v>
      </c>
      <c r="Q534" t="s">
        <v>706</v>
      </c>
      <c r="R534" t="s">
        <v>707</v>
      </c>
      <c r="S534" t="s">
        <v>720</v>
      </c>
      <c r="T534" t="s">
        <v>730</v>
      </c>
      <c r="U534" t="s">
        <v>1265</v>
      </c>
      <c r="V534" s="8">
        <v>676.37</v>
      </c>
      <c r="W534" s="8">
        <v>1276.67</v>
      </c>
      <c r="X534" s="8">
        <f t="shared" si="29"/>
        <v>815.10700000000008</v>
      </c>
      <c r="Y534" s="8">
        <f t="shared" si="30"/>
        <v>1620.05</v>
      </c>
      <c r="AA534">
        <v>6.6000000000000003E-2</v>
      </c>
      <c r="AB534">
        <f>IF(Table1[[#This Row],[DiscountPct]]&gt;0.2,1,0)</f>
        <v>0</v>
      </c>
      <c r="AC534" s="6">
        <v>10</v>
      </c>
      <c r="AD534" s="8">
        <f>Table1[[#This Row],[UnitPrice]]*Table1[[#This Row],[Quantity]]</f>
        <v>12766.7</v>
      </c>
      <c r="AE534" s="8">
        <f>Table1[[#This Row],[UnitCost]]*Table1[[#This Row],[Quantity]]</f>
        <v>6763.7</v>
      </c>
      <c r="AF534" s="8">
        <f>Table1[[#This Row],[GrossRevenue]]-Table1[[#This Row],[CostOfGoods]]</f>
        <v>6003.0000000000009</v>
      </c>
      <c r="AG534" s="8">
        <f>IF(Table1[[#This Row],[GrossRevenue]]=0,0,Table1[[#This Row],[GrossProfit]]/Table1[[#This Row],[GrossRevenue]])</f>
        <v>0.47020764958838229</v>
      </c>
    </row>
    <row r="535" spans="1:33" hidden="1" x14ac:dyDescent="0.45">
      <c r="A535" t="s">
        <v>548</v>
      </c>
      <c r="C535" s="3">
        <v>45832</v>
      </c>
      <c r="D535" s="3">
        <f>YEAR(Table1[[#This Row],[OrderDate]]) * 100 + MONTH(Table1[[#This Row],[OrderDate]])</f>
        <v>202506</v>
      </c>
      <c r="E535" s="3">
        <f>_xlfn.MINIFS(Table1[OrderMonthKey],Table1[Country],Table1[[#This Row],[Country]])</f>
        <v>202301</v>
      </c>
      <c r="F535" s="3">
        <f>Table1[[#This Row],[CountryFirstMonthKey]]</f>
        <v>202301</v>
      </c>
      <c r="G535" s="3">
        <f>12*(INT(Table1[[#This Row],[OrderMonthKey]]/100)-INT(Table1[[#This Row],[CohortMonthKey]]/100)) + (MOD(Table1[[#This Row],[OrderMonthKey]],100)-MOD(Table1[[#This Row],[CohortMonthKey]],100))</f>
        <v>29</v>
      </c>
      <c r="H535" s="3" t="str">
        <f>TEXT(Table1[[#This Row],[OrderDate]],"MMM-YYYY")</f>
        <v>Jun-2025</v>
      </c>
      <c r="I535" s="3" t="str">
        <f t="shared" si="28"/>
        <v>Q3-2023</v>
      </c>
      <c r="J535" s="3" t="str">
        <f>IF(Table1[[#This Row],[LeadTimeDays]]&lt;=7,"Yes","No")</f>
        <v>No</v>
      </c>
      <c r="K535" s="3">
        <f>_xlfn.DAYS(Table1[[#This Row],[CorrectedRequiredDate]],Table1[[#This Row],[OrderDate]])</f>
        <v>20</v>
      </c>
      <c r="L535" s="3">
        <f>IF(Table1[[#This Row],[RequiredDate]]&lt;Table1[[#This Row],[OrderDate]],Table1[[#This Row],[OrderDate]],Table1[[#This Row],[RequiredDate]])</f>
        <v>45852</v>
      </c>
      <c r="M535" s="3">
        <v>45852</v>
      </c>
      <c r="N535" t="s">
        <v>646</v>
      </c>
      <c r="O535" t="s">
        <v>661</v>
      </c>
      <c r="P535" t="s">
        <v>682</v>
      </c>
      <c r="Q535" t="s">
        <v>706</v>
      </c>
      <c r="R535" t="s">
        <v>709</v>
      </c>
      <c r="S535" t="s">
        <v>713</v>
      </c>
      <c r="T535" t="s">
        <v>731</v>
      </c>
      <c r="U535" t="s">
        <v>1266</v>
      </c>
      <c r="V535" s="8">
        <v>1151.06</v>
      </c>
      <c r="W535" s="8">
        <v>2821.36</v>
      </c>
      <c r="X535" s="8">
        <f t="shared" si="29"/>
        <v>815.10700000000008</v>
      </c>
      <c r="Y535" s="8">
        <f t="shared" si="30"/>
        <v>1620.05</v>
      </c>
      <c r="AA535">
        <v>0.248</v>
      </c>
      <c r="AB535">
        <f>IF(Table1[[#This Row],[DiscountPct]]&gt;0.2,1,0)</f>
        <v>1</v>
      </c>
      <c r="AC535" s="6">
        <v>20</v>
      </c>
      <c r="AD535" s="8">
        <f>Table1[[#This Row],[UnitPrice]]*Table1[[#This Row],[Quantity]]</f>
        <v>56427.200000000004</v>
      </c>
      <c r="AE535" s="8">
        <f>Table1[[#This Row],[UnitCost]]*Table1[[#This Row],[Quantity]]</f>
        <v>23021.199999999997</v>
      </c>
      <c r="AF535" s="8">
        <f>Table1[[#This Row],[GrossRevenue]]-Table1[[#This Row],[CostOfGoods]]</f>
        <v>33406.000000000007</v>
      </c>
      <c r="AG535" s="8">
        <f>IF(Table1[[#This Row],[GrossRevenue]]=0,0,Table1[[#This Row],[GrossProfit]]/Table1[[#This Row],[GrossRevenue]])</f>
        <v>0.59201945161198866</v>
      </c>
    </row>
    <row r="536" spans="1:33" x14ac:dyDescent="0.45">
      <c r="A536" t="s">
        <v>549</v>
      </c>
      <c r="B536">
        <v>1</v>
      </c>
      <c r="C536" s="3">
        <v>45667</v>
      </c>
      <c r="D536" s="6">
        <f>YEAR(Table1[[#This Row],[OrderDate]]) * 100 + MONTH(Table1[[#This Row],[OrderDate]])</f>
        <v>202501</v>
      </c>
      <c r="E536" s="6">
        <f>_xlfn.MINIFS(Table1[OrderMonthKey],Table1[Country],Table1[[#This Row],[Country]])</f>
        <v>202301</v>
      </c>
      <c r="F536" s="6">
        <f>Table1[[#This Row],[CountryFirstMonthKey]]</f>
        <v>202301</v>
      </c>
      <c r="G536" s="6">
        <f>12*(INT(Table1[[#This Row],[OrderMonthKey]]/100)-INT(Table1[[#This Row],[CohortMonthKey]]/100)) + (MOD(Table1[[#This Row],[OrderMonthKey]],100)-MOD(Table1[[#This Row],[CohortMonthKey]],100))</f>
        <v>24</v>
      </c>
      <c r="H536" s="3" t="str">
        <f>TEXT(Table1[[#This Row],[OrderDate]],"MMM-YYYY")</f>
        <v>Jan-2025</v>
      </c>
      <c r="I536" s="3" t="str">
        <f t="shared" si="28"/>
        <v>Q2-2025</v>
      </c>
      <c r="J536" s="26" t="str">
        <f>IF(Table1[[#This Row],[LeadTimeDays]]&lt;=7,"Yes","No")</f>
        <v>No</v>
      </c>
      <c r="K536" s="6">
        <f>_xlfn.DAYS(Table1[[#This Row],[CorrectedRequiredDate]],Table1[[#This Row],[OrderDate]])</f>
        <v>27</v>
      </c>
      <c r="L536" s="3">
        <f>IF(Table1[[#This Row],[RequiredDate]]&lt;Table1[[#This Row],[OrderDate]],Table1[[#This Row],[OrderDate]],Table1[[#This Row],[RequiredDate]])</f>
        <v>45694</v>
      </c>
      <c r="M536" s="3">
        <v>45694</v>
      </c>
      <c r="N536" t="s">
        <v>648</v>
      </c>
      <c r="O536" t="s">
        <v>655</v>
      </c>
      <c r="P536" t="s">
        <v>672</v>
      </c>
      <c r="Q536" t="s">
        <v>703</v>
      </c>
      <c r="R536" t="s">
        <v>707</v>
      </c>
      <c r="S536" t="s">
        <v>717</v>
      </c>
      <c r="T536" t="s">
        <v>731</v>
      </c>
      <c r="U536" t="s">
        <v>1267</v>
      </c>
      <c r="V536" s="8">
        <v>725.62</v>
      </c>
      <c r="W536" s="8">
        <v>1559.19</v>
      </c>
      <c r="X536" s="8">
        <f t="shared" si="29"/>
        <v>815.10700000000008</v>
      </c>
      <c r="Y536" s="8">
        <f t="shared" si="30"/>
        <v>1620.05</v>
      </c>
      <c r="Z536" s="8" t="str">
        <f>IF(W535 &lt;= X534, "Low",IF(W535 &lt;= Y535, "Medium", "High"))</f>
        <v>High</v>
      </c>
      <c r="AA536">
        <v>0.19</v>
      </c>
      <c r="AB536">
        <f>IF(Table1[[#This Row],[DiscountPct]]&gt;0.2,1,0)</f>
        <v>0</v>
      </c>
      <c r="AC536" s="6">
        <v>12</v>
      </c>
      <c r="AD536" s="8">
        <f>Table1[[#This Row],[UnitPrice]]*Table1[[#This Row],[Quantity]]</f>
        <v>18710.28</v>
      </c>
      <c r="AE536" s="8">
        <f>Table1[[#This Row],[UnitCost]]*Table1[[#This Row],[Quantity]]</f>
        <v>8707.44</v>
      </c>
      <c r="AF536" s="8">
        <f>Table1[[#This Row],[GrossRevenue]]-Table1[[#This Row],[CostOfGoods]]</f>
        <v>10002.839999999998</v>
      </c>
      <c r="AG536" s="9">
        <f>IF(Table1[[#This Row],[GrossRevenue]]=0,0,Table1[[#This Row],[GrossProfit]]/Table1[[#This Row],[GrossRevenue]])</f>
        <v>0.53461733335898765</v>
      </c>
    </row>
    <row r="537" spans="1:33" hidden="1" x14ac:dyDescent="0.45">
      <c r="A537" t="s">
        <v>550</v>
      </c>
      <c r="C537" s="3">
        <v>45108</v>
      </c>
      <c r="D537" s="3">
        <f>YEAR(Table1[[#This Row],[OrderDate]]) * 100 + MONTH(Table1[[#This Row],[OrderDate]])</f>
        <v>202307</v>
      </c>
      <c r="E537" s="3">
        <f>_xlfn.MINIFS(Table1[OrderMonthKey],Table1[Country],Table1[[#This Row],[Country]])</f>
        <v>202301</v>
      </c>
      <c r="F537" s="3">
        <f>Table1[[#This Row],[CountryFirstMonthKey]]</f>
        <v>202301</v>
      </c>
      <c r="G537" s="3">
        <f>12*(INT(Table1[[#This Row],[OrderMonthKey]]/100)-INT(Table1[[#This Row],[CohortMonthKey]]/100)) + (MOD(Table1[[#This Row],[OrderMonthKey]],100)-MOD(Table1[[#This Row],[CohortMonthKey]],100))</f>
        <v>6</v>
      </c>
      <c r="H537" s="3" t="str">
        <f>TEXT(Table1[[#This Row],[OrderDate]],"MMM-YYYY")</f>
        <v>Jul-2023</v>
      </c>
      <c r="I537" s="3" t="str">
        <f t="shared" si="28"/>
        <v>Q1-2025</v>
      </c>
      <c r="J537" s="3" t="str">
        <f>IF(Table1[[#This Row],[LeadTimeDays]]&lt;=7,"Yes","No")</f>
        <v>No</v>
      </c>
      <c r="K537" s="3">
        <f>_xlfn.DAYS(Table1[[#This Row],[CorrectedRequiredDate]],Table1[[#This Row],[OrderDate]])</f>
        <v>10</v>
      </c>
      <c r="L537" s="3">
        <f>IF(Table1[[#This Row],[RequiredDate]]&lt;Table1[[#This Row],[OrderDate]],Table1[[#This Row],[OrderDate]],Table1[[#This Row],[RequiredDate]])</f>
        <v>45118</v>
      </c>
      <c r="M537" s="3">
        <v>45118</v>
      </c>
      <c r="N537" t="s">
        <v>649</v>
      </c>
      <c r="O537" t="s">
        <v>657</v>
      </c>
      <c r="P537" t="s">
        <v>690</v>
      </c>
      <c r="Q537" t="s">
        <v>701</v>
      </c>
      <c r="R537" t="s">
        <v>711</v>
      </c>
      <c r="S537" t="s">
        <v>721</v>
      </c>
      <c r="T537" t="s">
        <v>729</v>
      </c>
      <c r="U537" t="s">
        <v>1268</v>
      </c>
      <c r="V537" s="8">
        <v>479.5</v>
      </c>
      <c r="W537" s="8">
        <v>656.66</v>
      </c>
      <c r="X537" s="8">
        <f t="shared" si="29"/>
        <v>815.10700000000008</v>
      </c>
      <c r="Y537" s="8">
        <f t="shared" si="30"/>
        <v>1620.05</v>
      </c>
      <c r="AA537">
        <v>0.14899999999999999</v>
      </c>
      <c r="AB537">
        <f>IF(Table1[[#This Row],[DiscountPct]]&gt;0.2,1,0)</f>
        <v>0</v>
      </c>
      <c r="AC537" s="6">
        <v>14</v>
      </c>
      <c r="AD537" s="8">
        <f>Table1[[#This Row],[UnitPrice]]*Table1[[#This Row],[Quantity]]</f>
        <v>9193.24</v>
      </c>
      <c r="AE537" s="8">
        <f>Table1[[#This Row],[UnitCost]]*Table1[[#This Row],[Quantity]]</f>
        <v>6713</v>
      </c>
      <c r="AF537" s="8">
        <f>Table1[[#This Row],[GrossRevenue]]-Table1[[#This Row],[CostOfGoods]]</f>
        <v>2480.2399999999998</v>
      </c>
      <c r="AG537" s="8">
        <f>IF(Table1[[#This Row],[GrossRevenue]]=0,0,Table1[[#This Row],[GrossProfit]]/Table1[[#This Row],[GrossRevenue]])</f>
        <v>0.26978954101056862</v>
      </c>
    </row>
    <row r="538" spans="1:33" hidden="1" x14ac:dyDescent="0.45">
      <c r="A538" t="s">
        <v>551</v>
      </c>
      <c r="C538" s="3">
        <v>45520</v>
      </c>
      <c r="D538" s="3">
        <f>YEAR(Table1[[#This Row],[OrderDate]]) * 100 + MONTH(Table1[[#This Row],[OrderDate]])</f>
        <v>202408</v>
      </c>
      <c r="E538" s="3">
        <f>_xlfn.MINIFS(Table1[OrderMonthKey],Table1[Country],Table1[[#This Row],[Country]])</f>
        <v>202301</v>
      </c>
      <c r="F538" s="3">
        <f>Table1[[#This Row],[CountryFirstMonthKey]]</f>
        <v>202301</v>
      </c>
      <c r="G538" s="3">
        <f>12*(INT(Table1[[#This Row],[OrderMonthKey]]/100)-INT(Table1[[#This Row],[CohortMonthKey]]/100)) + (MOD(Table1[[#This Row],[OrderMonthKey]],100)-MOD(Table1[[#This Row],[CohortMonthKey]],100))</f>
        <v>19</v>
      </c>
      <c r="H538" s="3" t="str">
        <f>TEXT(Table1[[#This Row],[OrderDate]],"MMM-YYYY")</f>
        <v>Aug-2024</v>
      </c>
      <c r="I538" s="3" t="str">
        <f t="shared" si="28"/>
        <v>Q3-2023</v>
      </c>
      <c r="J538" s="3" t="str">
        <f>IF(Table1[[#This Row],[LeadTimeDays]]&lt;=7,"Yes","No")</f>
        <v>No</v>
      </c>
      <c r="K538" s="3">
        <f>_xlfn.DAYS(Table1[[#This Row],[CorrectedRequiredDate]],Table1[[#This Row],[OrderDate]])</f>
        <v>10</v>
      </c>
      <c r="L538" s="3">
        <f>IF(Table1[[#This Row],[RequiredDate]]&lt;Table1[[#This Row],[OrderDate]],Table1[[#This Row],[OrderDate]],Table1[[#This Row],[RequiredDate]])</f>
        <v>45530</v>
      </c>
      <c r="M538" s="3">
        <v>45530</v>
      </c>
      <c r="N538" t="s">
        <v>648</v>
      </c>
      <c r="O538" t="s">
        <v>660</v>
      </c>
      <c r="P538" t="s">
        <v>677</v>
      </c>
      <c r="Q538" t="s">
        <v>701</v>
      </c>
      <c r="R538" t="s">
        <v>710</v>
      </c>
      <c r="S538" t="s">
        <v>716</v>
      </c>
      <c r="T538" t="s">
        <v>731</v>
      </c>
      <c r="U538" t="s">
        <v>1120</v>
      </c>
      <c r="V538" s="8">
        <v>1291.7</v>
      </c>
      <c r="W538" s="8">
        <v>2657.84</v>
      </c>
      <c r="X538" s="8">
        <f t="shared" si="29"/>
        <v>815.10700000000008</v>
      </c>
      <c r="Y538" s="8">
        <f t="shared" si="30"/>
        <v>1620.05</v>
      </c>
      <c r="AA538">
        <v>8.6999999999999994E-2</v>
      </c>
      <c r="AB538">
        <f>IF(Table1[[#This Row],[DiscountPct]]&gt;0.2,1,0)</f>
        <v>0</v>
      </c>
      <c r="AC538" s="6">
        <v>21</v>
      </c>
      <c r="AD538" s="8">
        <f>Table1[[#This Row],[UnitPrice]]*Table1[[#This Row],[Quantity]]</f>
        <v>55814.64</v>
      </c>
      <c r="AE538" s="8">
        <f>Table1[[#This Row],[UnitCost]]*Table1[[#This Row],[Quantity]]</f>
        <v>27125.7</v>
      </c>
      <c r="AF538" s="8">
        <f>Table1[[#This Row],[GrossRevenue]]-Table1[[#This Row],[CostOfGoods]]</f>
        <v>28688.94</v>
      </c>
      <c r="AG538" s="8">
        <f>IF(Table1[[#This Row],[GrossRevenue]]=0,0,Table1[[#This Row],[GrossProfit]]/Table1[[#This Row],[GrossRevenue]])</f>
        <v>0.51400385275261118</v>
      </c>
    </row>
    <row r="539" spans="1:33" hidden="1" x14ac:dyDescent="0.45">
      <c r="A539" t="s">
        <v>552</v>
      </c>
      <c r="C539" s="3">
        <v>45114</v>
      </c>
      <c r="D539" s="3">
        <f>YEAR(Table1[[#This Row],[OrderDate]]) * 100 + MONTH(Table1[[#This Row],[OrderDate]])</f>
        <v>202307</v>
      </c>
      <c r="E539" s="3">
        <f>_xlfn.MINIFS(Table1[OrderMonthKey],Table1[Country],Table1[[#This Row],[Country]])</f>
        <v>202301</v>
      </c>
      <c r="F539" s="3">
        <f>Table1[[#This Row],[CountryFirstMonthKey]]</f>
        <v>202301</v>
      </c>
      <c r="G539" s="3">
        <f>12*(INT(Table1[[#This Row],[OrderMonthKey]]/100)-INT(Table1[[#This Row],[CohortMonthKey]]/100)) + (MOD(Table1[[#This Row],[OrderMonthKey]],100)-MOD(Table1[[#This Row],[CohortMonthKey]],100))</f>
        <v>6</v>
      </c>
      <c r="H539" s="3" t="str">
        <f>TEXT(Table1[[#This Row],[OrderDate]],"MMM-YYYY")</f>
        <v>Jul-2023</v>
      </c>
      <c r="I539" s="3" t="str">
        <f t="shared" si="28"/>
        <v>Q3-2024</v>
      </c>
      <c r="J539" s="3" t="str">
        <f>IF(Table1[[#This Row],[LeadTimeDays]]&lt;=7,"Yes","No")</f>
        <v>Yes</v>
      </c>
      <c r="K539" s="3">
        <f>_xlfn.DAYS(Table1[[#This Row],[CorrectedRequiredDate]],Table1[[#This Row],[OrderDate]])</f>
        <v>6</v>
      </c>
      <c r="L539" s="3">
        <f>IF(Table1[[#This Row],[RequiredDate]]&lt;Table1[[#This Row],[OrderDate]],Table1[[#This Row],[OrderDate]],Table1[[#This Row],[RequiredDate]])</f>
        <v>45120</v>
      </c>
      <c r="M539" s="3">
        <v>45120</v>
      </c>
      <c r="N539" t="s">
        <v>646</v>
      </c>
      <c r="O539" t="s">
        <v>661</v>
      </c>
      <c r="P539" t="s">
        <v>695</v>
      </c>
      <c r="Q539" t="s">
        <v>705</v>
      </c>
      <c r="R539" t="s">
        <v>709</v>
      </c>
      <c r="S539" t="s">
        <v>717</v>
      </c>
      <c r="T539" t="s">
        <v>733</v>
      </c>
      <c r="U539" t="s">
        <v>1269</v>
      </c>
      <c r="V539" s="8">
        <v>612.59</v>
      </c>
      <c r="W539" s="8">
        <v>1424.74</v>
      </c>
      <c r="X539" s="8">
        <f t="shared" si="29"/>
        <v>815.10700000000008</v>
      </c>
      <c r="Y539" s="8">
        <f t="shared" si="30"/>
        <v>1620.05</v>
      </c>
      <c r="AA539">
        <v>4.3999999999999997E-2</v>
      </c>
      <c r="AB539">
        <f>IF(Table1[[#This Row],[DiscountPct]]&gt;0.2,1,0)</f>
        <v>0</v>
      </c>
      <c r="AC539" s="6">
        <v>15</v>
      </c>
      <c r="AD539" s="8">
        <f>Table1[[#This Row],[UnitPrice]]*Table1[[#This Row],[Quantity]]</f>
        <v>21371.1</v>
      </c>
      <c r="AE539" s="8">
        <f>Table1[[#This Row],[UnitCost]]*Table1[[#This Row],[Quantity]]</f>
        <v>9188.85</v>
      </c>
      <c r="AF539" s="8">
        <f>Table1[[#This Row],[GrossRevenue]]-Table1[[#This Row],[CostOfGoods]]</f>
        <v>12182.249999999998</v>
      </c>
      <c r="AG539" s="8">
        <f>IF(Table1[[#This Row],[GrossRevenue]]=0,0,Table1[[#This Row],[GrossProfit]]/Table1[[#This Row],[GrossRevenue]])</f>
        <v>0.57003383073402858</v>
      </c>
    </row>
    <row r="540" spans="1:33" hidden="1" x14ac:dyDescent="0.45">
      <c r="A540" t="s">
        <v>553</v>
      </c>
      <c r="C540" s="3">
        <v>45288</v>
      </c>
      <c r="D540" s="3">
        <f>YEAR(Table1[[#This Row],[OrderDate]]) * 100 + MONTH(Table1[[#This Row],[OrderDate]])</f>
        <v>202312</v>
      </c>
      <c r="E540" s="3">
        <f>_xlfn.MINIFS(Table1[OrderMonthKey],Table1[Country],Table1[[#This Row],[Country]])</f>
        <v>202301</v>
      </c>
      <c r="F540" s="3">
        <f>Table1[[#This Row],[CountryFirstMonthKey]]</f>
        <v>202301</v>
      </c>
      <c r="G540" s="3">
        <f>12*(INT(Table1[[#This Row],[OrderMonthKey]]/100)-INT(Table1[[#This Row],[CohortMonthKey]]/100)) + (MOD(Table1[[#This Row],[OrderMonthKey]],100)-MOD(Table1[[#This Row],[CohortMonthKey]],100))</f>
        <v>11</v>
      </c>
      <c r="H540" s="3" t="str">
        <f>TEXT(Table1[[#This Row],[OrderDate]],"MMM-YYYY")</f>
        <v>Dec-2023</v>
      </c>
      <c r="I540" s="3" t="str">
        <f t="shared" si="28"/>
        <v>Q3-2023</v>
      </c>
      <c r="J540" s="3" t="str">
        <f>IF(Table1[[#This Row],[LeadTimeDays]]&lt;=7,"Yes","No")</f>
        <v>Yes</v>
      </c>
      <c r="K540" s="3">
        <f>_xlfn.DAYS(Table1[[#This Row],[CorrectedRequiredDate]],Table1[[#This Row],[OrderDate]])</f>
        <v>4</v>
      </c>
      <c r="L540" s="3">
        <f>IF(Table1[[#This Row],[RequiredDate]]&lt;Table1[[#This Row],[OrderDate]],Table1[[#This Row],[OrderDate]],Table1[[#This Row],[RequiredDate]])</f>
        <v>45292</v>
      </c>
      <c r="M540" s="3">
        <v>45292</v>
      </c>
      <c r="N540" t="s">
        <v>646</v>
      </c>
      <c r="O540" t="s">
        <v>661</v>
      </c>
      <c r="P540" t="s">
        <v>695</v>
      </c>
      <c r="Q540" t="s">
        <v>702</v>
      </c>
      <c r="R540" t="s">
        <v>710</v>
      </c>
      <c r="S540" t="s">
        <v>720</v>
      </c>
      <c r="T540" t="s">
        <v>728</v>
      </c>
      <c r="U540" t="s">
        <v>1270</v>
      </c>
      <c r="V540" s="8">
        <v>1141.8</v>
      </c>
      <c r="W540" s="8">
        <v>2318.7399999999998</v>
      </c>
      <c r="X540" s="8">
        <f t="shared" si="29"/>
        <v>815.10700000000008</v>
      </c>
      <c r="Y540" s="8">
        <f t="shared" si="30"/>
        <v>1620.05</v>
      </c>
      <c r="AA540">
        <v>0.107</v>
      </c>
      <c r="AB540">
        <f>IF(Table1[[#This Row],[DiscountPct]]&gt;0.2,1,0)</f>
        <v>0</v>
      </c>
      <c r="AC540" s="6">
        <v>32</v>
      </c>
      <c r="AD540" s="8">
        <f>Table1[[#This Row],[UnitPrice]]*Table1[[#This Row],[Quantity]]</f>
        <v>74199.679999999993</v>
      </c>
      <c r="AE540" s="8">
        <f>Table1[[#This Row],[UnitCost]]*Table1[[#This Row],[Quantity]]</f>
        <v>36537.599999999999</v>
      </c>
      <c r="AF540" s="8">
        <f>Table1[[#This Row],[GrossRevenue]]-Table1[[#This Row],[CostOfGoods]]</f>
        <v>37662.079999999994</v>
      </c>
      <c r="AG540" s="8">
        <f>IF(Table1[[#This Row],[GrossRevenue]]=0,0,Table1[[#This Row],[GrossProfit]]/Table1[[#This Row],[GrossRevenue]])</f>
        <v>0.50757739116934197</v>
      </c>
    </row>
    <row r="541" spans="1:33" hidden="1" x14ac:dyDescent="0.45">
      <c r="A541" t="s">
        <v>554</v>
      </c>
      <c r="C541" s="3">
        <v>44952</v>
      </c>
      <c r="D541" s="3">
        <f>YEAR(Table1[[#This Row],[OrderDate]]) * 100 + MONTH(Table1[[#This Row],[OrderDate]])</f>
        <v>202301</v>
      </c>
      <c r="E541" s="3">
        <f>_xlfn.MINIFS(Table1[OrderMonthKey],Table1[Country],Table1[[#This Row],[Country]])</f>
        <v>202301</v>
      </c>
      <c r="F541" s="3">
        <f>Table1[[#This Row],[CountryFirstMonthKey]]</f>
        <v>202301</v>
      </c>
      <c r="G541" s="3">
        <f>12*(INT(Table1[[#This Row],[OrderMonthKey]]/100)-INT(Table1[[#This Row],[CohortMonthKey]]/100)) + (MOD(Table1[[#This Row],[OrderMonthKey]],100)-MOD(Table1[[#This Row],[CohortMonthKey]],100))</f>
        <v>0</v>
      </c>
      <c r="H541" s="3" t="str">
        <f>TEXT(Table1[[#This Row],[OrderDate]],"MMM-YYYY")</f>
        <v>Jan-2023</v>
      </c>
      <c r="I541" s="3" t="str">
        <f t="shared" si="28"/>
        <v>Q4-2023</v>
      </c>
      <c r="J541" s="3" t="str">
        <f>IF(Table1[[#This Row],[LeadTimeDays]]&lt;=7,"Yes","No")</f>
        <v>No</v>
      </c>
      <c r="K541" s="3">
        <f>_xlfn.DAYS(Table1[[#This Row],[CorrectedRequiredDate]],Table1[[#This Row],[OrderDate]])</f>
        <v>20</v>
      </c>
      <c r="L541" s="3">
        <f>IF(Table1[[#This Row],[RequiredDate]]&lt;Table1[[#This Row],[OrderDate]],Table1[[#This Row],[OrderDate]],Table1[[#This Row],[RequiredDate]])</f>
        <v>44972</v>
      </c>
      <c r="M541" s="3">
        <v>44972</v>
      </c>
      <c r="N541" t="s">
        <v>649</v>
      </c>
      <c r="O541" t="s">
        <v>656</v>
      </c>
      <c r="P541" t="s">
        <v>671</v>
      </c>
      <c r="Q541" t="s">
        <v>705</v>
      </c>
      <c r="R541" t="s">
        <v>708</v>
      </c>
      <c r="S541" t="s">
        <v>719</v>
      </c>
      <c r="T541" t="s">
        <v>729</v>
      </c>
      <c r="U541" t="s">
        <v>1271</v>
      </c>
      <c r="V541" s="8">
        <v>492.62</v>
      </c>
      <c r="W541" s="8">
        <v>366.7</v>
      </c>
      <c r="X541" s="8">
        <f t="shared" si="29"/>
        <v>815.10700000000008</v>
      </c>
      <c r="Y541" s="8">
        <f t="shared" si="30"/>
        <v>1620.05</v>
      </c>
      <c r="AA541">
        <v>8.8999999999999996E-2</v>
      </c>
      <c r="AB541">
        <f>IF(Table1[[#This Row],[DiscountPct]]&gt;0.2,1,0)</f>
        <v>0</v>
      </c>
      <c r="AC541" s="6">
        <v>10</v>
      </c>
      <c r="AD541" s="8">
        <f>Table1[[#This Row],[UnitPrice]]*Table1[[#This Row],[Quantity]]</f>
        <v>3667</v>
      </c>
      <c r="AE541" s="8">
        <f>Table1[[#This Row],[UnitCost]]*Table1[[#This Row],[Quantity]]</f>
        <v>4926.2</v>
      </c>
      <c r="AF541" s="8">
        <f>Table1[[#This Row],[GrossRevenue]]-Table1[[#This Row],[CostOfGoods]]</f>
        <v>-1259.1999999999998</v>
      </c>
      <c r="AG541" s="8">
        <f>IF(Table1[[#This Row],[GrossRevenue]]=0,0,Table1[[#This Row],[GrossProfit]]/Table1[[#This Row],[GrossRevenue]])</f>
        <v>-0.34338696482137981</v>
      </c>
    </row>
    <row r="542" spans="1:33" hidden="1" x14ac:dyDescent="0.45">
      <c r="A542" t="s">
        <v>555</v>
      </c>
      <c r="C542" s="3">
        <v>45115</v>
      </c>
      <c r="D542" s="3">
        <f>YEAR(Table1[[#This Row],[OrderDate]]) * 100 + MONTH(Table1[[#This Row],[OrderDate]])</f>
        <v>202307</v>
      </c>
      <c r="E542" s="3">
        <f>_xlfn.MINIFS(Table1[OrderMonthKey],Table1[Country],Table1[[#This Row],[Country]])</f>
        <v>202301</v>
      </c>
      <c r="F542" s="3">
        <f>Table1[[#This Row],[CountryFirstMonthKey]]</f>
        <v>202301</v>
      </c>
      <c r="G542" s="3">
        <f>12*(INT(Table1[[#This Row],[OrderMonthKey]]/100)-INT(Table1[[#This Row],[CohortMonthKey]]/100)) + (MOD(Table1[[#This Row],[OrderMonthKey]],100)-MOD(Table1[[#This Row],[CohortMonthKey]],100))</f>
        <v>6</v>
      </c>
      <c r="H542" s="3" t="str">
        <f>TEXT(Table1[[#This Row],[OrderDate]],"MMM-YYYY")</f>
        <v>Jul-2023</v>
      </c>
      <c r="I542" s="3" t="str">
        <f t="shared" si="28"/>
        <v>Q1-2023</v>
      </c>
      <c r="J542" s="3" t="str">
        <f>IF(Table1[[#This Row],[LeadTimeDays]]&lt;=7,"Yes","No")</f>
        <v>Yes</v>
      </c>
      <c r="K542" s="3">
        <f>_xlfn.DAYS(Table1[[#This Row],[CorrectedRequiredDate]],Table1[[#This Row],[OrderDate]])</f>
        <v>1</v>
      </c>
      <c r="L542" s="3">
        <f>IF(Table1[[#This Row],[RequiredDate]]&lt;Table1[[#This Row],[OrderDate]],Table1[[#This Row],[OrderDate]],Table1[[#This Row],[RequiredDate]])</f>
        <v>45116</v>
      </c>
      <c r="M542" s="3">
        <v>45116</v>
      </c>
      <c r="N542" t="s">
        <v>646</v>
      </c>
      <c r="O542" t="s">
        <v>650</v>
      </c>
      <c r="P542" t="s">
        <v>664</v>
      </c>
      <c r="Q542" t="s">
        <v>704</v>
      </c>
      <c r="R542" t="s">
        <v>708</v>
      </c>
      <c r="S542" t="s">
        <v>726</v>
      </c>
      <c r="T542" t="s">
        <v>731</v>
      </c>
      <c r="U542" t="s">
        <v>1272</v>
      </c>
      <c r="V542" s="8">
        <v>1258.72</v>
      </c>
      <c r="W542" s="8">
        <v>2797.41</v>
      </c>
      <c r="X542" s="8">
        <f t="shared" si="29"/>
        <v>815.10700000000008</v>
      </c>
      <c r="Y542" s="8">
        <f t="shared" si="30"/>
        <v>1620.05</v>
      </c>
      <c r="AA542">
        <v>0</v>
      </c>
      <c r="AB542">
        <f>IF(Table1[[#This Row],[DiscountPct]]&gt;0.2,1,0)</f>
        <v>0</v>
      </c>
      <c r="AC542" s="6">
        <v>7</v>
      </c>
      <c r="AD542" s="8">
        <f>Table1[[#This Row],[UnitPrice]]*Table1[[#This Row],[Quantity]]</f>
        <v>19581.87</v>
      </c>
      <c r="AE542" s="8">
        <f>Table1[[#This Row],[UnitCost]]*Table1[[#This Row],[Quantity]]</f>
        <v>8811.0400000000009</v>
      </c>
      <c r="AF542" s="8">
        <f>Table1[[#This Row],[GrossRevenue]]-Table1[[#This Row],[CostOfGoods]]</f>
        <v>10770.829999999998</v>
      </c>
      <c r="AG542" s="8">
        <f>IF(Table1[[#This Row],[GrossRevenue]]=0,0,Table1[[#This Row],[GrossProfit]]/Table1[[#This Row],[GrossRevenue]])</f>
        <v>0.55004093071805704</v>
      </c>
    </row>
    <row r="543" spans="1:33" x14ac:dyDescent="0.45">
      <c r="A543" t="s">
        <v>556</v>
      </c>
      <c r="B543">
        <v>1</v>
      </c>
      <c r="C543" s="3">
        <v>45450</v>
      </c>
      <c r="D543" s="6">
        <f>YEAR(Table1[[#This Row],[OrderDate]]) * 100 + MONTH(Table1[[#This Row],[OrderDate]])</f>
        <v>202406</v>
      </c>
      <c r="E543" s="6">
        <f>_xlfn.MINIFS(Table1[OrderMonthKey],Table1[Country],Table1[[#This Row],[Country]])</f>
        <v>202301</v>
      </c>
      <c r="F543" s="6">
        <f>Table1[[#This Row],[CountryFirstMonthKey]]</f>
        <v>202301</v>
      </c>
      <c r="G543" s="6">
        <f>12*(INT(Table1[[#This Row],[OrderMonthKey]]/100)-INT(Table1[[#This Row],[CohortMonthKey]]/100)) + (MOD(Table1[[#This Row],[OrderMonthKey]],100)-MOD(Table1[[#This Row],[CohortMonthKey]],100))</f>
        <v>17</v>
      </c>
      <c r="H543" s="3" t="str">
        <f>TEXT(Table1[[#This Row],[OrderDate]],"MMM-YYYY")</f>
        <v>Jun-2024</v>
      </c>
      <c r="I543" s="3" t="str">
        <f t="shared" si="28"/>
        <v>Q3-2023</v>
      </c>
      <c r="J543" s="26" t="str">
        <f>IF(Table1[[#This Row],[LeadTimeDays]]&lt;=7,"Yes","No")</f>
        <v>Yes</v>
      </c>
      <c r="K543" s="6">
        <f>_xlfn.DAYS(Table1[[#This Row],[CorrectedRequiredDate]],Table1[[#This Row],[OrderDate]])</f>
        <v>2</v>
      </c>
      <c r="L543" s="3">
        <f>IF(Table1[[#This Row],[RequiredDate]]&lt;Table1[[#This Row],[OrderDate]],Table1[[#This Row],[OrderDate]],Table1[[#This Row],[RequiredDate]])</f>
        <v>45452</v>
      </c>
      <c r="M543" s="3">
        <v>45452</v>
      </c>
      <c r="N543" t="s">
        <v>647</v>
      </c>
      <c r="O543" t="s">
        <v>659</v>
      </c>
      <c r="P543" t="s">
        <v>685</v>
      </c>
      <c r="Q543" t="s">
        <v>701</v>
      </c>
      <c r="R543" t="s">
        <v>707</v>
      </c>
      <c r="S543" t="s">
        <v>719</v>
      </c>
      <c r="T543" t="s">
        <v>732</v>
      </c>
      <c r="U543" t="s">
        <v>1273</v>
      </c>
      <c r="V543" s="8">
        <v>1370.28</v>
      </c>
      <c r="W543" s="8">
        <v>2209.66</v>
      </c>
      <c r="X543" s="8">
        <f t="shared" si="29"/>
        <v>815.10700000000008</v>
      </c>
      <c r="Y543" s="8">
        <f t="shared" si="30"/>
        <v>1620.05</v>
      </c>
      <c r="Z543" s="8" t="str">
        <f>IF(W542 &lt;= X541, "Low",IF(W542 &lt;= Y542, "Medium", "High"))</f>
        <v>High</v>
      </c>
      <c r="AA543">
        <v>0.13300000000000001</v>
      </c>
      <c r="AB543">
        <f>IF(Table1[[#This Row],[DiscountPct]]&gt;0.2,1,0)</f>
        <v>0</v>
      </c>
      <c r="AC543" s="6">
        <v>16</v>
      </c>
      <c r="AD543" s="8">
        <f>Table1[[#This Row],[UnitPrice]]*Table1[[#This Row],[Quantity]]</f>
        <v>35354.559999999998</v>
      </c>
      <c r="AE543" s="8">
        <f>Table1[[#This Row],[UnitCost]]*Table1[[#This Row],[Quantity]]</f>
        <v>21924.48</v>
      </c>
      <c r="AF543" s="8">
        <f>Table1[[#This Row],[GrossRevenue]]-Table1[[#This Row],[CostOfGoods]]</f>
        <v>13430.079999999998</v>
      </c>
      <c r="AG543" s="9">
        <f>IF(Table1[[#This Row],[GrossRevenue]]=0,0,Table1[[#This Row],[GrossProfit]]/Table1[[#This Row],[GrossRevenue]])</f>
        <v>0.37986839604283007</v>
      </c>
    </row>
    <row r="544" spans="1:33" x14ac:dyDescent="0.45">
      <c r="A544" t="s">
        <v>557</v>
      </c>
      <c r="B544">
        <v>1</v>
      </c>
      <c r="C544" s="3">
        <v>44968</v>
      </c>
      <c r="D544" s="6">
        <f>YEAR(Table1[[#This Row],[OrderDate]]) * 100 + MONTH(Table1[[#This Row],[OrderDate]])</f>
        <v>202302</v>
      </c>
      <c r="E544" s="6">
        <f>_xlfn.MINIFS(Table1[OrderMonthKey],Table1[Country],Table1[[#This Row],[Country]])</f>
        <v>202301</v>
      </c>
      <c r="F544" s="6">
        <f>Table1[[#This Row],[CountryFirstMonthKey]]</f>
        <v>202301</v>
      </c>
      <c r="G544" s="6">
        <f>12*(INT(Table1[[#This Row],[OrderMonthKey]]/100)-INT(Table1[[#This Row],[CohortMonthKey]]/100)) + (MOD(Table1[[#This Row],[OrderMonthKey]],100)-MOD(Table1[[#This Row],[CohortMonthKey]],100))</f>
        <v>1</v>
      </c>
      <c r="H544" s="3" t="str">
        <f>TEXT(Table1[[#This Row],[OrderDate]],"MMM-YYYY")</f>
        <v>Feb-2023</v>
      </c>
      <c r="I544" s="3" t="str">
        <f t="shared" si="28"/>
        <v>Q2-2024</v>
      </c>
      <c r="J544" s="26" t="str">
        <f>IF(Table1[[#This Row],[LeadTimeDays]]&lt;=7,"Yes","No")</f>
        <v>Yes</v>
      </c>
      <c r="K544" s="6">
        <f>_xlfn.DAYS(Table1[[#This Row],[CorrectedRequiredDate]],Table1[[#This Row],[OrderDate]])</f>
        <v>1</v>
      </c>
      <c r="L544" s="3">
        <f>IF(Table1[[#This Row],[RequiredDate]]&lt;Table1[[#This Row],[OrderDate]],Table1[[#This Row],[OrderDate]],Table1[[#This Row],[RequiredDate]])</f>
        <v>44969</v>
      </c>
      <c r="M544" s="3">
        <v>44969</v>
      </c>
      <c r="N544" t="s">
        <v>646</v>
      </c>
      <c r="O544" t="s">
        <v>651</v>
      </c>
      <c r="P544" t="s">
        <v>663</v>
      </c>
      <c r="Q544" t="s">
        <v>703</v>
      </c>
      <c r="R544" t="s">
        <v>711</v>
      </c>
      <c r="S544" t="s">
        <v>726</v>
      </c>
      <c r="T544" t="s">
        <v>733</v>
      </c>
      <c r="U544" t="s">
        <v>1274</v>
      </c>
      <c r="V544" s="8">
        <v>944.61</v>
      </c>
      <c r="W544" s="8">
        <v>839.04</v>
      </c>
      <c r="X544" s="8">
        <f t="shared" si="29"/>
        <v>815.10700000000008</v>
      </c>
      <c r="Y544" s="8">
        <f t="shared" si="30"/>
        <v>1620.05</v>
      </c>
      <c r="Z544" s="8" t="str">
        <f>IF(W543 &lt;= X542, "Low",IF(W543 &lt;= Y543, "Medium", "High"))</f>
        <v>High</v>
      </c>
      <c r="AA544">
        <v>5.8999999999999997E-2</v>
      </c>
      <c r="AB544">
        <f>IF(Table1[[#This Row],[DiscountPct]]&gt;0.2,1,0)</f>
        <v>0</v>
      </c>
      <c r="AC544" s="6">
        <v>6</v>
      </c>
      <c r="AD544" s="8">
        <f>Table1[[#This Row],[UnitPrice]]*Table1[[#This Row],[Quantity]]</f>
        <v>5034.24</v>
      </c>
      <c r="AE544" s="8">
        <f>Table1[[#This Row],[UnitCost]]*Table1[[#This Row],[Quantity]]</f>
        <v>5667.66</v>
      </c>
      <c r="AF544" s="8">
        <f>Table1[[#This Row],[GrossRevenue]]-Table1[[#This Row],[CostOfGoods]]</f>
        <v>-633.42000000000007</v>
      </c>
      <c r="AG544" s="9">
        <f>IF(Table1[[#This Row],[GrossRevenue]]=0,0,Table1[[#This Row],[GrossProfit]]/Table1[[#This Row],[GrossRevenue]])</f>
        <v>-0.12582236842105265</v>
      </c>
    </row>
    <row r="545" spans="1:33" hidden="1" x14ac:dyDescent="0.45">
      <c r="A545" t="s">
        <v>558</v>
      </c>
      <c r="C545" s="3">
        <v>45108</v>
      </c>
      <c r="D545" s="3">
        <f>YEAR(Table1[[#This Row],[OrderDate]]) * 100 + MONTH(Table1[[#This Row],[OrderDate]])</f>
        <v>202307</v>
      </c>
      <c r="E545" s="3">
        <f>_xlfn.MINIFS(Table1[OrderMonthKey],Table1[Country],Table1[[#This Row],[Country]])</f>
        <v>202301</v>
      </c>
      <c r="F545" s="3">
        <f>Table1[[#This Row],[CountryFirstMonthKey]]</f>
        <v>202301</v>
      </c>
      <c r="G545" s="3">
        <f>12*(INT(Table1[[#This Row],[OrderMonthKey]]/100)-INT(Table1[[#This Row],[CohortMonthKey]]/100)) + (MOD(Table1[[#This Row],[OrderMonthKey]],100)-MOD(Table1[[#This Row],[CohortMonthKey]],100))</f>
        <v>6</v>
      </c>
      <c r="H545" s="3" t="str">
        <f>TEXT(Table1[[#This Row],[OrderDate]],"MMM-YYYY")</f>
        <v>Jul-2023</v>
      </c>
      <c r="I545" s="3" t="str">
        <f t="shared" si="28"/>
        <v>Q1-2023</v>
      </c>
      <c r="J545" s="3" t="str">
        <f>IF(Table1[[#This Row],[LeadTimeDays]]&lt;=7,"Yes","No")</f>
        <v>Yes</v>
      </c>
      <c r="K545" s="3">
        <f>_xlfn.DAYS(Table1[[#This Row],[CorrectedRequiredDate]],Table1[[#This Row],[OrderDate]])</f>
        <v>7</v>
      </c>
      <c r="L545" s="3">
        <f>IF(Table1[[#This Row],[RequiredDate]]&lt;Table1[[#This Row],[OrderDate]],Table1[[#This Row],[OrderDate]],Table1[[#This Row],[RequiredDate]])</f>
        <v>45115</v>
      </c>
      <c r="M545" s="3">
        <v>45115</v>
      </c>
      <c r="N545" t="s">
        <v>649</v>
      </c>
      <c r="O545" t="s">
        <v>656</v>
      </c>
      <c r="P545" t="s">
        <v>698</v>
      </c>
      <c r="Q545" t="s">
        <v>705</v>
      </c>
      <c r="R545" t="s">
        <v>710</v>
      </c>
      <c r="S545" t="s">
        <v>725</v>
      </c>
      <c r="T545" t="s">
        <v>731</v>
      </c>
      <c r="U545" t="s">
        <v>1275</v>
      </c>
      <c r="V545" s="8">
        <v>460.21</v>
      </c>
      <c r="W545" s="8">
        <v>1139.1500000000001</v>
      </c>
      <c r="X545" s="8">
        <f t="shared" si="29"/>
        <v>815.10700000000008</v>
      </c>
      <c r="Y545" s="8">
        <f t="shared" si="30"/>
        <v>1620.05</v>
      </c>
      <c r="AA545">
        <v>0.115</v>
      </c>
      <c r="AB545">
        <f>IF(Table1[[#This Row],[DiscountPct]]&gt;0.2,1,0)</f>
        <v>0</v>
      </c>
      <c r="AC545" s="6">
        <v>14</v>
      </c>
      <c r="AD545" s="8">
        <f>Table1[[#This Row],[UnitPrice]]*Table1[[#This Row],[Quantity]]</f>
        <v>15948.100000000002</v>
      </c>
      <c r="AE545" s="8">
        <f>Table1[[#This Row],[UnitCost]]*Table1[[#This Row],[Quantity]]</f>
        <v>6442.94</v>
      </c>
      <c r="AF545" s="8">
        <f>Table1[[#This Row],[GrossRevenue]]-Table1[[#This Row],[CostOfGoods]]</f>
        <v>9505.1600000000035</v>
      </c>
      <c r="AG545" s="8">
        <f>IF(Table1[[#This Row],[GrossRevenue]]=0,0,Table1[[#This Row],[GrossProfit]]/Table1[[#This Row],[GrossRevenue]])</f>
        <v>0.59600579379361818</v>
      </c>
    </row>
    <row r="546" spans="1:33" hidden="1" x14ac:dyDescent="0.45">
      <c r="A546" t="s">
        <v>559</v>
      </c>
      <c r="C546" s="3">
        <v>45889</v>
      </c>
      <c r="D546" s="3">
        <f>YEAR(Table1[[#This Row],[OrderDate]]) * 100 + MONTH(Table1[[#This Row],[OrderDate]])</f>
        <v>202508</v>
      </c>
      <c r="E546" s="3">
        <f>_xlfn.MINIFS(Table1[OrderMonthKey],Table1[Country],Table1[[#This Row],[Country]])</f>
        <v>202301</v>
      </c>
      <c r="F546" s="3">
        <f>Table1[[#This Row],[CountryFirstMonthKey]]</f>
        <v>202301</v>
      </c>
      <c r="G546" s="3">
        <f>12*(INT(Table1[[#This Row],[OrderMonthKey]]/100)-INT(Table1[[#This Row],[CohortMonthKey]]/100)) + (MOD(Table1[[#This Row],[OrderMonthKey]],100)-MOD(Table1[[#This Row],[CohortMonthKey]],100))</f>
        <v>31</v>
      </c>
      <c r="H546" s="3" t="str">
        <f>TEXT(Table1[[#This Row],[OrderDate]],"MMM-YYYY")</f>
        <v>Aug-2025</v>
      </c>
      <c r="I546" s="3" t="str">
        <f t="shared" si="28"/>
        <v>Q3-2023</v>
      </c>
      <c r="J546" s="3" t="str">
        <f>IF(Table1[[#This Row],[LeadTimeDays]]&lt;=7,"Yes","No")</f>
        <v>Yes</v>
      </c>
      <c r="K546" s="3">
        <f>_xlfn.DAYS(Table1[[#This Row],[CorrectedRequiredDate]],Table1[[#This Row],[OrderDate]])</f>
        <v>6</v>
      </c>
      <c r="L546" s="3">
        <f>IF(Table1[[#This Row],[RequiredDate]]&lt;Table1[[#This Row],[OrderDate]],Table1[[#This Row],[OrderDate]],Table1[[#This Row],[RequiredDate]])</f>
        <v>45895</v>
      </c>
      <c r="M546" s="3">
        <v>45895</v>
      </c>
      <c r="N546" t="s">
        <v>648</v>
      </c>
      <c r="O546" t="s">
        <v>660</v>
      </c>
      <c r="P546" t="s">
        <v>700</v>
      </c>
      <c r="Q546" t="s">
        <v>701</v>
      </c>
      <c r="R546" t="s">
        <v>707</v>
      </c>
      <c r="S546" t="s">
        <v>724</v>
      </c>
      <c r="T546" t="s">
        <v>729</v>
      </c>
      <c r="U546" t="s">
        <v>1276</v>
      </c>
      <c r="V546" s="8">
        <v>1304.95</v>
      </c>
      <c r="W546" s="8">
        <v>1712.03</v>
      </c>
      <c r="X546" s="8">
        <f t="shared" si="29"/>
        <v>815.10700000000008</v>
      </c>
      <c r="Y546" s="8">
        <f t="shared" si="30"/>
        <v>1620.05</v>
      </c>
      <c r="AA546">
        <v>0.21199999999999999</v>
      </c>
      <c r="AB546">
        <f>IF(Table1[[#This Row],[DiscountPct]]&gt;0.2,1,0)</f>
        <v>1</v>
      </c>
      <c r="AC546" s="6">
        <v>8</v>
      </c>
      <c r="AD546" s="8">
        <f>Table1[[#This Row],[UnitPrice]]*Table1[[#This Row],[Quantity]]</f>
        <v>13696.24</v>
      </c>
      <c r="AE546" s="8">
        <f>Table1[[#This Row],[UnitCost]]*Table1[[#This Row],[Quantity]]</f>
        <v>10439.6</v>
      </c>
      <c r="AF546" s="8">
        <f>Table1[[#This Row],[GrossRevenue]]-Table1[[#This Row],[CostOfGoods]]</f>
        <v>3256.6399999999994</v>
      </c>
      <c r="AG546" s="8">
        <f>IF(Table1[[#This Row],[GrossRevenue]]=0,0,Table1[[#This Row],[GrossProfit]]/Table1[[#This Row],[GrossRevenue]])</f>
        <v>0.23777620719263093</v>
      </c>
    </row>
    <row r="547" spans="1:33" hidden="1" x14ac:dyDescent="0.45">
      <c r="A547" t="s">
        <v>560</v>
      </c>
      <c r="C547" s="3">
        <v>45355</v>
      </c>
      <c r="D547" s="3">
        <f>YEAR(Table1[[#This Row],[OrderDate]]) * 100 + MONTH(Table1[[#This Row],[OrderDate]])</f>
        <v>202403</v>
      </c>
      <c r="E547" s="3">
        <f>_xlfn.MINIFS(Table1[OrderMonthKey],Table1[Country],Table1[[#This Row],[Country]])</f>
        <v>202301</v>
      </c>
      <c r="F547" s="3">
        <f>Table1[[#This Row],[CountryFirstMonthKey]]</f>
        <v>202301</v>
      </c>
      <c r="G547" s="3">
        <f>12*(INT(Table1[[#This Row],[OrderMonthKey]]/100)-INT(Table1[[#This Row],[CohortMonthKey]]/100)) + (MOD(Table1[[#This Row],[OrderMonthKey]],100)-MOD(Table1[[#This Row],[CohortMonthKey]],100))</f>
        <v>14</v>
      </c>
      <c r="H547" s="3" t="str">
        <f>TEXT(Table1[[#This Row],[OrderDate]],"MMM-YYYY")</f>
        <v>Mar-2024</v>
      </c>
      <c r="I547" s="3" t="str">
        <f t="shared" si="28"/>
        <v>Q3-2025</v>
      </c>
      <c r="J547" s="3" t="str">
        <f>IF(Table1[[#This Row],[LeadTimeDays]]&lt;=7,"Yes","No")</f>
        <v>No</v>
      </c>
      <c r="K547" s="3">
        <f>_xlfn.DAYS(Table1[[#This Row],[CorrectedRequiredDate]],Table1[[#This Row],[OrderDate]])</f>
        <v>12</v>
      </c>
      <c r="L547" s="3">
        <f>IF(Table1[[#This Row],[RequiredDate]]&lt;Table1[[#This Row],[OrderDate]],Table1[[#This Row],[OrderDate]],Table1[[#This Row],[RequiredDate]])</f>
        <v>45367</v>
      </c>
      <c r="M547" s="3">
        <v>45367</v>
      </c>
      <c r="N547" t="s">
        <v>646</v>
      </c>
      <c r="O547" t="s">
        <v>661</v>
      </c>
      <c r="P547" t="s">
        <v>682</v>
      </c>
      <c r="Q547" t="s">
        <v>706</v>
      </c>
      <c r="R547" t="s">
        <v>710</v>
      </c>
      <c r="S547" t="s">
        <v>724</v>
      </c>
      <c r="T547" t="s">
        <v>732</v>
      </c>
      <c r="U547" t="s">
        <v>1277</v>
      </c>
      <c r="V547" s="8">
        <v>441.08</v>
      </c>
      <c r="W547" s="8">
        <v>1054.29</v>
      </c>
      <c r="X547" s="8">
        <f t="shared" si="29"/>
        <v>815.10700000000008</v>
      </c>
      <c r="Y547" s="8">
        <f t="shared" si="30"/>
        <v>1620.05</v>
      </c>
      <c r="AA547">
        <v>0.23699999999999999</v>
      </c>
      <c r="AB547">
        <f>IF(Table1[[#This Row],[DiscountPct]]&gt;0.2,1,0)</f>
        <v>1</v>
      </c>
      <c r="AC547" s="6">
        <v>6</v>
      </c>
      <c r="AD547" s="8">
        <f>Table1[[#This Row],[UnitPrice]]*Table1[[#This Row],[Quantity]]</f>
        <v>6325.74</v>
      </c>
      <c r="AE547" s="8">
        <f>Table1[[#This Row],[UnitCost]]*Table1[[#This Row],[Quantity]]</f>
        <v>2646.48</v>
      </c>
      <c r="AF547" s="8">
        <f>Table1[[#This Row],[GrossRevenue]]-Table1[[#This Row],[CostOfGoods]]</f>
        <v>3679.2599999999998</v>
      </c>
      <c r="AG547" s="8">
        <f>IF(Table1[[#This Row],[GrossRevenue]]=0,0,Table1[[#This Row],[GrossProfit]]/Table1[[#This Row],[GrossRevenue]])</f>
        <v>0.58163313699266805</v>
      </c>
    </row>
    <row r="548" spans="1:33" x14ac:dyDescent="0.45">
      <c r="A548" t="s">
        <v>561</v>
      </c>
      <c r="B548">
        <v>1</v>
      </c>
      <c r="C548" s="3">
        <v>45177</v>
      </c>
      <c r="D548" s="6">
        <f>YEAR(Table1[[#This Row],[OrderDate]]) * 100 + MONTH(Table1[[#This Row],[OrderDate]])</f>
        <v>202309</v>
      </c>
      <c r="E548" s="6">
        <f>_xlfn.MINIFS(Table1[OrderMonthKey],Table1[Country],Table1[[#This Row],[Country]])</f>
        <v>202301</v>
      </c>
      <c r="F548" s="6">
        <f>Table1[[#This Row],[CountryFirstMonthKey]]</f>
        <v>202301</v>
      </c>
      <c r="G548" s="6">
        <f>12*(INT(Table1[[#This Row],[OrderMonthKey]]/100)-INT(Table1[[#This Row],[CohortMonthKey]]/100)) + (MOD(Table1[[#This Row],[OrderMonthKey]],100)-MOD(Table1[[#This Row],[CohortMonthKey]],100))</f>
        <v>8</v>
      </c>
      <c r="H548" s="3" t="str">
        <f>TEXT(Table1[[#This Row],[OrderDate]],"MMM-YYYY")</f>
        <v>Sep-2023</v>
      </c>
      <c r="I548" s="3" t="str">
        <f t="shared" si="28"/>
        <v>Q1-2024</v>
      </c>
      <c r="J548" s="26" t="str">
        <f>IF(Table1[[#This Row],[LeadTimeDays]]&lt;=7,"Yes","No")</f>
        <v>No</v>
      </c>
      <c r="K548" s="6">
        <f>_xlfn.DAYS(Table1[[#This Row],[CorrectedRequiredDate]],Table1[[#This Row],[OrderDate]])</f>
        <v>24</v>
      </c>
      <c r="L548" s="3">
        <f>IF(Table1[[#This Row],[RequiredDate]]&lt;Table1[[#This Row],[OrderDate]],Table1[[#This Row],[OrderDate]],Table1[[#This Row],[RequiredDate]])</f>
        <v>45201</v>
      </c>
      <c r="M548" s="3">
        <v>45201</v>
      </c>
      <c r="N548" t="s">
        <v>648</v>
      </c>
      <c r="O548" t="s">
        <v>653</v>
      </c>
      <c r="P548" t="s">
        <v>667</v>
      </c>
      <c r="Q548" t="s">
        <v>702</v>
      </c>
      <c r="R548" t="s">
        <v>711</v>
      </c>
      <c r="S548" t="s">
        <v>720</v>
      </c>
      <c r="T548" t="s">
        <v>733</v>
      </c>
      <c r="U548" t="s">
        <v>1278</v>
      </c>
      <c r="V548" s="8">
        <v>1299.03</v>
      </c>
      <c r="W548" s="8">
        <v>2451.2199999999998</v>
      </c>
      <c r="X548" s="8">
        <f t="shared" si="29"/>
        <v>815.10700000000008</v>
      </c>
      <c r="Y548" s="8">
        <f t="shared" si="30"/>
        <v>1620.05</v>
      </c>
      <c r="Z548" s="8" t="str">
        <f>IF(W547 &lt;= X546, "Low",IF(W547 &lt;= Y547, "Medium", "High"))</f>
        <v>Medium</v>
      </c>
      <c r="AA548">
        <v>0.20799999999999999</v>
      </c>
      <c r="AB548">
        <f>IF(Table1[[#This Row],[DiscountPct]]&gt;0.2,1,0)</f>
        <v>1</v>
      </c>
      <c r="AC548" s="6">
        <v>8</v>
      </c>
      <c r="AD548" s="8">
        <f>Table1[[#This Row],[UnitPrice]]*Table1[[#This Row],[Quantity]]</f>
        <v>19609.759999999998</v>
      </c>
      <c r="AE548" s="8">
        <f>Table1[[#This Row],[UnitCost]]*Table1[[#This Row],[Quantity]]</f>
        <v>10392.24</v>
      </c>
      <c r="AF548" s="8">
        <f>Table1[[#This Row],[GrossRevenue]]-Table1[[#This Row],[CostOfGoods]]</f>
        <v>9217.5199999999986</v>
      </c>
      <c r="AG548" s="9">
        <f>IF(Table1[[#This Row],[GrossRevenue]]=0,0,Table1[[#This Row],[GrossProfit]]/Table1[[#This Row],[GrossRevenue]])</f>
        <v>0.47004756814973764</v>
      </c>
    </row>
    <row r="549" spans="1:33" hidden="1" x14ac:dyDescent="0.45">
      <c r="A549" t="s">
        <v>562</v>
      </c>
      <c r="C549" s="3">
        <v>44985</v>
      </c>
      <c r="D549" s="3">
        <f>YEAR(Table1[[#This Row],[OrderDate]]) * 100 + MONTH(Table1[[#This Row],[OrderDate]])</f>
        <v>202302</v>
      </c>
      <c r="E549" s="3">
        <f>_xlfn.MINIFS(Table1[OrderMonthKey],Table1[Country],Table1[[#This Row],[Country]])</f>
        <v>202301</v>
      </c>
      <c r="F549" s="3">
        <f>Table1[[#This Row],[CountryFirstMonthKey]]</f>
        <v>202301</v>
      </c>
      <c r="G549" s="3">
        <f>12*(INT(Table1[[#This Row],[OrderMonthKey]]/100)-INT(Table1[[#This Row],[CohortMonthKey]]/100)) + (MOD(Table1[[#This Row],[OrderMonthKey]],100)-MOD(Table1[[#This Row],[CohortMonthKey]],100))</f>
        <v>1</v>
      </c>
      <c r="H549" s="3" t="str">
        <f>TEXT(Table1[[#This Row],[OrderDate]],"MMM-YYYY")</f>
        <v>Feb-2023</v>
      </c>
      <c r="I549" s="3" t="str">
        <f t="shared" si="28"/>
        <v>Q3-2023</v>
      </c>
      <c r="J549" s="3" t="str">
        <f>IF(Table1[[#This Row],[LeadTimeDays]]&lt;=7,"Yes","No")</f>
        <v>Yes</v>
      </c>
      <c r="K549" s="3">
        <f>_xlfn.DAYS(Table1[[#This Row],[CorrectedRequiredDate]],Table1[[#This Row],[OrderDate]])</f>
        <v>6</v>
      </c>
      <c r="L549" s="3">
        <f>IF(Table1[[#This Row],[RequiredDate]]&lt;Table1[[#This Row],[OrderDate]],Table1[[#This Row],[OrderDate]],Table1[[#This Row],[RequiredDate]])</f>
        <v>44991</v>
      </c>
      <c r="M549" s="3">
        <v>44991</v>
      </c>
      <c r="N549" t="s">
        <v>649</v>
      </c>
      <c r="O549" t="s">
        <v>656</v>
      </c>
      <c r="P549" t="s">
        <v>698</v>
      </c>
      <c r="Q549" t="s">
        <v>705</v>
      </c>
      <c r="R549" t="s">
        <v>709</v>
      </c>
      <c r="S549" t="s">
        <v>726</v>
      </c>
      <c r="T549" t="s">
        <v>728</v>
      </c>
      <c r="U549" t="s">
        <v>1279</v>
      </c>
      <c r="V549" s="8">
        <v>880.02</v>
      </c>
      <c r="W549" s="8">
        <v>1251.21</v>
      </c>
      <c r="X549" s="8">
        <f t="shared" si="29"/>
        <v>815.10700000000008</v>
      </c>
      <c r="Y549" s="8">
        <f t="shared" si="30"/>
        <v>1620.05</v>
      </c>
      <c r="AA549">
        <v>0.123</v>
      </c>
      <c r="AB549">
        <f>IF(Table1[[#This Row],[DiscountPct]]&gt;0.2,1,0)</f>
        <v>0</v>
      </c>
      <c r="AC549" s="6">
        <v>29</v>
      </c>
      <c r="AD549" s="8">
        <f>Table1[[#This Row],[UnitPrice]]*Table1[[#This Row],[Quantity]]</f>
        <v>36285.090000000004</v>
      </c>
      <c r="AE549" s="8">
        <f>Table1[[#This Row],[UnitCost]]*Table1[[#This Row],[Quantity]]</f>
        <v>25520.579999999998</v>
      </c>
      <c r="AF549" s="8">
        <f>Table1[[#This Row],[GrossRevenue]]-Table1[[#This Row],[CostOfGoods]]</f>
        <v>10764.510000000006</v>
      </c>
      <c r="AG549" s="8">
        <f>IF(Table1[[#This Row],[GrossRevenue]]=0,0,Table1[[#This Row],[GrossProfit]]/Table1[[#This Row],[GrossRevenue]])</f>
        <v>0.29666482844606434</v>
      </c>
    </row>
    <row r="550" spans="1:33" x14ac:dyDescent="0.45">
      <c r="A550" t="s">
        <v>563</v>
      </c>
      <c r="B550">
        <v>1</v>
      </c>
      <c r="C550" s="3">
        <v>45486</v>
      </c>
      <c r="D550" s="6">
        <f>YEAR(Table1[[#This Row],[OrderDate]]) * 100 + MONTH(Table1[[#This Row],[OrderDate]])</f>
        <v>202407</v>
      </c>
      <c r="E550" s="6">
        <f>_xlfn.MINIFS(Table1[OrderMonthKey],Table1[Country],Table1[[#This Row],[Country]])</f>
        <v>202301</v>
      </c>
      <c r="F550" s="6">
        <f>Table1[[#This Row],[CountryFirstMonthKey]]</f>
        <v>202301</v>
      </c>
      <c r="G550" s="6">
        <f>12*(INT(Table1[[#This Row],[OrderMonthKey]]/100)-INT(Table1[[#This Row],[CohortMonthKey]]/100)) + (MOD(Table1[[#This Row],[OrderMonthKey]],100)-MOD(Table1[[#This Row],[CohortMonthKey]],100))</f>
        <v>18</v>
      </c>
      <c r="H550" s="3" t="str">
        <f>TEXT(Table1[[#This Row],[OrderDate]],"MMM-YYYY")</f>
        <v>Jul-2024</v>
      </c>
      <c r="I550" s="3" t="str">
        <f t="shared" si="28"/>
        <v>Q1-2023</v>
      </c>
      <c r="J550" s="26" t="str">
        <f>IF(Table1[[#This Row],[LeadTimeDays]]&lt;=7,"Yes","No")</f>
        <v>No</v>
      </c>
      <c r="K550" s="6">
        <f>_xlfn.DAYS(Table1[[#This Row],[CorrectedRequiredDate]],Table1[[#This Row],[OrderDate]])</f>
        <v>21</v>
      </c>
      <c r="L550" s="3">
        <f>IF(Table1[[#This Row],[RequiredDate]]&lt;Table1[[#This Row],[OrderDate]],Table1[[#This Row],[OrderDate]],Table1[[#This Row],[RequiredDate]])</f>
        <v>45507</v>
      </c>
      <c r="M550" s="3">
        <v>45507</v>
      </c>
      <c r="N550" t="s">
        <v>648</v>
      </c>
      <c r="O550" t="s">
        <v>655</v>
      </c>
      <c r="P550" t="s">
        <v>692</v>
      </c>
      <c r="Q550" t="s">
        <v>701</v>
      </c>
      <c r="R550" t="s">
        <v>709</v>
      </c>
      <c r="S550" t="s">
        <v>724</v>
      </c>
      <c r="T550" t="s">
        <v>732</v>
      </c>
      <c r="U550" t="s">
        <v>1280</v>
      </c>
      <c r="V550" s="8">
        <v>702.98</v>
      </c>
      <c r="W550" s="8">
        <v>1104.8</v>
      </c>
      <c r="X550" s="8">
        <f t="shared" si="29"/>
        <v>815.10700000000008</v>
      </c>
      <c r="Y550" s="8">
        <f t="shared" si="30"/>
        <v>1620.05</v>
      </c>
      <c r="Z550" s="8" t="str">
        <f>IF(W549 &lt;= X548, "Low",IF(W549 &lt;= Y549, "Medium", "High"))</f>
        <v>Medium</v>
      </c>
      <c r="AA550">
        <v>0.17499999999999999</v>
      </c>
      <c r="AB550">
        <f>IF(Table1[[#This Row],[DiscountPct]]&gt;0.2,1,0)</f>
        <v>0</v>
      </c>
      <c r="AC550" s="6">
        <v>12</v>
      </c>
      <c r="AD550" s="8">
        <f>Table1[[#This Row],[UnitPrice]]*Table1[[#This Row],[Quantity]]</f>
        <v>13257.599999999999</v>
      </c>
      <c r="AE550" s="8">
        <f>Table1[[#This Row],[UnitCost]]*Table1[[#This Row],[Quantity]]</f>
        <v>8435.76</v>
      </c>
      <c r="AF550" s="8">
        <f>Table1[[#This Row],[GrossRevenue]]-Table1[[#This Row],[CostOfGoods]]</f>
        <v>4821.8399999999983</v>
      </c>
      <c r="AG550" s="9">
        <f>IF(Table1[[#This Row],[GrossRevenue]]=0,0,Table1[[#This Row],[GrossProfit]]/Table1[[#This Row],[GrossRevenue]])</f>
        <v>0.36370383779869653</v>
      </c>
    </row>
    <row r="551" spans="1:33" x14ac:dyDescent="0.45">
      <c r="A551" t="s">
        <v>564</v>
      </c>
      <c r="B551">
        <v>1</v>
      </c>
      <c r="C551" s="3">
        <v>45633</v>
      </c>
      <c r="D551" s="6">
        <f>YEAR(Table1[[#This Row],[OrderDate]]) * 100 + MONTH(Table1[[#This Row],[OrderDate]])</f>
        <v>202412</v>
      </c>
      <c r="E551" s="6">
        <f>_xlfn.MINIFS(Table1[OrderMonthKey],Table1[Country],Table1[[#This Row],[Country]])</f>
        <v>202301</v>
      </c>
      <c r="F551" s="6">
        <f>Table1[[#This Row],[CountryFirstMonthKey]]</f>
        <v>202301</v>
      </c>
      <c r="G551" s="6">
        <f>12*(INT(Table1[[#This Row],[OrderMonthKey]]/100)-INT(Table1[[#This Row],[CohortMonthKey]]/100)) + (MOD(Table1[[#This Row],[OrderMonthKey]],100)-MOD(Table1[[#This Row],[CohortMonthKey]],100))</f>
        <v>23</v>
      </c>
      <c r="H551" s="3" t="str">
        <f>TEXT(Table1[[#This Row],[OrderDate]],"MMM-YYYY")</f>
        <v>Dec-2024</v>
      </c>
      <c r="I551" s="3" t="str">
        <f t="shared" si="28"/>
        <v>Q3-2024</v>
      </c>
      <c r="J551" s="26" t="str">
        <f>IF(Table1[[#This Row],[LeadTimeDays]]&lt;=7,"Yes","No")</f>
        <v>No</v>
      </c>
      <c r="K551" s="6">
        <f>_xlfn.DAYS(Table1[[#This Row],[CorrectedRequiredDate]],Table1[[#This Row],[OrderDate]])</f>
        <v>19</v>
      </c>
      <c r="L551" s="3">
        <f>IF(Table1[[#This Row],[RequiredDate]]&lt;Table1[[#This Row],[OrderDate]],Table1[[#This Row],[OrderDate]],Table1[[#This Row],[RequiredDate]])</f>
        <v>45652</v>
      </c>
      <c r="M551" s="3">
        <v>45652</v>
      </c>
      <c r="N551" t="s">
        <v>649</v>
      </c>
      <c r="O551" t="s">
        <v>658</v>
      </c>
      <c r="P551" t="s">
        <v>683</v>
      </c>
      <c r="Q551" t="s">
        <v>706</v>
      </c>
      <c r="R551" t="s">
        <v>708</v>
      </c>
      <c r="S551" t="s">
        <v>726</v>
      </c>
      <c r="T551" t="s">
        <v>729</v>
      </c>
      <c r="U551" t="s">
        <v>1281</v>
      </c>
      <c r="V551" s="8">
        <v>1035.24</v>
      </c>
      <c r="W551" s="8">
        <v>2383.41</v>
      </c>
      <c r="X551" s="8">
        <f t="shared" si="29"/>
        <v>815.10700000000008</v>
      </c>
      <c r="Y551" s="8">
        <f t="shared" si="30"/>
        <v>1620.05</v>
      </c>
      <c r="Z551" s="8" t="str">
        <f>IF(W550 &lt;= X549, "Low",IF(W550 &lt;= Y550, "Medium", "High"))</f>
        <v>Medium</v>
      </c>
      <c r="AA551">
        <v>0.17</v>
      </c>
      <c r="AB551">
        <f>IF(Table1[[#This Row],[DiscountPct]]&gt;0.2,1,0)</f>
        <v>0</v>
      </c>
      <c r="AC551" s="6">
        <v>15</v>
      </c>
      <c r="AD551" s="8">
        <f>Table1[[#This Row],[UnitPrice]]*Table1[[#This Row],[Quantity]]</f>
        <v>35751.149999999994</v>
      </c>
      <c r="AE551" s="8">
        <f>Table1[[#This Row],[UnitCost]]*Table1[[#This Row],[Quantity]]</f>
        <v>15528.6</v>
      </c>
      <c r="AF551" s="8">
        <f>Table1[[#This Row],[GrossRevenue]]-Table1[[#This Row],[CostOfGoods]]</f>
        <v>20222.549999999996</v>
      </c>
      <c r="AG551" s="9">
        <f>IF(Table1[[#This Row],[GrossRevenue]]=0,0,Table1[[#This Row],[GrossProfit]]/Table1[[#This Row],[GrossRevenue]])</f>
        <v>0.56564753861064609</v>
      </c>
    </row>
    <row r="552" spans="1:33" x14ac:dyDescent="0.45">
      <c r="A552" t="s">
        <v>565</v>
      </c>
      <c r="B552">
        <v>1</v>
      </c>
      <c r="C552" s="3">
        <v>45875</v>
      </c>
      <c r="D552" s="6">
        <f>YEAR(Table1[[#This Row],[OrderDate]]) * 100 + MONTH(Table1[[#This Row],[OrderDate]])</f>
        <v>202508</v>
      </c>
      <c r="E552" s="6">
        <f>_xlfn.MINIFS(Table1[OrderMonthKey],Table1[Country],Table1[[#This Row],[Country]])</f>
        <v>202301</v>
      </c>
      <c r="F552" s="6">
        <f>Table1[[#This Row],[CountryFirstMonthKey]]</f>
        <v>202301</v>
      </c>
      <c r="G552" s="6">
        <f>12*(INT(Table1[[#This Row],[OrderMonthKey]]/100)-INT(Table1[[#This Row],[CohortMonthKey]]/100)) + (MOD(Table1[[#This Row],[OrderMonthKey]],100)-MOD(Table1[[#This Row],[CohortMonthKey]],100))</f>
        <v>31</v>
      </c>
      <c r="H552" s="3" t="str">
        <f>TEXT(Table1[[#This Row],[OrderDate]],"MMM-YYYY")</f>
        <v>Aug-2025</v>
      </c>
      <c r="I552" s="3" t="str">
        <f t="shared" si="28"/>
        <v>Q4-2024</v>
      </c>
      <c r="J552" s="26" t="str">
        <f>IF(Table1[[#This Row],[LeadTimeDays]]&lt;=7,"Yes","No")</f>
        <v>No</v>
      </c>
      <c r="K552" s="6">
        <f>_xlfn.DAYS(Table1[[#This Row],[CorrectedRequiredDate]],Table1[[#This Row],[OrderDate]])</f>
        <v>17</v>
      </c>
      <c r="L552" s="3">
        <f>IF(Table1[[#This Row],[RequiredDate]]&lt;Table1[[#This Row],[OrderDate]],Table1[[#This Row],[OrderDate]],Table1[[#This Row],[RequiredDate]])</f>
        <v>45892</v>
      </c>
      <c r="M552" s="3">
        <v>45892</v>
      </c>
      <c r="N552" t="s">
        <v>648</v>
      </c>
      <c r="O552" t="s">
        <v>655</v>
      </c>
      <c r="P552" t="s">
        <v>672</v>
      </c>
      <c r="Q552" t="s">
        <v>704</v>
      </c>
      <c r="R552" t="s">
        <v>710</v>
      </c>
      <c r="S552" t="s">
        <v>720</v>
      </c>
      <c r="T552" t="s">
        <v>732</v>
      </c>
      <c r="U552" t="s">
        <v>1282</v>
      </c>
      <c r="V552" s="8">
        <v>86.64</v>
      </c>
      <c r="W552" s="8">
        <v>213.06</v>
      </c>
      <c r="X552" s="8">
        <f t="shared" si="29"/>
        <v>815.10700000000008</v>
      </c>
      <c r="Y552" s="8">
        <f t="shared" si="30"/>
        <v>1620.05</v>
      </c>
      <c r="Z552" s="8" t="str">
        <f>IF(W551 &lt;= X550, "Low",IF(W551 &lt;= Y551, "Medium", "High"))</f>
        <v>High</v>
      </c>
      <c r="AA552">
        <v>0.21199999999999999</v>
      </c>
      <c r="AB552">
        <f>IF(Table1[[#This Row],[DiscountPct]]&gt;0.2,1,0)</f>
        <v>1</v>
      </c>
      <c r="AC552" s="6">
        <v>11</v>
      </c>
      <c r="AD552" s="8">
        <f>Table1[[#This Row],[UnitPrice]]*Table1[[#This Row],[Quantity]]</f>
        <v>2343.66</v>
      </c>
      <c r="AE552" s="8">
        <f>Table1[[#This Row],[UnitCost]]*Table1[[#This Row],[Quantity]]</f>
        <v>953.04</v>
      </c>
      <c r="AF552" s="8">
        <f>Table1[[#This Row],[GrossRevenue]]-Table1[[#This Row],[CostOfGoods]]</f>
        <v>1390.62</v>
      </c>
      <c r="AG552" s="9">
        <f>IF(Table1[[#This Row],[GrossRevenue]]=0,0,Table1[[#This Row],[GrossProfit]]/Table1[[#This Row],[GrossRevenue]])</f>
        <v>0.59335398479301604</v>
      </c>
    </row>
    <row r="553" spans="1:33" hidden="1" x14ac:dyDescent="0.45">
      <c r="A553" t="s">
        <v>566</v>
      </c>
      <c r="C553" s="3">
        <v>44988</v>
      </c>
      <c r="D553" s="3">
        <f>YEAR(Table1[[#This Row],[OrderDate]]) * 100 + MONTH(Table1[[#This Row],[OrderDate]])</f>
        <v>202303</v>
      </c>
      <c r="E553" s="3">
        <f>_xlfn.MINIFS(Table1[OrderMonthKey],Table1[Country],Table1[[#This Row],[Country]])</f>
        <v>202303</v>
      </c>
      <c r="F553" s="3">
        <f>Table1[[#This Row],[CountryFirstMonthKey]]</f>
        <v>202303</v>
      </c>
      <c r="G553" s="3">
        <f>12*(INT(Table1[[#This Row],[OrderMonthKey]]/100)-INT(Table1[[#This Row],[CohortMonthKey]]/100)) + (MOD(Table1[[#This Row],[OrderMonthKey]],100)-MOD(Table1[[#This Row],[CohortMonthKey]],100))</f>
        <v>0</v>
      </c>
      <c r="H553" s="3" t="str">
        <f>TEXT(Table1[[#This Row],[OrderDate]],"MMM-YYYY")</f>
        <v>Mar-2023</v>
      </c>
      <c r="I553" s="3" t="str">
        <f t="shared" si="28"/>
        <v>Q3-2025</v>
      </c>
      <c r="J553" s="3" t="str">
        <f>IF(Table1[[#This Row],[LeadTimeDays]]&lt;=7,"Yes","No")</f>
        <v>No</v>
      </c>
      <c r="K553" s="3">
        <f>_xlfn.DAYS(Table1[[#This Row],[CorrectedRequiredDate]],Table1[[#This Row],[OrderDate]])</f>
        <v>17</v>
      </c>
      <c r="L553" s="3">
        <f>IF(Table1[[#This Row],[RequiredDate]]&lt;Table1[[#This Row],[OrderDate]],Table1[[#This Row],[OrderDate]],Table1[[#This Row],[RequiredDate]])</f>
        <v>45005</v>
      </c>
      <c r="M553" s="3">
        <v>45005</v>
      </c>
      <c r="N553" t="s">
        <v>647</v>
      </c>
      <c r="O553" t="s">
        <v>652</v>
      </c>
      <c r="P553" t="s">
        <v>694</v>
      </c>
      <c r="Q553" t="s">
        <v>705</v>
      </c>
      <c r="R553" t="s">
        <v>708</v>
      </c>
      <c r="S553" t="s">
        <v>726</v>
      </c>
      <c r="T553" t="s">
        <v>729</v>
      </c>
      <c r="U553" t="s">
        <v>1283</v>
      </c>
      <c r="V553" s="8">
        <v>1171.17</v>
      </c>
      <c r="W553" s="8">
        <v>2030.64</v>
      </c>
      <c r="X553" s="8">
        <f t="shared" si="29"/>
        <v>815.10700000000008</v>
      </c>
      <c r="Y553" s="8">
        <f t="shared" si="30"/>
        <v>1620.05</v>
      </c>
      <c r="AA553">
        <v>0.157</v>
      </c>
      <c r="AB553">
        <f>IF(Table1[[#This Row],[DiscountPct]]&gt;0.2,1,0)</f>
        <v>0</v>
      </c>
      <c r="AC553" s="6">
        <v>11</v>
      </c>
      <c r="AD553" s="8">
        <f>Table1[[#This Row],[UnitPrice]]*Table1[[#This Row],[Quantity]]</f>
        <v>22337.040000000001</v>
      </c>
      <c r="AE553" s="8">
        <f>Table1[[#This Row],[UnitCost]]*Table1[[#This Row],[Quantity]]</f>
        <v>12882.87</v>
      </c>
      <c r="AF553" s="8">
        <f>Table1[[#This Row],[GrossRevenue]]-Table1[[#This Row],[CostOfGoods]]</f>
        <v>9454.17</v>
      </c>
      <c r="AG553" s="8">
        <f>IF(Table1[[#This Row],[GrossRevenue]]=0,0,Table1[[#This Row],[GrossProfit]]/Table1[[#This Row],[GrossRevenue]])</f>
        <v>0.42325079777804042</v>
      </c>
    </row>
    <row r="554" spans="1:33" hidden="1" x14ac:dyDescent="0.45">
      <c r="A554" t="s">
        <v>567</v>
      </c>
      <c r="C554" s="3">
        <v>45704</v>
      </c>
      <c r="D554" s="3">
        <f>YEAR(Table1[[#This Row],[OrderDate]]) * 100 + MONTH(Table1[[#This Row],[OrderDate]])</f>
        <v>202502</v>
      </c>
      <c r="E554" s="3">
        <f>_xlfn.MINIFS(Table1[OrderMonthKey],Table1[Country],Table1[[#This Row],[Country]])</f>
        <v>202301</v>
      </c>
      <c r="F554" s="3">
        <f>Table1[[#This Row],[CountryFirstMonthKey]]</f>
        <v>202301</v>
      </c>
      <c r="G554" s="3">
        <f>12*(INT(Table1[[#This Row],[OrderMonthKey]]/100)-INT(Table1[[#This Row],[CohortMonthKey]]/100)) + (MOD(Table1[[#This Row],[OrderMonthKey]],100)-MOD(Table1[[#This Row],[CohortMonthKey]],100))</f>
        <v>25</v>
      </c>
      <c r="H554" s="3" t="str">
        <f>TEXT(Table1[[#This Row],[OrderDate]],"MMM-YYYY")</f>
        <v>Feb-2025</v>
      </c>
      <c r="I554" s="3" t="str">
        <f t="shared" si="28"/>
        <v>Q1-2023</v>
      </c>
      <c r="J554" s="3" t="str">
        <f>IF(Table1[[#This Row],[LeadTimeDays]]&lt;=7,"Yes","No")</f>
        <v>No</v>
      </c>
      <c r="K554" s="3">
        <f>_xlfn.DAYS(Table1[[#This Row],[CorrectedRequiredDate]],Table1[[#This Row],[OrderDate]])</f>
        <v>29</v>
      </c>
      <c r="L554" s="3">
        <f>IF(Table1[[#This Row],[RequiredDate]]&lt;Table1[[#This Row],[OrderDate]],Table1[[#This Row],[OrderDate]],Table1[[#This Row],[RequiredDate]])</f>
        <v>45733</v>
      </c>
      <c r="M554" s="3">
        <v>45733</v>
      </c>
      <c r="N554" t="s">
        <v>649</v>
      </c>
      <c r="O554" t="s">
        <v>656</v>
      </c>
      <c r="P554" t="s">
        <v>684</v>
      </c>
      <c r="Q554" t="s">
        <v>704</v>
      </c>
      <c r="R554" t="s">
        <v>707</v>
      </c>
      <c r="S554" t="s">
        <v>716</v>
      </c>
      <c r="T554" t="s">
        <v>733</v>
      </c>
      <c r="U554" t="s">
        <v>1284</v>
      </c>
      <c r="V554" s="8">
        <v>730.42</v>
      </c>
      <c r="W554" s="8">
        <v>956.7</v>
      </c>
      <c r="X554" s="8">
        <f t="shared" si="29"/>
        <v>815.10700000000008</v>
      </c>
      <c r="Y554" s="8">
        <f t="shared" si="30"/>
        <v>1620.05</v>
      </c>
      <c r="AA554">
        <v>4.2000000000000003E-2</v>
      </c>
      <c r="AB554">
        <f>IF(Table1[[#This Row],[DiscountPct]]&gt;0.2,1,0)</f>
        <v>0</v>
      </c>
      <c r="AC554" s="6">
        <v>22</v>
      </c>
      <c r="AD554" s="8">
        <f>Table1[[#This Row],[UnitPrice]]*Table1[[#This Row],[Quantity]]</f>
        <v>21047.4</v>
      </c>
      <c r="AE554" s="8">
        <f>Table1[[#This Row],[UnitCost]]*Table1[[#This Row],[Quantity]]</f>
        <v>16069.24</v>
      </c>
      <c r="AF554" s="8">
        <f>Table1[[#This Row],[GrossRevenue]]-Table1[[#This Row],[CostOfGoods]]</f>
        <v>4978.1600000000017</v>
      </c>
      <c r="AG554" s="8">
        <f>IF(Table1[[#This Row],[GrossRevenue]]=0,0,Table1[[#This Row],[GrossProfit]]/Table1[[#This Row],[GrossRevenue]])</f>
        <v>0.23652137556182717</v>
      </c>
    </row>
    <row r="555" spans="1:33" hidden="1" x14ac:dyDescent="0.45">
      <c r="A555" t="s">
        <v>568</v>
      </c>
      <c r="C555" s="3">
        <v>45703</v>
      </c>
      <c r="D555" s="3">
        <f>YEAR(Table1[[#This Row],[OrderDate]]) * 100 + MONTH(Table1[[#This Row],[OrderDate]])</f>
        <v>202502</v>
      </c>
      <c r="E555" s="3">
        <f>_xlfn.MINIFS(Table1[OrderMonthKey],Table1[Country],Table1[[#This Row],[Country]])</f>
        <v>202301</v>
      </c>
      <c r="F555" s="3">
        <f>Table1[[#This Row],[CountryFirstMonthKey]]</f>
        <v>202301</v>
      </c>
      <c r="G555" s="3">
        <f>12*(INT(Table1[[#This Row],[OrderMonthKey]]/100)-INT(Table1[[#This Row],[CohortMonthKey]]/100)) + (MOD(Table1[[#This Row],[OrderMonthKey]],100)-MOD(Table1[[#This Row],[CohortMonthKey]],100))</f>
        <v>25</v>
      </c>
      <c r="H555" s="3" t="str">
        <f>TEXT(Table1[[#This Row],[OrderDate]],"MMM-YYYY")</f>
        <v>Feb-2025</v>
      </c>
      <c r="I555" s="3" t="str">
        <f t="shared" si="28"/>
        <v>Q1-2025</v>
      </c>
      <c r="J555" s="3" t="str">
        <f>IF(Table1[[#This Row],[LeadTimeDays]]&lt;=7,"Yes","No")</f>
        <v>No</v>
      </c>
      <c r="K555" s="3">
        <f>_xlfn.DAYS(Table1[[#This Row],[CorrectedRequiredDate]],Table1[[#This Row],[OrderDate]])</f>
        <v>14</v>
      </c>
      <c r="L555" s="3">
        <f>IF(Table1[[#This Row],[RequiredDate]]&lt;Table1[[#This Row],[OrderDate]],Table1[[#This Row],[OrderDate]],Table1[[#This Row],[RequiredDate]])</f>
        <v>45717</v>
      </c>
      <c r="M555" s="3">
        <v>45717</v>
      </c>
      <c r="N555" t="s">
        <v>646</v>
      </c>
      <c r="O555" t="s">
        <v>650</v>
      </c>
      <c r="P555" t="s">
        <v>675</v>
      </c>
      <c r="Q555" t="s">
        <v>702</v>
      </c>
      <c r="R555" t="s">
        <v>711</v>
      </c>
      <c r="S555" t="s">
        <v>716</v>
      </c>
      <c r="T555" t="s">
        <v>733</v>
      </c>
      <c r="U555" t="s">
        <v>1285</v>
      </c>
      <c r="V555" s="8">
        <v>1162.8599999999999</v>
      </c>
      <c r="W555" s="8">
        <v>1447.68</v>
      </c>
      <c r="X555" s="8">
        <f t="shared" si="29"/>
        <v>815.10700000000008</v>
      </c>
      <c r="Y555" s="8">
        <f t="shared" si="30"/>
        <v>1620.05</v>
      </c>
      <c r="AA555">
        <v>8.6999999999999994E-2</v>
      </c>
      <c r="AB555">
        <f>IF(Table1[[#This Row],[DiscountPct]]&gt;0.2,1,0)</f>
        <v>0</v>
      </c>
      <c r="AC555" s="6">
        <v>12</v>
      </c>
      <c r="AD555" s="8">
        <f>Table1[[#This Row],[UnitPrice]]*Table1[[#This Row],[Quantity]]</f>
        <v>17372.16</v>
      </c>
      <c r="AE555" s="8">
        <f>Table1[[#This Row],[UnitCost]]*Table1[[#This Row],[Quantity]]</f>
        <v>13954.32</v>
      </c>
      <c r="AF555" s="8">
        <f>Table1[[#This Row],[GrossRevenue]]-Table1[[#This Row],[CostOfGoods]]</f>
        <v>3417.84</v>
      </c>
      <c r="AG555" s="8">
        <f>IF(Table1[[#This Row],[GrossRevenue]]=0,0,Table1[[#This Row],[GrossProfit]]/Table1[[#This Row],[GrossRevenue]])</f>
        <v>0.19674237400530506</v>
      </c>
    </row>
    <row r="556" spans="1:33" hidden="1" x14ac:dyDescent="0.45">
      <c r="A556" t="s">
        <v>569</v>
      </c>
      <c r="C556" s="3">
        <v>45535</v>
      </c>
      <c r="D556" s="3">
        <f>YEAR(Table1[[#This Row],[OrderDate]]) * 100 + MONTH(Table1[[#This Row],[OrderDate]])</f>
        <v>202408</v>
      </c>
      <c r="E556" s="3">
        <f>_xlfn.MINIFS(Table1[OrderMonthKey],Table1[Country],Table1[[#This Row],[Country]])</f>
        <v>202303</v>
      </c>
      <c r="F556" s="3">
        <f>Table1[[#This Row],[CountryFirstMonthKey]]</f>
        <v>202303</v>
      </c>
      <c r="G556" s="3">
        <f>12*(INT(Table1[[#This Row],[OrderMonthKey]]/100)-INT(Table1[[#This Row],[CohortMonthKey]]/100)) + (MOD(Table1[[#This Row],[OrderMonthKey]],100)-MOD(Table1[[#This Row],[CohortMonthKey]],100))</f>
        <v>17</v>
      </c>
      <c r="H556" s="3" t="str">
        <f>TEXT(Table1[[#This Row],[OrderDate]],"MMM-YYYY")</f>
        <v>Aug-2024</v>
      </c>
      <c r="I556" s="3" t="str">
        <f t="shared" si="28"/>
        <v>Q1-2025</v>
      </c>
      <c r="J556" s="3" t="str">
        <f>IF(Table1[[#This Row],[LeadTimeDays]]&lt;=7,"Yes","No")</f>
        <v>No</v>
      </c>
      <c r="K556" s="3">
        <f>_xlfn.DAYS(Table1[[#This Row],[CorrectedRequiredDate]],Table1[[#This Row],[OrderDate]])</f>
        <v>26</v>
      </c>
      <c r="L556" s="3">
        <f>IF(Table1[[#This Row],[RequiredDate]]&lt;Table1[[#This Row],[OrderDate]],Table1[[#This Row],[OrderDate]],Table1[[#This Row],[RequiredDate]])</f>
        <v>45561</v>
      </c>
      <c r="M556" s="3">
        <v>45561</v>
      </c>
      <c r="N556" t="s">
        <v>647</v>
      </c>
      <c r="O556" t="s">
        <v>652</v>
      </c>
      <c r="P556" t="s">
        <v>689</v>
      </c>
      <c r="Q556" t="s">
        <v>702</v>
      </c>
      <c r="R556" t="s">
        <v>708</v>
      </c>
      <c r="S556" t="s">
        <v>714</v>
      </c>
      <c r="T556" t="s">
        <v>730</v>
      </c>
      <c r="U556" t="s">
        <v>1286</v>
      </c>
      <c r="V556" s="8">
        <v>1189.03</v>
      </c>
      <c r="W556" s="8">
        <v>2949.62</v>
      </c>
      <c r="X556" s="8">
        <f t="shared" si="29"/>
        <v>815.10700000000008</v>
      </c>
      <c r="Y556" s="8">
        <f t="shared" si="30"/>
        <v>1620.05</v>
      </c>
      <c r="AA556">
        <v>0.125</v>
      </c>
      <c r="AB556">
        <f>IF(Table1[[#This Row],[DiscountPct]]&gt;0.2,1,0)</f>
        <v>0</v>
      </c>
      <c r="AC556" s="6">
        <v>13</v>
      </c>
      <c r="AD556" s="8">
        <f>Table1[[#This Row],[UnitPrice]]*Table1[[#This Row],[Quantity]]</f>
        <v>38345.06</v>
      </c>
      <c r="AE556" s="8">
        <f>Table1[[#This Row],[UnitCost]]*Table1[[#This Row],[Quantity]]</f>
        <v>15457.39</v>
      </c>
      <c r="AF556" s="8">
        <f>Table1[[#This Row],[GrossRevenue]]-Table1[[#This Row],[CostOfGoods]]</f>
        <v>22887.67</v>
      </c>
      <c r="AG556" s="8">
        <f>IF(Table1[[#This Row],[GrossRevenue]]=0,0,Table1[[#This Row],[GrossProfit]]/Table1[[#This Row],[GrossRevenue]])</f>
        <v>0.59688705663780417</v>
      </c>
    </row>
    <row r="557" spans="1:33" x14ac:dyDescent="0.45">
      <c r="A557" t="s">
        <v>570</v>
      </c>
      <c r="B557">
        <v>1</v>
      </c>
      <c r="C557" s="3">
        <v>45053</v>
      </c>
      <c r="D557" s="6">
        <f>YEAR(Table1[[#This Row],[OrderDate]]) * 100 + MONTH(Table1[[#This Row],[OrderDate]])</f>
        <v>202305</v>
      </c>
      <c r="E557" s="6">
        <f>_xlfn.MINIFS(Table1[OrderMonthKey],Table1[Country],Table1[[#This Row],[Country]])</f>
        <v>202302</v>
      </c>
      <c r="F557" s="6">
        <f>Table1[[#This Row],[CountryFirstMonthKey]]</f>
        <v>202302</v>
      </c>
      <c r="G557" s="6">
        <f>12*(INT(Table1[[#This Row],[OrderMonthKey]]/100)-INT(Table1[[#This Row],[CohortMonthKey]]/100)) + (MOD(Table1[[#This Row],[OrderMonthKey]],100)-MOD(Table1[[#This Row],[CohortMonthKey]],100))</f>
        <v>3</v>
      </c>
      <c r="H557" s="3" t="str">
        <f>TEXT(Table1[[#This Row],[OrderDate]],"MMM-YYYY")</f>
        <v>May-2023</v>
      </c>
      <c r="I557" s="3" t="str">
        <f t="shared" si="28"/>
        <v>Q3-2024</v>
      </c>
      <c r="J557" s="26" t="str">
        <f>IF(Table1[[#This Row],[LeadTimeDays]]&lt;=7,"Yes","No")</f>
        <v>No</v>
      </c>
      <c r="K557" s="6">
        <f>_xlfn.DAYS(Table1[[#This Row],[CorrectedRequiredDate]],Table1[[#This Row],[OrderDate]])</f>
        <v>13</v>
      </c>
      <c r="L557" s="3">
        <f>IF(Table1[[#This Row],[RequiredDate]]&lt;Table1[[#This Row],[OrderDate]],Table1[[#This Row],[OrderDate]],Table1[[#This Row],[RequiredDate]])</f>
        <v>45066</v>
      </c>
      <c r="M557" s="3">
        <v>45066</v>
      </c>
      <c r="N557" t="s">
        <v>647</v>
      </c>
      <c r="O557" t="s">
        <v>654</v>
      </c>
      <c r="P557" t="s">
        <v>691</v>
      </c>
      <c r="Q557" t="s">
        <v>706</v>
      </c>
      <c r="R557" t="s">
        <v>707</v>
      </c>
      <c r="S557" t="s">
        <v>726</v>
      </c>
      <c r="T557" t="s">
        <v>733</v>
      </c>
      <c r="U557" t="s">
        <v>1287</v>
      </c>
      <c r="V557" s="8">
        <v>1443.28</v>
      </c>
      <c r="W557" s="8">
        <v>2580.5700000000002</v>
      </c>
      <c r="X557" s="8">
        <f t="shared" si="29"/>
        <v>815.10700000000008</v>
      </c>
      <c r="Y557" s="8">
        <f t="shared" si="30"/>
        <v>1620.05</v>
      </c>
      <c r="Z557" s="8" t="str">
        <f>IF(W556 &lt;= X555, "Low",IF(W556 &lt;= Y556, "Medium", "High"))</f>
        <v>High</v>
      </c>
      <c r="AA557">
        <v>0</v>
      </c>
      <c r="AB557">
        <f>IF(Table1[[#This Row],[DiscountPct]]&gt;0.2,1,0)</f>
        <v>0</v>
      </c>
      <c r="AC557" s="6">
        <v>18</v>
      </c>
      <c r="AD557" s="8">
        <f>Table1[[#This Row],[UnitPrice]]*Table1[[#This Row],[Quantity]]</f>
        <v>46450.26</v>
      </c>
      <c r="AE557" s="8">
        <f>Table1[[#This Row],[UnitCost]]*Table1[[#This Row],[Quantity]]</f>
        <v>25979.040000000001</v>
      </c>
      <c r="AF557" s="8">
        <f>Table1[[#This Row],[GrossRevenue]]-Table1[[#This Row],[CostOfGoods]]</f>
        <v>20471.22</v>
      </c>
      <c r="AG557" s="9">
        <f>IF(Table1[[#This Row],[GrossRevenue]]=0,0,Table1[[#This Row],[GrossProfit]]/Table1[[#This Row],[GrossRevenue]])</f>
        <v>0.4407127107577008</v>
      </c>
    </row>
    <row r="558" spans="1:33" x14ac:dyDescent="0.45">
      <c r="A558" t="s">
        <v>571</v>
      </c>
      <c r="B558">
        <v>1</v>
      </c>
      <c r="C558" s="3">
        <v>45791</v>
      </c>
      <c r="D558" s="6">
        <f>YEAR(Table1[[#This Row],[OrderDate]]) * 100 + MONTH(Table1[[#This Row],[OrderDate]])</f>
        <v>202505</v>
      </c>
      <c r="E558" s="6">
        <f>_xlfn.MINIFS(Table1[OrderMonthKey],Table1[Country],Table1[[#This Row],[Country]])</f>
        <v>202301</v>
      </c>
      <c r="F558" s="6">
        <f>Table1[[#This Row],[CountryFirstMonthKey]]</f>
        <v>202301</v>
      </c>
      <c r="G558" s="6">
        <f>12*(INT(Table1[[#This Row],[OrderMonthKey]]/100)-INT(Table1[[#This Row],[CohortMonthKey]]/100)) + (MOD(Table1[[#This Row],[OrderMonthKey]],100)-MOD(Table1[[#This Row],[CohortMonthKey]],100))</f>
        <v>28</v>
      </c>
      <c r="H558" s="3" t="str">
        <f>TEXT(Table1[[#This Row],[OrderDate]],"MMM-YYYY")</f>
        <v>May-2025</v>
      </c>
      <c r="I558" s="3" t="str">
        <f t="shared" si="28"/>
        <v>Q2-2023</v>
      </c>
      <c r="J558" s="26" t="str">
        <f>IF(Table1[[#This Row],[LeadTimeDays]]&lt;=7,"Yes","No")</f>
        <v>Yes</v>
      </c>
      <c r="K558" s="6">
        <f>_xlfn.DAYS(Table1[[#This Row],[CorrectedRequiredDate]],Table1[[#This Row],[OrderDate]])</f>
        <v>0</v>
      </c>
      <c r="L558" s="3">
        <f>IF(Table1[[#This Row],[RequiredDate]]&lt;Table1[[#This Row],[OrderDate]],Table1[[#This Row],[OrderDate]],Table1[[#This Row],[RequiredDate]])</f>
        <v>45791</v>
      </c>
      <c r="M558" s="3">
        <v>45789</v>
      </c>
      <c r="N558" t="s">
        <v>648</v>
      </c>
      <c r="O558" t="s">
        <v>653</v>
      </c>
      <c r="P558" t="s">
        <v>688</v>
      </c>
      <c r="Q558" t="s">
        <v>703</v>
      </c>
      <c r="R558" t="s">
        <v>710</v>
      </c>
      <c r="S558" t="s">
        <v>721</v>
      </c>
      <c r="T558" t="s">
        <v>728</v>
      </c>
      <c r="U558" t="s">
        <v>1288</v>
      </c>
      <c r="V558" s="8">
        <v>883.5</v>
      </c>
      <c r="W558" s="8">
        <v>1978.91</v>
      </c>
      <c r="X558" s="8">
        <f t="shared" si="29"/>
        <v>815.10700000000008</v>
      </c>
      <c r="Y558" s="8">
        <f t="shared" si="30"/>
        <v>1620.05</v>
      </c>
      <c r="Z558" s="8" t="str">
        <f>IF(W557 &lt;= X556, "Low",IF(W557 &lt;= Y557, "Medium", "High"))</f>
        <v>High</v>
      </c>
      <c r="AA558">
        <v>5.3999999999999999E-2</v>
      </c>
      <c r="AB558">
        <f>IF(Table1[[#This Row],[DiscountPct]]&gt;0.2,1,0)</f>
        <v>0</v>
      </c>
      <c r="AC558" s="6">
        <v>27</v>
      </c>
      <c r="AD558" s="8">
        <f>Table1[[#This Row],[UnitPrice]]*Table1[[#This Row],[Quantity]]</f>
        <v>53430.57</v>
      </c>
      <c r="AE558" s="8">
        <f>Table1[[#This Row],[UnitCost]]*Table1[[#This Row],[Quantity]]</f>
        <v>23854.5</v>
      </c>
      <c r="AF558" s="8">
        <f>Table1[[#This Row],[GrossRevenue]]-Table1[[#This Row],[CostOfGoods]]</f>
        <v>29576.07</v>
      </c>
      <c r="AG558" s="9">
        <f>IF(Table1[[#This Row],[GrossRevenue]]=0,0,Table1[[#This Row],[GrossProfit]]/Table1[[#This Row],[GrossRevenue]])</f>
        <v>0.55354210145989458</v>
      </c>
    </row>
    <row r="559" spans="1:33" hidden="1" x14ac:dyDescent="0.45">
      <c r="A559" t="s">
        <v>572</v>
      </c>
      <c r="C559" s="3">
        <v>45362</v>
      </c>
      <c r="D559" s="3">
        <f>YEAR(Table1[[#This Row],[OrderDate]]) * 100 + MONTH(Table1[[#This Row],[OrderDate]])</f>
        <v>202403</v>
      </c>
      <c r="E559" s="3">
        <f>_xlfn.MINIFS(Table1[OrderMonthKey],Table1[Country],Table1[[#This Row],[Country]])</f>
        <v>202301</v>
      </c>
      <c r="F559" s="3">
        <f>Table1[[#This Row],[CountryFirstMonthKey]]</f>
        <v>202301</v>
      </c>
      <c r="G559" s="3">
        <f>12*(INT(Table1[[#This Row],[OrderMonthKey]]/100)-INT(Table1[[#This Row],[CohortMonthKey]]/100)) + (MOD(Table1[[#This Row],[OrderMonthKey]],100)-MOD(Table1[[#This Row],[CohortMonthKey]],100))</f>
        <v>14</v>
      </c>
      <c r="H559" s="3" t="str">
        <f>TEXT(Table1[[#This Row],[OrderDate]],"MMM-YYYY")</f>
        <v>Mar-2024</v>
      </c>
      <c r="I559" s="3" t="str">
        <f t="shared" si="28"/>
        <v>Q2-2025</v>
      </c>
      <c r="J559" s="3" t="str">
        <f>IF(Table1[[#This Row],[LeadTimeDays]]&lt;=7,"Yes","No")</f>
        <v>No</v>
      </c>
      <c r="K559" s="3">
        <f>_xlfn.DAYS(Table1[[#This Row],[CorrectedRequiredDate]],Table1[[#This Row],[OrderDate]])</f>
        <v>18</v>
      </c>
      <c r="L559" s="3">
        <f>IF(Table1[[#This Row],[RequiredDate]]&lt;Table1[[#This Row],[OrderDate]],Table1[[#This Row],[OrderDate]],Table1[[#This Row],[RequiredDate]])</f>
        <v>45380</v>
      </c>
      <c r="M559" s="3">
        <v>45380</v>
      </c>
      <c r="N559" t="s">
        <v>648</v>
      </c>
      <c r="O559" t="s">
        <v>660</v>
      </c>
      <c r="P559" t="s">
        <v>700</v>
      </c>
      <c r="Q559" t="s">
        <v>701</v>
      </c>
      <c r="R559" t="s">
        <v>707</v>
      </c>
      <c r="S559" t="s">
        <v>724</v>
      </c>
      <c r="T559" t="s">
        <v>732</v>
      </c>
      <c r="U559" t="s">
        <v>1289</v>
      </c>
      <c r="V559" s="8">
        <v>710.98</v>
      </c>
      <c r="W559" s="8">
        <v>1481.45</v>
      </c>
      <c r="X559" s="8">
        <f t="shared" si="29"/>
        <v>815.10700000000008</v>
      </c>
      <c r="Y559" s="8">
        <f t="shared" si="30"/>
        <v>1620.05</v>
      </c>
      <c r="AA559">
        <v>0.21099999999999999</v>
      </c>
      <c r="AB559">
        <f>IF(Table1[[#This Row],[DiscountPct]]&gt;0.2,1,0)</f>
        <v>1</v>
      </c>
      <c r="AC559" s="6">
        <v>9</v>
      </c>
      <c r="AD559" s="8">
        <f>Table1[[#This Row],[UnitPrice]]*Table1[[#This Row],[Quantity]]</f>
        <v>13333.050000000001</v>
      </c>
      <c r="AE559" s="8">
        <f>Table1[[#This Row],[UnitCost]]*Table1[[#This Row],[Quantity]]</f>
        <v>6398.82</v>
      </c>
      <c r="AF559" s="8">
        <f>Table1[[#This Row],[GrossRevenue]]-Table1[[#This Row],[CostOfGoods]]</f>
        <v>6934.2300000000014</v>
      </c>
      <c r="AG559" s="8">
        <f>IF(Table1[[#This Row],[GrossRevenue]]=0,0,Table1[[#This Row],[GrossProfit]]/Table1[[#This Row],[GrossRevenue]])</f>
        <v>0.52007830166391045</v>
      </c>
    </row>
    <row r="560" spans="1:33" hidden="1" x14ac:dyDescent="0.45">
      <c r="A560" t="s">
        <v>573</v>
      </c>
      <c r="C560" s="3">
        <v>45430</v>
      </c>
      <c r="D560" s="3">
        <f>YEAR(Table1[[#This Row],[OrderDate]]) * 100 + MONTH(Table1[[#This Row],[OrderDate]])</f>
        <v>202405</v>
      </c>
      <c r="E560" s="3">
        <f>_xlfn.MINIFS(Table1[OrderMonthKey],Table1[Country],Table1[[#This Row],[Country]])</f>
        <v>202301</v>
      </c>
      <c r="F560" s="3">
        <f>Table1[[#This Row],[CountryFirstMonthKey]]</f>
        <v>202301</v>
      </c>
      <c r="G560" s="3">
        <f>12*(INT(Table1[[#This Row],[OrderMonthKey]]/100)-INT(Table1[[#This Row],[CohortMonthKey]]/100)) + (MOD(Table1[[#This Row],[OrderMonthKey]],100)-MOD(Table1[[#This Row],[CohortMonthKey]],100))</f>
        <v>16</v>
      </c>
      <c r="H560" s="3" t="str">
        <f>TEXT(Table1[[#This Row],[OrderDate]],"MMM-YYYY")</f>
        <v>May-2024</v>
      </c>
      <c r="I560" s="3" t="str">
        <f t="shared" si="28"/>
        <v>Q1-2024</v>
      </c>
      <c r="J560" s="3" t="str">
        <f>IF(Table1[[#This Row],[LeadTimeDays]]&lt;=7,"Yes","No")</f>
        <v>Yes</v>
      </c>
      <c r="K560" s="3">
        <f>_xlfn.DAYS(Table1[[#This Row],[CorrectedRequiredDate]],Table1[[#This Row],[OrderDate]])</f>
        <v>4</v>
      </c>
      <c r="L560" s="3">
        <f>IF(Table1[[#This Row],[RequiredDate]]&lt;Table1[[#This Row],[OrderDate]],Table1[[#This Row],[OrderDate]],Table1[[#This Row],[RequiredDate]])</f>
        <v>45434</v>
      </c>
      <c r="M560" s="3">
        <v>45434</v>
      </c>
      <c r="N560" t="s">
        <v>646</v>
      </c>
      <c r="O560" t="s">
        <v>650</v>
      </c>
      <c r="P560" t="s">
        <v>664</v>
      </c>
      <c r="Q560" t="s">
        <v>701</v>
      </c>
      <c r="R560" t="s">
        <v>711</v>
      </c>
      <c r="S560" t="s">
        <v>722</v>
      </c>
      <c r="T560" t="s">
        <v>733</v>
      </c>
      <c r="U560" t="s">
        <v>1290</v>
      </c>
      <c r="V560" s="8">
        <v>857.42</v>
      </c>
      <c r="W560" s="8">
        <v>1658.92</v>
      </c>
      <c r="X560" s="8">
        <f t="shared" si="29"/>
        <v>815.10700000000008</v>
      </c>
      <c r="Y560" s="8">
        <f t="shared" si="30"/>
        <v>1620.05</v>
      </c>
      <c r="AA560">
        <v>0.122</v>
      </c>
      <c r="AB560">
        <f>IF(Table1[[#This Row],[DiscountPct]]&gt;0.2,1,0)</f>
        <v>0</v>
      </c>
      <c r="AC560" s="6">
        <v>9</v>
      </c>
      <c r="AD560" s="8">
        <f>Table1[[#This Row],[UnitPrice]]*Table1[[#This Row],[Quantity]]</f>
        <v>14930.28</v>
      </c>
      <c r="AE560" s="8">
        <f>Table1[[#This Row],[UnitCost]]*Table1[[#This Row],[Quantity]]</f>
        <v>7716.78</v>
      </c>
      <c r="AF560" s="8">
        <f>Table1[[#This Row],[GrossRevenue]]-Table1[[#This Row],[CostOfGoods]]</f>
        <v>7213.5000000000009</v>
      </c>
      <c r="AG560" s="8">
        <f>IF(Table1[[#This Row],[GrossRevenue]]=0,0,Table1[[#This Row],[GrossProfit]]/Table1[[#This Row],[GrossRevenue]])</f>
        <v>0.48314566103247902</v>
      </c>
    </row>
    <row r="561" spans="1:33" x14ac:dyDescent="0.45">
      <c r="A561" t="s">
        <v>574</v>
      </c>
      <c r="B561">
        <v>1</v>
      </c>
      <c r="C561" s="3">
        <v>45299</v>
      </c>
      <c r="D561" s="6">
        <f>YEAR(Table1[[#This Row],[OrderDate]]) * 100 + MONTH(Table1[[#This Row],[OrderDate]])</f>
        <v>202401</v>
      </c>
      <c r="E561" s="6">
        <f>_xlfn.MINIFS(Table1[OrderMonthKey],Table1[Country],Table1[[#This Row],[Country]])</f>
        <v>202302</v>
      </c>
      <c r="F561" s="6">
        <f>Table1[[#This Row],[CountryFirstMonthKey]]</f>
        <v>202302</v>
      </c>
      <c r="G561" s="6">
        <f>12*(INT(Table1[[#This Row],[OrderMonthKey]]/100)-INT(Table1[[#This Row],[CohortMonthKey]]/100)) + (MOD(Table1[[#This Row],[OrderMonthKey]],100)-MOD(Table1[[#This Row],[CohortMonthKey]],100))</f>
        <v>11</v>
      </c>
      <c r="H561" s="3" t="str">
        <f>TEXT(Table1[[#This Row],[OrderDate]],"MMM-YYYY")</f>
        <v>Jan-2024</v>
      </c>
      <c r="I561" s="3" t="str">
        <f t="shared" si="28"/>
        <v>Q2-2024</v>
      </c>
      <c r="J561" s="26" t="str">
        <f>IF(Table1[[#This Row],[LeadTimeDays]]&lt;=7,"Yes","No")</f>
        <v>Yes</v>
      </c>
      <c r="K561" s="6">
        <f>_xlfn.DAYS(Table1[[#This Row],[CorrectedRequiredDate]],Table1[[#This Row],[OrderDate]])</f>
        <v>4</v>
      </c>
      <c r="L561" s="3">
        <f>IF(Table1[[#This Row],[RequiredDate]]&lt;Table1[[#This Row],[OrderDate]],Table1[[#This Row],[OrderDate]],Table1[[#This Row],[RequiredDate]])</f>
        <v>45303</v>
      </c>
      <c r="M561" s="3">
        <v>45303</v>
      </c>
      <c r="N561" t="s">
        <v>647</v>
      </c>
      <c r="O561" t="s">
        <v>654</v>
      </c>
      <c r="P561" t="s">
        <v>668</v>
      </c>
      <c r="Q561" t="s">
        <v>701</v>
      </c>
      <c r="R561" t="s">
        <v>711</v>
      </c>
      <c r="S561" t="s">
        <v>718</v>
      </c>
      <c r="T561" t="s">
        <v>728</v>
      </c>
      <c r="U561" t="s">
        <v>1291</v>
      </c>
      <c r="V561" s="8">
        <v>802.32</v>
      </c>
      <c r="W561" s="8">
        <v>602.34</v>
      </c>
      <c r="X561" s="8">
        <f t="shared" si="29"/>
        <v>815.10700000000008</v>
      </c>
      <c r="Y561" s="8">
        <f t="shared" si="30"/>
        <v>1620.05</v>
      </c>
      <c r="Z561" s="8" t="str">
        <f>IF(W560 &lt;= X559, "Low",IF(W560 &lt;= Y560, "Medium", "High"))</f>
        <v>High</v>
      </c>
      <c r="AA561">
        <v>0.12</v>
      </c>
      <c r="AB561">
        <f>IF(Table1[[#This Row],[DiscountPct]]&gt;0.2,1,0)</f>
        <v>0</v>
      </c>
      <c r="AC561" s="6">
        <v>25</v>
      </c>
      <c r="AD561" s="8">
        <f>Table1[[#This Row],[UnitPrice]]*Table1[[#This Row],[Quantity]]</f>
        <v>15058.5</v>
      </c>
      <c r="AE561" s="8">
        <f>Table1[[#This Row],[UnitCost]]*Table1[[#This Row],[Quantity]]</f>
        <v>20058</v>
      </c>
      <c r="AF561" s="8">
        <f>Table1[[#This Row],[GrossRevenue]]-Table1[[#This Row],[CostOfGoods]]</f>
        <v>-4999.5</v>
      </c>
      <c r="AG561" s="9">
        <f>IF(Table1[[#This Row],[GrossRevenue]]=0,0,Table1[[#This Row],[GrossProfit]]/Table1[[#This Row],[GrossRevenue]])</f>
        <v>-0.33200517979878474</v>
      </c>
    </row>
    <row r="562" spans="1:33" hidden="1" x14ac:dyDescent="0.45">
      <c r="A562" t="s">
        <v>575</v>
      </c>
      <c r="C562" s="3">
        <v>45590</v>
      </c>
      <c r="D562" s="3">
        <f>YEAR(Table1[[#This Row],[OrderDate]]) * 100 + MONTH(Table1[[#This Row],[OrderDate]])</f>
        <v>202410</v>
      </c>
      <c r="E562" s="3">
        <f>_xlfn.MINIFS(Table1[OrderMonthKey],Table1[Country],Table1[[#This Row],[Country]])</f>
        <v>202301</v>
      </c>
      <c r="F562" s="3">
        <f>Table1[[#This Row],[CountryFirstMonthKey]]</f>
        <v>202301</v>
      </c>
      <c r="G562" s="3">
        <f>12*(INT(Table1[[#This Row],[OrderMonthKey]]/100)-INT(Table1[[#This Row],[CohortMonthKey]]/100)) + (MOD(Table1[[#This Row],[OrderMonthKey]],100)-MOD(Table1[[#This Row],[CohortMonthKey]],100))</f>
        <v>21</v>
      </c>
      <c r="H562" s="3" t="str">
        <f>TEXT(Table1[[#This Row],[OrderDate]],"MMM-YYYY")</f>
        <v>Oct-2024</v>
      </c>
      <c r="I562" s="3" t="str">
        <f t="shared" si="28"/>
        <v>Q1-2024</v>
      </c>
      <c r="J562" s="3" t="str">
        <f>IF(Table1[[#This Row],[LeadTimeDays]]&lt;=7,"Yes","No")</f>
        <v>No</v>
      </c>
      <c r="K562" s="3">
        <f>_xlfn.DAYS(Table1[[#This Row],[CorrectedRequiredDate]],Table1[[#This Row],[OrderDate]])</f>
        <v>11</v>
      </c>
      <c r="L562" s="3">
        <f>IF(Table1[[#This Row],[RequiredDate]]&lt;Table1[[#This Row],[OrderDate]],Table1[[#This Row],[OrderDate]],Table1[[#This Row],[RequiredDate]])</f>
        <v>45601</v>
      </c>
      <c r="M562" s="3">
        <v>45601</v>
      </c>
      <c r="N562" t="s">
        <v>648</v>
      </c>
      <c r="O562" t="s">
        <v>660</v>
      </c>
      <c r="P562" t="s">
        <v>700</v>
      </c>
      <c r="Q562" t="s">
        <v>701</v>
      </c>
      <c r="R562" t="s">
        <v>710</v>
      </c>
      <c r="S562" t="s">
        <v>725</v>
      </c>
      <c r="T562" t="s">
        <v>727</v>
      </c>
      <c r="U562" t="s">
        <v>1292</v>
      </c>
      <c r="V562" s="8">
        <v>446.66</v>
      </c>
      <c r="W562" s="8">
        <v>527.64</v>
      </c>
      <c r="X562" s="8">
        <f t="shared" si="29"/>
        <v>815.10700000000008</v>
      </c>
      <c r="Y562" s="8">
        <f t="shared" si="30"/>
        <v>1620.05</v>
      </c>
      <c r="AA562">
        <v>0.14499999999999999</v>
      </c>
      <c r="AB562">
        <f>IF(Table1[[#This Row],[DiscountPct]]&gt;0.2,1,0)</f>
        <v>0</v>
      </c>
      <c r="AC562" s="6">
        <v>15</v>
      </c>
      <c r="AD562" s="8">
        <f>Table1[[#This Row],[UnitPrice]]*Table1[[#This Row],[Quantity]]</f>
        <v>7914.5999999999995</v>
      </c>
      <c r="AE562" s="8">
        <f>Table1[[#This Row],[UnitCost]]*Table1[[#This Row],[Quantity]]</f>
        <v>6699.9000000000005</v>
      </c>
      <c r="AF562" s="8">
        <f>Table1[[#This Row],[GrossRevenue]]-Table1[[#This Row],[CostOfGoods]]</f>
        <v>1214.6999999999989</v>
      </c>
      <c r="AG562" s="8">
        <f>IF(Table1[[#This Row],[GrossRevenue]]=0,0,Table1[[#This Row],[GrossProfit]]/Table1[[#This Row],[GrossRevenue]])</f>
        <v>0.15347585474945025</v>
      </c>
    </row>
    <row r="563" spans="1:33" hidden="1" x14ac:dyDescent="0.45">
      <c r="A563" t="s">
        <v>576</v>
      </c>
      <c r="C563" s="3">
        <v>45626</v>
      </c>
      <c r="D563" s="3">
        <f>YEAR(Table1[[#This Row],[OrderDate]]) * 100 + MONTH(Table1[[#This Row],[OrderDate]])</f>
        <v>202411</v>
      </c>
      <c r="E563" s="3">
        <f>_xlfn.MINIFS(Table1[OrderMonthKey],Table1[Country],Table1[[#This Row],[Country]])</f>
        <v>202301</v>
      </c>
      <c r="F563" s="3">
        <f>Table1[[#This Row],[CountryFirstMonthKey]]</f>
        <v>202301</v>
      </c>
      <c r="G563" s="3">
        <f>12*(INT(Table1[[#This Row],[OrderMonthKey]]/100)-INT(Table1[[#This Row],[CohortMonthKey]]/100)) + (MOD(Table1[[#This Row],[OrderMonthKey]],100)-MOD(Table1[[#This Row],[CohortMonthKey]],100))</f>
        <v>22</v>
      </c>
      <c r="H563" s="3" t="str">
        <f>TEXT(Table1[[#This Row],[OrderDate]],"MMM-YYYY")</f>
        <v>Nov-2024</v>
      </c>
      <c r="I563" s="3" t="str">
        <f t="shared" si="28"/>
        <v>Q4-2024</v>
      </c>
      <c r="J563" s="3" t="str">
        <f>IF(Table1[[#This Row],[LeadTimeDays]]&lt;=7,"Yes","No")</f>
        <v>No</v>
      </c>
      <c r="K563" s="3">
        <f>_xlfn.DAYS(Table1[[#This Row],[CorrectedRequiredDate]],Table1[[#This Row],[OrderDate]])</f>
        <v>19</v>
      </c>
      <c r="L563" s="3">
        <f>IF(Table1[[#This Row],[RequiredDate]]&lt;Table1[[#This Row],[OrderDate]],Table1[[#This Row],[OrderDate]],Table1[[#This Row],[RequiredDate]])</f>
        <v>45645</v>
      </c>
      <c r="M563" s="3">
        <v>45645</v>
      </c>
      <c r="N563" t="s">
        <v>646</v>
      </c>
      <c r="O563" t="s">
        <v>650</v>
      </c>
      <c r="P563" t="s">
        <v>662</v>
      </c>
      <c r="Q563" t="s">
        <v>701</v>
      </c>
      <c r="R563" t="s">
        <v>708</v>
      </c>
      <c r="S563" t="s">
        <v>716</v>
      </c>
      <c r="T563" t="s">
        <v>730</v>
      </c>
      <c r="U563" t="s">
        <v>1293</v>
      </c>
      <c r="V563" s="8">
        <v>1195.98</v>
      </c>
      <c r="W563" s="8">
        <v>1841.9</v>
      </c>
      <c r="X563" s="8">
        <f t="shared" si="29"/>
        <v>815.10700000000008</v>
      </c>
      <c r="Y563" s="8">
        <f t="shared" si="30"/>
        <v>1620.05</v>
      </c>
      <c r="AA563">
        <v>5.5E-2</v>
      </c>
      <c r="AB563">
        <f>IF(Table1[[#This Row],[DiscountPct]]&gt;0.2,1,0)</f>
        <v>0</v>
      </c>
      <c r="AC563" s="6">
        <v>19</v>
      </c>
      <c r="AD563" s="8">
        <f>Table1[[#This Row],[UnitPrice]]*Table1[[#This Row],[Quantity]]</f>
        <v>34996.1</v>
      </c>
      <c r="AE563" s="8">
        <f>Table1[[#This Row],[UnitCost]]*Table1[[#This Row],[Quantity]]</f>
        <v>22723.62</v>
      </c>
      <c r="AF563" s="8">
        <f>Table1[[#This Row],[GrossRevenue]]-Table1[[#This Row],[CostOfGoods]]</f>
        <v>12272.48</v>
      </c>
      <c r="AG563" s="8">
        <f>IF(Table1[[#This Row],[GrossRevenue]]=0,0,Table1[[#This Row],[GrossProfit]]/Table1[[#This Row],[GrossRevenue]])</f>
        <v>0.35068136163743963</v>
      </c>
    </row>
    <row r="564" spans="1:33" x14ac:dyDescent="0.45">
      <c r="A564" t="s">
        <v>577</v>
      </c>
      <c r="B564">
        <v>1</v>
      </c>
      <c r="C564" s="3">
        <v>45029</v>
      </c>
      <c r="D564" s="6">
        <f>YEAR(Table1[[#This Row],[OrderDate]]) * 100 + MONTH(Table1[[#This Row],[OrderDate]])</f>
        <v>202304</v>
      </c>
      <c r="E564" s="6">
        <f>_xlfn.MINIFS(Table1[OrderMonthKey],Table1[Country],Table1[[#This Row],[Country]])</f>
        <v>202301</v>
      </c>
      <c r="F564" s="6">
        <f>Table1[[#This Row],[CountryFirstMonthKey]]</f>
        <v>202301</v>
      </c>
      <c r="G564" s="6">
        <f>12*(INT(Table1[[#This Row],[OrderMonthKey]]/100)-INT(Table1[[#This Row],[CohortMonthKey]]/100)) + (MOD(Table1[[#This Row],[OrderMonthKey]],100)-MOD(Table1[[#This Row],[CohortMonthKey]],100))</f>
        <v>3</v>
      </c>
      <c r="H564" s="3" t="str">
        <f>TEXT(Table1[[#This Row],[OrderDate]],"MMM-YYYY")</f>
        <v>Apr-2023</v>
      </c>
      <c r="I564" s="3" t="str">
        <f t="shared" si="28"/>
        <v>Q4-2024</v>
      </c>
      <c r="J564" s="26" t="str">
        <f>IF(Table1[[#This Row],[LeadTimeDays]]&lt;=7,"Yes","No")</f>
        <v>No</v>
      </c>
      <c r="K564" s="6">
        <f>_xlfn.DAYS(Table1[[#This Row],[CorrectedRequiredDate]],Table1[[#This Row],[OrderDate]])</f>
        <v>19</v>
      </c>
      <c r="L564" s="3">
        <f>IF(Table1[[#This Row],[RequiredDate]]&lt;Table1[[#This Row],[OrderDate]],Table1[[#This Row],[OrderDate]],Table1[[#This Row],[RequiredDate]])</f>
        <v>45048</v>
      </c>
      <c r="M564" s="3">
        <v>45048</v>
      </c>
      <c r="N564" t="s">
        <v>648</v>
      </c>
      <c r="O564" t="s">
        <v>653</v>
      </c>
      <c r="P564" t="s">
        <v>681</v>
      </c>
      <c r="Q564" t="s">
        <v>704</v>
      </c>
      <c r="R564" t="s">
        <v>710</v>
      </c>
      <c r="S564" t="s">
        <v>718</v>
      </c>
      <c r="T564" t="s">
        <v>732</v>
      </c>
      <c r="U564" t="s">
        <v>1294</v>
      </c>
      <c r="V564" s="8">
        <v>671.05</v>
      </c>
      <c r="W564" s="8">
        <v>1645.48</v>
      </c>
      <c r="X564" s="8">
        <f t="shared" si="29"/>
        <v>815.10700000000008</v>
      </c>
      <c r="Y564" s="8">
        <f t="shared" si="30"/>
        <v>1620.05</v>
      </c>
      <c r="Z564" s="8" t="str">
        <f>IF(W563 &lt;= X562, "Low",IF(W563 &lt;= Y563, "Medium", "High"))</f>
        <v>High</v>
      </c>
      <c r="AA564">
        <v>0.13700000000000001</v>
      </c>
      <c r="AB564">
        <f>IF(Table1[[#This Row],[DiscountPct]]&gt;0.2,1,0)</f>
        <v>0</v>
      </c>
      <c r="AC564" s="6">
        <v>6</v>
      </c>
      <c r="AD564" s="8">
        <f>Table1[[#This Row],[UnitPrice]]*Table1[[#This Row],[Quantity]]</f>
        <v>9872.880000000001</v>
      </c>
      <c r="AE564" s="8">
        <f>Table1[[#This Row],[UnitCost]]*Table1[[#This Row],[Quantity]]</f>
        <v>4026.2999999999997</v>
      </c>
      <c r="AF564" s="8">
        <f>Table1[[#This Row],[GrossRevenue]]-Table1[[#This Row],[CostOfGoods]]</f>
        <v>5846.5800000000017</v>
      </c>
      <c r="AG564" s="9">
        <f>IF(Table1[[#This Row],[GrossRevenue]]=0,0,Table1[[#This Row],[GrossProfit]]/Table1[[#This Row],[GrossRevenue]])</f>
        <v>0.59218586673797324</v>
      </c>
    </row>
    <row r="565" spans="1:33" x14ac:dyDescent="0.45">
      <c r="A565" t="s">
        <v>578</v>
      </c>
      <c r="B565">
        <v>1</v>
      </c>
      <c r="C565" s="3">
        <v>45692</v>
      </c>
      <c r="D565" s="6">
        <f>YEAR(Table1[[#This Row],[OrderDate]]) * 100 + MONTH(Table1[[#This Row],[OrderDate]])</f>
        <v>202502</v>
      </c>
      <c r="E565" s="6">
        <f>_xlfn.MINIFS(Table1[OrderMonthKey],Table1[Country],Table1[[#This Row],[Country]])</f>
        <v>202301</v>
      </c>
      <c r="F565" s="6">
        <f>Table1[[#This Row],[CountryFirstMonthKey]]</f>
        <v>202301</v>
      </c>
      <c r="G565" s="6">
        <f>12*(INT(Table1[[#This Row],[OrderMonthKey]]/100)-INT(Table1[[#This Row],[CohortMonthKey]]/100)) + (MOD(Table1[[#This Row],[OrderMonthKey]],100)-MOD(Table1[[#This Row],[CohortMonthKey]],100))</f>
        <v>25</v>
      </c>
      <c r="H565" s="3" t="str">
        <f>TEXT(Table1[[#This Row],[OrderDate]],"MMM-YYYY")</f>
        <v>Feb-2025</v>
      </c>
      <c r="I565" s="3" t="str">
        <f t="shared" si="28"/>
        <v>Q2-2023</v>
      </c>
      <c r="J565" s="26" t="str">
        <f>IF(Table1[[#This Row],[LeadTimeDays]]&lt;=7,"Yes","No")</f>
        <v>Yes</v>
      </c>
      <c r="K565" s="6">
        <f>_xlfn.DAYS(Table1[[#This Row],[CorrectedRequiredDate]],Table1[[#This Row],[OrderDate]])</f>
        <v>4</v>
      </c>
      <c r="L565" s="3">
        <f>IF(Table1[[#This Row],[RequiredDate]]&lt;Table1[[#This Row],[OrderDate]],Table1[[#This Row],[OrderDate]],Table1[[#This Row],[RequiredDate]])</f>
        <v>45696</v>
      </c>
      <c r="M565" s="3">
        <v>45696</v>
      </c>
      <c r="N565" t="s">
        <v>649</v>
      </c>
      <c r="O565" t="s">
        <v>658</v>
      </c>
      <c r="P565" t="s">
        <v>693</v>
      </c>
      <c r="Q565" t="s">
        <v>706</v>
      </c>
      <c r="R565" t="s">
        <v>709</v>
      </c>
      <c r="S565" t="s">
        <v>716</v>
      </c>
      <c r="T565" t="s">
        <v>729</v>
      </c>
      <c r="U565" t="s">
        <v>1295</v>
      </c>
      <c r="V565" s="8">
        <v>586.21</v>
      </c>
      <c r="W565" s="8">
        <v>727.22</v>
      </c>
      <c r="X565" s="8">
        <f t="shared" si="29"/>
        <v>815.10700000000008</v>
      </c>
      <c r="Y565" s="8">
        <f t="shared" si="30"/>
        <v>1620.05</v>
      </c>
      <c r="Z565" s="8" t="str">
        <f>IF(W564 &lt;= X563, "Low",IF(W564 &lt;= Y564, "Medium", "High"))</f>
        <v>High</v>
      </c>
      <c r="AA565">
        <v>6.8000000000000005E-2</v>
      </c>
      <c r="AB565">
        <f>IF(Table1[[#This Row],[DiscountPct]]&gt;0.2,1,0)</f>
        <v>0</v>
      </c>
      <c r="AC565" s="6">
        <v>15</v>
      </c>
      <c r="AD565" s="8">
        <f>Table1[[#This Row],[UnitPrice]]*Table1[[#This Row],[Quantity]]</f>
        <v>10908.300000000001</v>
      </c>
      <c r="AE565" s="8">
        <f>Table1[[#This Row],[UnitCost]]*Table1[[#This Row],[Quantity]]</f>
        <v>8793.1500000000015</v>
      </c>
      <c r="AF565" s="8">
        <f>Table1[[#This Row],[GrossRevenue]]-Table1[[#This Row],[CostOfGoods]]</f>
        <v>2115.1499999999996</v>
      </c>
      <c r="AG565" s="9">
        <f>IF(Table1[[#This Row],[GrossRevenue]]=0,0,Table1[[#This Row],[GrossProfit]]/Table1[[#This Row],[GrossRevenue]])</f>
        <v>0.19390280795357659</v>
      </c>
    </row>
    <row r="566" spans="1:33" x14ac:dyDescent="0.45">
      <c r="A566" t="s">
        <v>579</v>
      </c>
      <c r="B566">
        <v>1</v>
      </c>
      <c r="C566" s="3">
        <v>45315</v>
      </c>
      <c r="D566" s="6">
        <f>YEAR(Table1[[#This Row],[OrderDate]]) * 100 + MONTH(Table1[[#This Row],[OrderDate]])</f>
        <v>202401</v>
      </c>
      <c r="E566" s="6">
        <f>_xlfn.MINIFS(Table1[OrderMonthKey],Table1[Country],Table1[[#This Row],[Country]])</f>
        <v>202301</v>
      </c>
      <c r="F566" s="6">
        <f>Table1[[#This Row],[CountryFirstMonthKey]]</f>
        <v>202301</v>
      </c>
      <c r="G566" s="6">
        <f>12*(INT(Table1[[#This Row],[OrderMonthKey]]/100)-INT(Table1[[#This Row],[CohortMonthKey]]/100)) + (MOD(Table1[[#This Row],[OrderMonthKey]],100)-MOD(Table1[[#This Row],[CohortMonthKey]],100))</f>
        <v>12</v>
      </c>
      <c r="H566" s="3" t="str">
        <f>TEXT(Table1[[#This Row],[OrderDate]],"MMM-YYYY")</f>
        <v>Jan-2024</v>
      </c>
      <c r="I566" s="3" t="str">
        <f t="shared" si="28"/>
        <v>Q1-2025</v>
      </c>
      <c r="J566" s="26" t="str">
        <f>IF(Table1[[#This Row],[LeadTimeDays]]&lt;=7,"Yes","No")</f>
        <v>No</v>
      </c>
      <c r="K566" s="6">
        <f>_xlfn.DAYS(Table1[[#This Row],[CorrectedRequiredDate]],Table1[[#This Row],[OrderDate]])</f>
        <v>11</v>
      </c>
      <c r="L566" s="3">
        <f>IF(Table1[[#This Row],[RequiredDate]]&lt;Table1[[#This Row],[OrderDate]],Table1[[#This Row],[OrderDate]],Table1[[#This Row],[RequiredDate]])</f>
        <v>45326</v>
      </c>
      <c r="M566" s="3">
        <v>45326</v>
      </c>
      <c r="N566" t="s">
        <v>649</v>
      </c>
      <c r="O566" t="s">
        <v>658</v>
      </c>
      <c r="P566" t="s">
        <v>693</v>
      </c>
      <c r="Q566" t="s">
        <v>704</v>
      </c>
      <c r="R566" t="s">
        <v>707</v>
      </c>
      <c r="S566" t="s">
        <v>717</v>
      </c>
      <c r="T566" t="s">
        <v>731</v>
      </c>
      <c r="U566" t="s">
        <v>1296</v>
      </c>
      <c r="V566" s="8">
        <v>525.34</v>
      </c>
      <c r="W566" s="8">
        <v>1233.79</v>
      </c>
      <c r="X566" s="8">
        <f t="shared" si="29"/>
        <v>815.10700000000008</v>
      </c>
      <c r="Y566" s="8">
        <f t="shared" si="30"/>
        <v>1620.05</v>
      </c>
      <c r="Z566" s="8" t="str">
        <f>IF(W565 &lt;= X564, "Low",IF(W565 &lt;= Y565, "Medium", "High"))</f>
        <v>Low</v>
      </c>
      <c r="AA566">
        <v>0.14299999999999999</v>
      </c>
      <c r="AB566">
        <f>IF(Table1[[#This Row],[DiscountPct]]&gt;0.2,1,0)</f>
        <v>0</v>
      </c>
      <c r="AC566" s="6">
        <v>4</v>
      </c>
      <c r="AD566" s="8">
        <f>Table1[[#This Row],[UnitPrice]]*Table1[[#This Row],[Quantity]]</f>
        <v>4935.16</v>
      </c>
      <c r="AE566" s="8">
        <f>Table1[[#This Row],[UnitCost]]*Table1[[#This Row],[Quantity]]</f>
        <v>2101.36</v>
      </c>
      <c r="AF566" s="8">
        <f>Table1[[#This Row],[GrossRevenue]]-Table1[[#This Row],[CostOfGoods]]</f>
        <v>2833.7999999999997</v>
      </c>
      <c r="AG566" s="9">
        <f>IF(Table1[[#This Row],[GrossRevenue]]=0,0,Table1[[#This Row],[GrossProfit]]/Table1[[#This Row],[GrossRevenue]])</f>
        <v>0.57420630739428913</v>
      </c>
    </row>
    <row r="567" spans="1:33" hidden="1" x14ac:dyDescent="0.45">
      <c r="A567" t="s">
        <v>580</v>
      </c>
      <c r="C567" s="3">
        <v>45330</v>
      </c>
      <c r="D567" s="3">
        <f>YEAR(Table1[[#This Row],[OrderDate]]) * 100 + MONTH(Table1[[#This Row],[OrderDate]])</f>
        <v>202402</v>
      </c>
      <c r="E567" s="3">
        <f>_xlfn.MINIFS(Table1[OrderMonthKey],Table1[Country],Table1[[#This Row],[Country]])</f>
        <v>202301</v>
      </c>
      <c r="F567" s="3">
        <f>Table1[[#This Row],[CountryFirstMonthKey]]</f>
        <v>202301</v>
      </c>
      <c r="G567" s="3">
        <f>12*(INT(Table1[[#This Row],[OrderMonthKey]]/100)-INT(Table1[[#This Row],[CohortMonthKey]]/100)) + (MOD(Table1[[#This Row],[OrderMonthKey]],100)-MOD(Table1[[#This Row],[CohortMonthKey]],100))</f>
        <v>13</v>
      </c>
      <c r="H567" s="3" t="str">
        <f>TEXT(Table1[[#This Row],[OrderDate]],"MMM-YYYY")</f>
        <v>Feb-2024</v>
      </c>
      <c r="I567" s="3" t="str">
        <f t="shared" si="28"/>
        <v>Q1-2024</v>
      </c>
      <c r="J567" s="3" t="str">
        <f>IF(Table1[[#This Row],[LeadTimeDays]]&lt;=7,"Yes","No")</f>
        <v>Yes</v>
      </c>
      <c r="K567" s="3">
        <f>_xlfn.DAYS(Table1[[#This Row],[CorrectedRequiredDate]],Table1[[#This Row],[OrderDate]])</f>
        <v>1</v>
      </c>
      <c r="L567" s="3">
        <f>IF(Table1[[#This Row],[RequiredDate]]&lt;Table1[[#This Row],[OrderDate]],Table1[[#This Row],[OrderDate]],Table1[[#This Row],[RequiredDate]])</f>
        <v>45331</v>
      </c>
      <c r="M567" s="3">
        <v>45331</v>
      </c>
      <c r="N567" t="s">
        <v>646</v>
      </c>
      <c r="O567" t="s">
        <v>650</v>
      </c>
      <c r="P567" t="s">
        <v>675</v>
      </c>
      <c r="Q567" t="s">
        <v>701</v>
      </c>
      <c r="R567" t="s">
        <v>711</v>
      </c>
      <c r="S567" t="s">
        <v>721</v>
      </c>
      <c r="T567" t="s">
        <v>727</v>
      </c>
      <c r="U567" t="s">
        <v>1297</v>
      </c>
      <c r="V567" s="8">
        <v>1233.52</v>
      </c>
      <c r="W567" s="8">
        <v>1543.76</v>
      </c>
      <c r="X567" s="8">
        <f t="shared" si="29"/>
        <v>815.10700000000008</v>
      </c>
      <c r="Y567" s="8">
        <f t="shared" si="30"/>
        <v>1620.05</v>
      </c>
      <c r="AA567">
        <v>0.126</v>
      </c>
      <c r="AB567">
        <f>IF(Table1[[#This Row],[DiscountPct]]&gt;0.2,1,0)</f>
        <v>0</v>
      </c>
      <c r="AC567" s="6">
        <v>13</v>
      </c>
      <c r="AD567" s="8">
        <f>Table1[[#This Row],[UnitPrice]]*Table1[[#This Row],[Quantity]]</f>
        <v>20068.88</v>
      </c>
      <c r="AE567" s="8">
        <f>Table1[[#This Row],[UnitCost]]*Table1[[#This Row],[Quantity]]</f>
        <v>16035.76</v>
      </c>
      <c r="AF567" s="8">
        <f>Table1[[#This Row],[GrossRevenue]]-Table1[[#This Row],[CostOfGoods]]</f>
        <v>4033.1200000000008</v>
      </c>
      <c r="AG567" s="8">
        <f>IF(Table1[[#This Row],[GrossRevenue]]=0,0,Table1[[#This Row],[GrossProfit]]/Table1[[#This Row],[GrossRevenue]])</f>
        <v>0.20096388039591651</v>
      </c>
    </row>
    <row r="568" spans="1:33" x14ac:dyDescent="0.45">
      <c r="A568" t="s">
        <v>581</v>
      </c>
      <c r="B568">
        <v>1</v>
      </c>
      <c r="C568" s="3">
        <v>45834</v>
      </c>
      <c r="D568" s="6">
        <f>YEAR(Table1[[#This Row],[OrderDate]]) * 100 + MONTH(Table1[[#This Row],[OrderDate]])</f>
        <v>202506</v>
      </c>
      <c r="E568" s="6">
        <f>_xlfn.MINIFS(Table1[OrderMonthKey],Table1[Country],Table1[[#This Row],[Country]])</f>
        <v>202301</v>
      </c>
      <c r="F568" s="6">
        <f>Table1[[#This Row],[CountryFirstMonthKey]]</f>
        <v>202301</v>
      </c>
      <c r="G568" s="6">
        <f>12*(INT(Table1[[#This Row],[OrderMonthKey]]/100)-INT(Table1[[#This Row],[CohortMonthKey]]/100)) + (MOD(Table1[[#This Row],[OrderMonthKey]],100)-MOD(Table1[[#This Row],[CohortMonthKey]],100))</f>
        <v>29</v>
      </c>
      <c r="H568" s="3" t="str">
        <f>TEXT(Table1[[#This Row],[OrderDate]],"MMM-YYYY")</f>
        <v>Jun-2025</v>
      </c>
      <c r="I568" s="3" t="str">
        <f t="shared" si="28"/>
        <v>Q1-2024</v>
      </c>
      <c r="J568" s="26" t="str">
        <f>IF(Table1[[#This Row],[LeadTimeDays]]&lt;=7,"Yes","No")</f>
        <v>No</v>
      </c>
      <c r="K568" s="6">
        <f>_xlfn.DAYS(Table1[[#This Row],[CorrectedRequiredDate]],Table1[[#This Row],[OrderDate]])</f>
        <v>15</v>
      </c>
      <c r="L568" s="3">
        <f>IF(Table1[[#This Row],[RequiredDate]]&lt;Table1[[#This Row],[OrderDate]],Table1[[#This Row],[OrderDate]],Table1[[#This Row],[RequiredDate]])</f>
        <v>45849</v>
      </c>
      <c r="M568" s="3">
        <v>45849</v>
      </c>
      <c r="N568" t="s">
        <v>646</v>
      </c>
      <c r="O568" t="s">
        <v>651</v>
      </c>
      <c r="P568" t="s">
        <v>663</v>
      </c>
      <c r="Q568" t="s">
        <v>705</v>
      </c>
      <c r="R568" t="s">
        <v>708</v>
      </c>
      <c r="S568" t="s">
        <v>720</v>
      </c>
      <c r="T568" t="s">
        <v>731</v>
      </c>
      <c r="U568" t="s">
        <v>1298</v>
      </c>
      <c r="V568" s="8">
        <v>1170.1500000000001</v>
      </c>
      <c r="W568" s="8">
        <v>2115.19</v>
      </c>
      <c r="X568" s="8">
        <f t="shared" si="29"/>
        <v>815.10700000000008</v>
      </c>
      <c r="Y568" s="8">
        <f t="shared" si="30"/>
        <v>1620.05</v>
      </c>
      <c r="Z568" s="8" t="str">
        <f>IF(W567 &lt;= X566, "Low",IF(W567 &lt;= Y567, "Medium", "High"))</f>
        <v>Medium</v>
      </c>
      <c r="AA568">
        <v>9.1999999999999998E-2</v>
      </c>
      <c r="AB568">
        <f>IF(Table1[[#This Row],[DiscountPct]]&gt;0.2,1,0)</f>
        <v>0</v>
      </c>
      <c r="AC568" s="6">
        <v>23</v>
      </c>
      <c r="AD568" s="8">
        <f>Table1[[#This Row],[UnitPrice]]*Table1[[#This Row],[Quantity]]</f>
        <v>48649.37</v>
      </c>
      <c r="AE568" s="8">
        <f>Table1[[#This Row],[UnitCost]]*Table1[[#This Row],[Quantity]]</f>
        <v>26913.45</v>
      </c>
      <c r="AF568" s="8">
        <f>Table1[[#This Row],[GrossRevenue]]-Table1[[#This Row],[CostOfGoods]]</f>
        <v>21735.920000000002</v>
      </c>
      <c r="AG568" s="9">
        <f>IF(Table1[[#This Row],[GrossRevenue]]=0,0,Table1[[#This Row],[GrossProfit]]/Table1[[#This Row],[GrossRevenue]])</f>
        <v>0.44678728624851671</v>
      </c>
    </row>
    <row r="569" spans="1:33" hidden="1" x14ac:dyDescent="0.45">
      <c r="A569" t="s">
        <v>582</v>
      </c>
      <c r="C569" s="3">
        <v>45600</v>
      </c>
      <c r="D569" s="3">
        <f>YEAR(Table1[[#This Row],[OrderDate]]) * 100 + MONTH(Table1[[#This Row],[OrderDate]])</f>
        <v>202411</v>
      </c>
      <c r="E569" s="3">
        <f>_xlfn.MINIFS(Table1[OrderMonthKey],Table1[Country],Table1[[#This Row],[Country]])</f>
        <v>202301</v>
      </c>
      <c r="F569" s="3">
        <f>Table1[[#This Row],[CountryFirstMonthKey]]</f>
        <v>202301</v>
      </c>
      <c r="G569" s="3">
        <f>12*(INT(Table1[[#This Row],[OrderMonthKey]]/100)-INT(Table1[[#This Row],[CohortMonthKey]]/100)) + (MOD(Table1[[#This Row],[OrderMonthKey]],100)-MOD(Table1[[#This Row],[CohortMonthKey]],100))</f>
        <v>22</v>
      </c>
      <c r="H569" s="3" t="str">
        <f>TEXT(Table1[[#This Row],[OrderDate]],"MMM-YYYY")</f>
        <v>Nov-2024</v>
      </c>
      <c r="I569" s="3" t="str">
        <f t="shared" si="28"/>
        <v>Q2-2025</v>
      </c>
      <c r="J569" s="3" t="str">
        <f>IF(Table1[[#This Row],[LeadTimeDays]]&lt;=7,"Yes","No")</f>
        <v>Yes</v>
      </c>
      <c r="K569" s="3">
        <f>_xlfn.DAYS(Table1[[#This Row],[CorrectedRequiredDate]],Table1[[#This Row],[OrderDate]])</f>
        <v>3</v>
      </c>
      <c r="L569" s="3">
        <f>IF(Table1[[#This Row],[RequiredDate]]&lt;Table1[[#This Row],[OrderDate]],Table1[[#This Row],[OrderDate]],Table1[[#This Row],[RequiredDate]])</f>
        <v>45603</v>
      </c>
      <c r="M569" s="3">
        <v>45603</v>
      </c>
      <c r="N569" t="s">
        <v>649</v>
      </c>
      <c r="O569" t="s">
        <v>657</v>
      </c>
      <c r="P569" t="s">
        <v>679</v>
      </c>
      <c r="Q569" t="s">
        <v>701</v>
      </c>
      <c r="R569" t="s">
        <v>708</v>
      </c>
      <c r="S569" t="s">
        <v>719</v>
      </c>
      <c r="T569" t="s">
        <v>732</v>
      </c>
      <c r="U569" t="s">
        <v>1299</v>
      </c>
      <c r="V569" s="8">
        <v>740.68</v>
      </c>
      <c r="W569" s="8">
        <v>1837.19</v>
      </c>
      <c r="X569" s="8">
        <f t="shared" si="29"/>
        <v>815.10700000000008</v>
      </c>
      <c r="Y569" s="8">
        <f t="shared" si="30"/>
        <v>1620.05</v>
      </c>
      <c r="AA569">
        <v>0.19700000000000001</v>
      </c>
      <c r="AB569">
        <f>IF(Table1[[#This Row],[DiscountPct]]&gt;0.2,1,0)</f>
        <v>0</v>
      </c>
      <c r="AC569" s="6">
        <v>17</v>
      </c>
      <c r="AD569" s="8">
        <f>Table1[[#This Row],[UnitPrice]]*Table1[[#This Row],[Quantity]]</f>
        <v>31232.23</v>
      </c>
      <c r="AE569" s="8">
        <f>Table1[[#This Row],[UnitCost]]*Table1[[#This Row],[Quantity]]</f>
        <v>12591.56</v>
      </c>
      <c r="AF569" s="8">
        <f>Table1[[#This Row],[GrossRevenue]]-Table1[[#This Row],[CostOfGoods]]</f>
        <v>18640.669999999998</v>
      </c>
      <c r="AG569" s="8">
        <f>IF(Table1[[#This Row],[GrossRevenue]]=0,0,Table1[[#This Row],[GrossProfit]]/Table1[[#This Row],[GrossRevenue]])</f>
        <v>0.59684082756818835</v>
      </c>
    </row>
    <row r="570" spans="1:33" hidden="1" x14ac:dyDescent="0.45">
      <c r="A570" t="s">
        <v>583</v>
      </c>
      <c r="C570" s="3">
        <v>45342</v>
      </c>
      <c r="D570" s="3">
        <f>YEAR(Table1[[#This Row],[OrderDate]]) * 100 + MONTH(Table1[[#This Row],[OrderDate]])</f>
        <v>202402</v>
      </c>
      <c r="E570" s="3">
        <f>_xlfn.MINIFS(Table1[OrderMonthKey],Table1[Country],Table1[[#This Row],[Country]])</f>
        <v>202301</v>
      </c>
      <c r="F570" s="3">
        <f>Table1[[#This Row],[CountryFirstMonthKey]]</f>
        <v>202301</v>
      </c>
      <c r="G570" s="3">
        <f>12*(INT(Table1[[#This Row],[OrderMonthKey]]/100)-INT(Table1[[#This Row],[CohortMonthKey]]/100)) + (MOD(Table1[[#This Row],[OrderMonthKey]],100)-MOD(Table1[[#This Row],[CohortMonthKey]],100))</f>
        <v>13</v>
      </c>
      <c r="H570" s="3" t="str">
        <f>TEXT(Table1[[#This Row],[OrderDate]],"MMM-YYYY")</f>
        <v>Feb-2024</v>
      </c>
      <c r="I570" s="3" t="str">
        <f t="shared" si="28"/>
        <v>Q4-2024</v>
      </c>
      <c r="J570" s="3" t="str">
        <f>IF(Table1[[#This Row],[LeadTimeDays]]&lt;=7,"Yes","No")</f>
        <v>Yes</v>
      </c>
      <c r="K570" s="3">
        <f>_xlfn.DAYS(Table1[[#This Row],[CorrectedRequiredDate]],Table1[[#This Row],[OrderDate]])</f>
        <v>0</v>
      </c>
      <c r="L570" s="3">
        <f>IF(Table1[[#This Row],[RequiredDate]]&lt;Table1[[#This Row],[OrderDate]],Table1[[#This Row],[OrderDate]],Table1[[#This Row],[RequiredDate]])</f>
        <v>45342</v>
      </c>
      <c r="M570" s="3">
        <v>45342</v>
      </c>
      <c r="N570" t="s">
        <v>648</v>
      </c>
      <c r="O570" t="s">
        <v>660</v>
      </c>
      <c r="P570" t="s">
        <v>700</v>
      </c>
      <c r="Q570" t="s">
        <v>706</v>
      </c>
      <c r="R570" t="s">
        <v>708</v>
      </c>
      <c r="S570" t="s">
        <v>712</v>
      </c>
      <c r="T570" t="s">
        <v>729</v>
      </c>
      <c r="U570" t="s">
        <v>1300</v>
      </c>
      <c r="V570" s="8">
        <v>1407.05</v>
      </c>
      <c r="W570" s="8">
        <v>2858.93</v>
      </c>
      <c r="X570" s="8">
        <f t="shared" si="29"/>
        <v>815.10700000000008</v>
      </c>
      <c r="Y570" s="8">
        <f t="shared" si="30"/>
        <v>1620.05</v>
      </c>
      <c r="AA570">
        <v>0</v>
      </c>
      <c r="AB570">
        <f>IF(Table1[[#This Row],[DiscountPct]]&gt;0.2,1,0)</f>
        <v>0</v>
      </c>
      <c r="AC570" s="6">
        <v>12</v>
      </c>
      <c r="AD570" s="8">
        <f>Table1[[#This Row],[UnitPrice]]*Table1[[#This Row],[Quantity]]</f>
        <v>34307.159999999996</v>
      </c>
      <c r="AE570" s="8">
        <f>Table1[[#This Row],[UnitCost]]*Table1[[#This Row],[Quantity]]</f>
        <v>16884.599999999999</v>
      </c>
      <c r="AF570" s="8">
        <f>Table1[[#This Row],[GrossRevenue]]-Table1[[#This Row],[CostOfGoods]]</f>
        <v>17422.559999999998</v>
      </c>
      <c r="AG570" s="8">
        <f>IF(Table1[[#This Row],[GrossRevenue]]=0,0,Table1[[#This Row],[GrossProfit]]/Table1[[#This Row],[GrossRevenue]])</f>
        <v>0.50784034586366222</v>
      </c>
    </row>
    <row r="571" spans="1:33" hidden="1" x14ac:dyDescent="0.45">
      <c r="A571" t="s">
        <v>584</v>
      </c>
      <c r="C571" s="3">
        <v>45760</v>
      </c>
      <c r="D571" s="3">
        <f>YEAR(Table1[[#This Row],[OrderDate]]) * 100 + MONTH(Table1[[#This Row],[OrderDate]])</f>
        <v>202504</v>
      </c>
      <c r="E571" s="3">
        <f>_xlfn.MINIFS(Table1[OrderMonthKey],Table1[Country],Table1[[#This Row],[Country]])</f>
        <v>202303</v>
      </c>
      <c r="F571" s="3">
        <f>Table1[[#This Row],[CountryFirstMonthKey]]</f>
        <v>202303</v>
      </c>
      <c r="G571" s="3">
        <f>12*(INT(Table1[[#This Row],[OrderMonthKey]]/100)-INT(Table1[[#This Row],[CohortMonthKey]]/100)) + (MOD(Table1[[#This Row],[OrderMonthKey]],100)-MOD(Table1[[#This Row],[CohortMonthKey]],100))</f>
        <v>25</v>
      </c>
      <c r="H571" s="3" t="str">
        <f>TEXT(Table1[[#This Row],[OrderDate]],"MMM-YYYY")</f>
        <v>Apr-2025</v>
      </c>
      <c r="I571" s="3" t="str">
        <f t="shared" si="28"/>
        <v>Q1-2024</v>
      </c>
      <c r="J571" s="3" t="str">
        <f>IF(Table1[[#This Row],[LeadTimeDays]]&lt;=7,"Yes","No")</f>
        <v>Yes</v>
      </c>
      <c r="K571" s="3">
        <f>_xlfn.DAYS(Table1[[#This Row],[CorrectedRequiredDate]],Table1[[#This Row],[OrderDate]])</f>
        <v>1</v>
      </c>
      <c r="L571" s="3">
        <f>IF(Table1[[#This Row],[RequiredDate]]&lt;Table1[[#This Row],[OrderDate]],Table1[[#This Row],[OrderDate]],Table1[[#This Row],[RequiredDate]])</f>
        <v>45761</v>
      </c>
      <c r="M571" s="3">
        <v>45761</v>
      </c>
      <c r="N571" t="s">
        <v>647</v>
      </c>
      <c r="O571" t="s">
        <v>652</v>
      </c>
      <c r="P571" t="s">
        <v>666</v>
      </c>
      <c r="Q571" t="s">
        <v>706</v>
      </c>
      <c r="R571" t="s">
        <v>708</v>
      </c>
      <c r="S571" t="s">
        <v>715</v>
      </c>
      <c r="T571" t="s">
        <v>727</v>
      </c>
      <c r="U571" t="s">
        <v>1301</v>
      </c>
      <c r="V571" s="8">
        <v>138.9</v>
      </c>
      <c r="W571" s="8">
        <v>289.92</v>
      </c>
      <c r="X571" s="8">
        <f t="shared" si="29"/>
        <v>815.10700000000008</v>
      </c>
      <c r="Y571" s="8">
        <f t="shared" si="30"/>
        <v>1620.05</v>
      </c>
      <c r="AA571">
        <v>2.9000000000000001E-2</v>
      </c>
      <c r="AB571">
        <f>IF(Table1[[#This Row],[DiscountPct]]&gt;0.2,1,0)</f>
        <v>0</v>
      </c>
      <c r="AC571" s="6">
        <v>12</v>
      </c>
      <c r="AD571" s="8">
        <f>Table1[[#This Row],[UnitPrice]]*Table1[[#This Row],[Quantity]]</f>
        <v>3479.04</v>
      </c>
      <c r="AE571" s="8">
        <f>Table1[[#This Row],[UnitCost]]*Table1[[#This Row],[Quantity]]</f>
        <v>1666.8000000000002</v>
      </c>
      <c r="AF571" s="8">
        <f>Table1[[#This Row],[GrossRevenue]]-Table1[[#This Row],[CostOfGoods]]</f>
        <v>1812.2399999999998</v>
      </c>
      <c r="AG571" s="8">
        <f>IF(Table1[[#This Row],[GrossRevenue]]=0,0,Table1[[#This Row],[GrossProfit]]/Table1[[#This Row],[GrossRevenue]])</f>
        <v>0.52090231788079466</v>
      </c>
    </row>
    <row r="572" spans="1:33" x14ac:dyDescent="0.45">
      <c r="A572" t="s">
        <v>585</v>
      </c>
      <c r="B572">
        <v>1</v>
      </c>
      <c r="C572" s="3">
        <v>45078</v>
      </c>
      <c r="D572" s="6">
        <f>YEAR(Table1[[#This Row],[OrderDate]]) * 100 + MONTH(Table1[[#This Row],[OrderDate]])</f>
        <v>202306</v>
      </c>
      <c r="E572" s="6">
        <f>_xlfn.MINIFS(Table1[OrderMonthKey],Table1[Country],Table1[[#This Row],[Country]])</f>
        <v>202302</v>
      </c>
      <c r="F572" s="6">
        <f>Table1[[#This Row],[CountryFirstMonthKey]]</f>
        <v>202302</v>
      </c>
      <c r="G572" s="6">
        <f>12*(INT(Table1[[#This Row],[OrderMonthKey]]/100)-INT(Table1[[#This Row],[CohortMonthKey]]/100)) + (MOD(Table1[[#This Row],[OrderMonthKey]],100)-MOD(Table1[[#This Row],[CohortMonthKey]],100))</f>
        <v>4</v>
      </c>
      <c r="H572" s="3" t="str">
        <f>TEXT(Table1[[#This Row],[OrderDate]],"MMM-YYYY")</f>
        <v>Jun-2023</v>
      </c>
      <c r="I572" s="3" t="str">
        <f t="shared" si="28"/>
        <v>Q2-2025</v>
      </c>
      <c r="J572" s="26" t="str">
        <f>IF(Table1[[#This Row],[LeadTimeDays]]&lt;=7,"Yes","No")</f>
        <v>Yes</v>
      </c>
      <c r="K572" s="6">
        <f>_xlfn.DAYS(Table1[[#This Row],[CorrectedRequiredDate]],Table1[[#This Row],[OrderDate]])</f>
        <v>0</v>
      </c>
      <c r="L572" s="3">
        <f>IF(Table1[[#This Row],[RequiredDate]]&lt;Table1[[#This Row],[OrderDate]],Table1[[#This Row],[OrderDate]],Table1[[#This Row],[RequiredDate]])</f>
        <v>45078</v>
      </c>
      <c r="M572" s="3">
        <v>45078</v>
      </c>
      <c r="N572" t="s">
        <v>647</v>
      </c>
      <c r="O572" t="s">
        <v>654</v>
      </c>
      <c r="P572" t="s">
        <v>668</v>
      </c>
      <c r="Q572" t="s">
        <v>701</v>
      </c>
      <c r="R572" t="s">
        <v>707</v>
      </c>
      <c r="S572" t="s">
        <v>718</v>
      </c>
      <c r="T572" t="s">
        <v>733</v>
      </c>
      <c r="U572" t="s">
        <v>1302</v>
      </c>
      <c r="V572" s="8">
        <v>669.37</v>
      </c>
      <c r="W572" s="8">
        <v>997.2</v>
      </c>
      <c r="X572" s="8">
        <f t="shared" si="29"/>
        <v>815.10700000000008</v>
      </c>
      <c r="Y572" s="8">
        <f t="shared" si="30"/>
        <v>1620.05</v>
      </c>
      <c r="Z572" s="8" t="str">
        <f>IF(W571 &lt;= X570, "Low",IF(W571 &lt;= Y571, "Medium", "High"))</f>
        <v>Low</v>
      </c>
      <c r="AA572">
        <v>8.2000000000000003E-2</v>
      </c>
      <c r="AB572">
        <f>IF(Table1[[#This Row],[DiscountPct]]&gt;0.2,1,0)</f>
        <v>0</v>
      </c>
      <c r="AC572" s="6">
        <v>5</v>
      </c>
      <c r="AD572" s="8">
        <f>Table1[[#This Row],[UnitPrice]]*Table1[[#This Row],[Quantity]]</f>
        <v>4986</v>
      </c>
      <c r="AE572" s="8">
        <f>Table1[[#This Row],[UnitCost]]*Table1[[#This Row],[Quantity]]</f>
        <v>3346.85</v>
      </c>
      <c r="AF572" s="8">
        <f>Table1[[#This Row],[GrossRevenue]]-Table1[[#This Row],[CostOfGoods]]</f>
        <v>1639.15</v>
      </c>
      <c r="AG572" s="9">
        <f>IF(Table1[[#This Row],[GrossRevenue]]=0,0,Table1[[#This Row],[GrossProfit]]/Table1[[#This Row],[GrossRevenue]])</f>
        <v>0.32875050140393103</v>
      </c>
    </row>
    <row r="573" spans="1:33" x14ac:dyDescent="0.45">
      <c r="A573" t="s">
        <v>586</v>
      </c>
      <c r="B573">
        <v>1</v>
      </c>
      <c r="C573" s="3">
        <v>45740</v>
      </c>
      <c r="D573" s="6">
        <f>YEAR(Table1[[#This Row],[OrderDate]]) * 100 + MONTH(Table1[[#This Row],[OrderDate]])</f>
        <v>202503</v>
      </c>
      <c r="E573" s="6">
        <f>_xlfn.MINIFS(Table1[OrderMonthKey],Table1[Country],Table1[[#This Row],[Country]])</f>
        <v>202302</v>
      </c>
      <c r="F573" s="6">
        <f>Table1[[#This Row],[CountryFirstMonthKey]]</f>
        <v>202302</v>
      </c>
      <c r="G573" s="6">
        <f>12*(INT(Table1[[#This Row],[OrderMonthKey]]/100)-INT(Table1[[#This Row],[CohortMonthKey]]/100)) + (MOD(Table1[[#This Row],[OrderMonthKey]],100)-MOD(Table1[[#This Row],[CohortMonthKey]],100))</f>
        <v>25</v>
      </c>
      <c r="H573" s="3" t="str">
        <f>TEXT(Table1[[#This Row],[OrderDate]],"MMM-YYYY")</f>
        <v>Mar-2025</v>
      </c>
      <c r="I573" s="3" t="str">
        <f t="shared" si="28"/>
        <v>Q2-2023</v>
      </c>
      <c r="J573" s="26" t="str">
        <f>IF(Table1[[#This Row],[LeadTimeDays]]&lt;=7,"Yes","No")</f>
        <v>No</v>
      </c>
      <c r="K573" s="6">
        <f>_xlfn.DAYS(Table1[[#This Row],[CorrectedRequiredDate]],Table1[[#This Row],[OrderDate]])</f>
        <v>11</v>
      </c>
      <c r="L573" s="3">
        <f>IF(Table1[[#This Row],[RequiredDate]]&lt;Table1[[#This Row],[OrderDate]],Table1[[#This Row],[OrderDate]],Table1[[#This Row],[RequiredDate]])</f>
        <v>45751</v>
      </c>
      <c r="M573" s="3">
        <v>45751</v>
      </c>
      <c r="N573" t="s">
        <v>647</v>
      </c>
      <c r="O573" t="s">
        <v>654</v>
      </c>
      <c r="P573" t="s">
        <v>691</v>
      </c>
      <c r="Q573" t="s">
        <v>702</v>
      </c>
      <c r="R573" t="s">
        <v>709</v>
      </c>
      <c r="S573" t="s">
        <v>713</v>
      </c>
      <c r="T573" t="s">
        <v>730</v>
      </c>
      <c r="U573" t="s">
        <v>1303</v>
      </c>
      <c r="V573" s="8">
        <v>23.83</v>
      </c>
      <c r="W573" s="8">
        <v>47.29</v>
      </c>
      <c r="X573" s="8">
        <f t="shared" si="29"/>
        <v>815.10700000000008</v>
      </c>
      <c r="Y573" s="8">
        <f t="shared" si="30"/>
        <v>1620.05</v>
      </c>
      <c r="Z573" s="8" t="str">
        <f>IF(W572 &lt;= X571, "Low",IF(W572 &lt;= Y572, "Medium", "High"))</f>
        <v>Medium</v>
      </c>
      <c r="AA573">
        <v>6.4000000000000001E-2</v>
      </c>
      <c r="AB573">
        <f>IF(Table1[[#This Row],[DiscountPct]]&gt;0.2,1,0)</f>
        <v>0</v>
      </c>
      <c r="AC573" s="6">
        <v>19</v>
      </c>
      <c r="AD573" s="8">
        <f>Table1[[#This Row],[UnitPrice]]*Table1[[#This Row],[Quantity]]</f>
        <v>898.51</v>
      </c>
      <c r="AE573" s="8">
        <f>Table1[[#This Row],[UnitCost]]*Table1[[#This Row],[Quantity]]</f>
        <v>452.77</v>
      </c>
      <c r="AF573" s="8">
        <f>Table1[[#This Row],[GrossRevenue]]-Table1[[#This Row],[CostOfGoods]]</f>
        <v>445.74</v>
      </c>
      <c r="AG573" s="9">
        <f>IF(Table1[[#This Row],[GrossRevenue]]=0,0,Table1[[#This Row],[GrossProfit]]/Table1[[#This Row],[GrossRevenue]])</f>
        <v>0.4960879678578981</v>
      </c>
    </row>
    <row r="574" spans="1:33" x14ac:dyDescent="0.45">
      <c r="A574" t="s">
        <v>587</v>
      </c>
      <c r="B574">
        <v>1</v>
      </c>
      <c r="C574" s="3">
        <v>45293</v>
      </c>
      <c r="D574" s="6">
        <f>YEAR(Table1[[#This Row],[OrderDate]]) * 100 + MONTH(Table1[[#This Row],[OrderDate]])</f>
        <v>202401</v>
      </c>
      <c r="E574" s="6">
        <f>_xlfn.MINIFS(Table1[OrderMonthKey],Table1[Country],Table1[[#This Row],[Country]])</f>
        <v>202301</v>
      </c>
      <c r="F574" s="6">
        <f>Table1[[#This Row],[CountryFirstMonthKey]]</f>
        <v>202301</v>
      </c>
      <c r="G574" s="6">
        <f>12*(INT(Table1[[#This Row],[OrderMonthKey]]/100)-INT(Table1[[#This Row],[CohortMonthKey]]/100)) + (MOD(Table1[[#This Row],[OrderMonthKey]],100)-MOD(Table1[[#This Row],[CohortMonthKey]],100))</f>
        <v>12</v>
      </c>
      <c r="H574" s="3" t="str">
        <f>TEXT(Table1[[#This Row],[OrderDate]],"MMM-YYYY")</f>
        <v>Jan-2024</v>
      </c>
      <c r="I574" s="3" t="str">
        <f t="shared" si="28"/>
        <v>Q1-2025</v>
      </c>
      <c r="J574" s="26" t="str">
        <f>IF(Table1[[#This Row],[LeadTimeDays]]&lt;=7,"Yes","No")</f>
        <v>Yes</v>
      </c>
      <c r="K574" s="6">
        <f>_xlfn.DAYS(Table1[[#This Row],[CorrectedRequiredDate]],Table1[[#This Row],[OrderDate]])</f>
        <v>0</v>
      </c>
      <c r="L574" s="3">
        <f>IF(Table1[[#This Row],[RequiredDate]]&lt;Table1[[#This Row],[OrderDate]],Table1[[#This Row],[OrderDate]],Table1[[#This Row],[RequiredDate]])</f>
        <v>45293</v>
      </c>
      <c r="M574" s="3">
        <v>45293</v>
      </c>
      <c r="N574" t="s">
        <v>648</v>
      </c>
      <c r="O574" t="s">
        <v>653</v>
      </c>
      <c r="P574" t="s">
        <v>688</v>
      </c>
      <c r="Q574" t="s">
        <v>702</v>
      </c>
      <c r="R574" t="s">
        <v>711</v>
      </c>
      <c r="S574" t="s">
        <v>720</v>
      </c>
      <c r="T574" t="s">
        <v>731</v>
      </c>
      <c r="U574" t="s">
        <v>1304</v>
      </c>
      <c r="V574" s="8">
        <v>444.41</v>
      </c>
      <c r="W574" s="8">
        <v>754.24</v>
      </c>
      <c r="X574" s="8">
        <f t="shared" si="29"/>
        <v>815.10700000000008</v>
      </c>
      <c r="Y574" s="8">
        <f t="shared" si="30"/>
        <v>1620.05</v>
      </c>
      <c r="Z574" s="8" t="str">
        <f>IF(W573 &lt;= X572, "Low",IF(W573 &lt;= Y573, "Medium", "High"))</f>
        <v>Low</v>
      </c>
      <c r="AA574">
        <v>0.20699999999999999</v>
      </c>
      <c r="AB574">
        <f>IF(Table1[[#This Row],[DiscountPct]]&gt;0.2,1,0)</f>
        <v>1</v>
      </c>
      <c r="AC574" s="6">
        <v>32</v>
      </c>
      <c r="AD574" s="8">
        <f>Table1[[#This Row],[UnitPrice]]*Table1[[#This Row],[Quantity]]</f>
        <v>24135.68</v>
      </c>
      <c r="AE574" s="8">
        <f>Table1[[#This Row],[UnitCost]]*Table1[[#This Row],[Quantity]]</f>
        <v>14221.12</v>
      </c>
      <c r="AF574" s="8">
        <f>Table1[[#This Row],[GrossRevenue]]-Table1[[#This Row],[CostOfGoods]]</f>
        <v>9914.56</v>
      </c>
      <c r="AG574" s="9">
        <f>IF(Table1[[#This Row],[GrossRevenue]]=0,0,Table1[[#This Row],[GrossProfit]]/Table1[[#This Row],[GrossRevenue]])</f>
        <v>0.41078436571913446</v>
      </c>
    </row>
    <row r="575" spans="1:33" x14ac:dyDescent="0.45">
      <c r="A575" t="s">
        <v>588</v>
      </c>
      <c r="B575">
        <v>1</v>
      </c>
      <c r="C575" s="3">
        <v>45279</v>
      </c>
      <c r="D575" s="6">
        <f>YEAR(Table1[[#This Row],[OrderDate]]) * 100 + MONTH(Table1[[#This Row],[OrderDate]])</f>
        <v>202312</v>
      </c>
      <c r="E575" s="6">
        <f>_xlfn.MINIFS(Table1[OrderMonthKey],Table1[Country],Table1[[#This Row],[Country]])</f>
        <v>202301</v>
      </c>
      <c r="F575" s="6">
        <f>Table1[[#This Row],[CountryFirstMonthKey]]</f>
        <v>202301</v>
      </c>
      <c r="G575" s="6">
        <f>12*(INT(Table1[[#This Row],[OrderMonthKey]]/100)-INT(Table1[[#This Row],[CohortMonthKey]]/100)) + (MOD(Table1[[#This Row],[OrderMonthKey]],100)-MOD(Table1[[#This Row],[CohortMonthKey]],100))</f>
        <v>11</v>
      </c>
      <c r="H575" s="3" t="str">
        <f>TEXT(Table1[[#This Row],[OrderDate]],"MMM-YYYY")</f>
        <v>Dec-2023</v>
      </c>
      <c r="I575" s="3" t="str">
        <f t="shared" si="28"/>
        <v>Q1-2024</v>
      </c>
      <c r="J575" s="26" t="str">
        <f>IF(Table1[[#This Row],[LeadTimeDays]]&lt;=7,"Yes","No")</f>
        <v>No</v>
      </c>
      <c r="K575" s="6">
        <f>_xlfn.DAYS(Table1[[#This Row],[CorrectedRequiredDate]],Table1[[#This Row],[OrderDate]])</f>
        <v>13</v>
      </c>
      <c r="L575" s="3">
        <f>IF(Table1[[#This Row],[RequiredDate]]&lt;Table1[[#This Row],[OrderDate]],Table1[[#This Row],[OrderDate]],Table1[[#This Row],[RequiredDate]])</f>
        <v>45292</v>
      </c>
      <c r="M575" s="3">
        <v>45292</v>
      </c>
      <c r="N575" t="s">
        <v>648</v>
      </c>
      <c r="O575" t="s">
        <v>653</v>
      </c>
      <c r="P575" t="s">
        <v>667</v>
      </c>
      <c r="Q575" t="s">
        <v>706</v>
      </c>
      <c r="R575" t="s">
        <v>707</v>
      </c>
      <c r="S575" t="s">
        <v>723</v>
      </c>
      <c r="T575" t="s">
        <v>732</v>
      </c>
      <c r="U575" t="s">
        <v>1305</v>
      </c>
      <c r="V575" s="8">
        <v>856.1</v>
      </c>
      <c r="W575" s="8">
        <v>901.48</v>
      </c>
      <c r="X575" s="8">
        <f t="shared" si="29"/>
        <v>815.10700000000008</v>
      </c>
      <c r="Y575" s="8">
        <f t="shared" si="30"/>
        <v>1620.05</v>
      </c>
      <c r="Z575" s="8" t="str">
        <f>IF(W574 &lt;= X573, "Low",IF(W574 &lt;= Y574, "Medium", "High"))</f>
        <v>Low</v>
      </c>
      <c r="AA575">
        <v>5.6000000000000001E-2</v>
      </c>
      <c r="AB575">
        <f>IF(Table1[[#This Row],[DiscountPct]]&gt;0.2,1,0)</f>
        <v>0</v>
      </c>
      <c r="AC575" s="6">
        <v>17</v>
      </c>
      <c r="AD575" s="8">
        <f>Table1[[#This Row],[UnitPrice]]*Table1[[#This Row],[Quantity]]</f>
        <v>15325.16</v>
      </c>
      <c r="AE575" s="8">
        <f>Table1[[#This Row],[UnitCost]]*Table1[[#This Row],[Quantity]]</f>
        <v>14553.7</v>
      </c>
      <c r="AF575" s="8">
        <f>Table1[[#This Row],[GrossRevenue]]-Table1[[#This Row],[CostOfGoods]]</f>
        <v>771.45999999999913</v>
      </c>
      <c r="AG575" s="9">
        <f>IF(Table1[[#This Row],[GrossRevenue]]=0,0,Table1[[#This Row],[GrossProfit]]/Table1[[#This Row],[GrossRevenue]])</f>
        <v>5.033944180680653E-2</v>
      </c>
    </row>
    <row r="576" spans="1:33" hidden="1" x14ac:dyDescent="0.45">
      <c r="A576" t="s">
        <v>589</v>
      </c>
      <c r="C576" s="3">
        <v>45042</v>
      </c>
      <c r="D576" s="3">
        <f>YEAR(Table1[[#This Row],[OrderDate]]) * 100 + MONTH(Table1[[#This Row],[OrderDate]])</f>
        <v>202304</v>
      </c>
      <c r="E576" s="3">
        <f>_xlfn.MINIFS(Table1[OrderMonthKey],Table1[Country],Table1[[#This Row],[Country]])</f>
        <v>202301</v>
      </c>
      <c r="F576" s="3">
        <f>Table1[[#This Row],[CountryFirstMonthKey]]</f>
        <v>202301</v>
      </c>
      <c r="G576" s="3">
        <f>12*(INT(Table1[[#This Row],[OrderMonthKey]]/100)-INT(Table1[[#This Row],[CohortMonthKey]]/100)) + (MOD(Table1[[#This Row],[OrderMonthKey]],100)-MOD(Table1[[#This Row],[CohortMonthKey]],100))</f>
        <v>3</v>
      </c>
      <c r="H576" s="3" t="str">
        <f>TEXT(Table1[[#This Row],[OrderDate]],"MMM-YYYY")</f>
        <v>Apr-2023</v>
      </c>
      <c r="I576" s="3" t="str">
        <f t="shared" si="28"/>
        <v>Q4-2023</v>
      </c>
      <c r="J576" s="3" t="str">
        <f>IF(Table1[[#This Row],[LeadTimeDays]]&lt;=7,"Yes","No")</f>
        <v>Yes</v>
      </c>
      <c r="K576" s="3">
        <f>_xlfn.DAYS(Table1[[#This Row],[CorrectedRequiredDate]],Table1[[#This Row],[OrderDate]])</f>
        <v>0</v>
      </c>
      <c r="L576" s="3">
        <f>IF(Table1[[#This Row],[RequiredDate]]&lt;Table1[[#This Row],[OrderDate]],Table1[[#This Row],[OrderDate]],Table1[[#This Row],[RequiredDate]])</f>
        <v>45042</v>
      </c>
      <c r="M576" s="3">
        <v>45042</v>
      </c>
      <c r="N576" t="s">
        <v>649</v>
      </c>
      <c r="O576" t="s">
        <v>657</v>
      </c>
      <c r="P576" t="s">
        <v>673</v>
      </c>
      <c r="Q576" t="s">
        <v>704</v>
      </c>
      <c r="R576" t="s">
        <v>711</v>
      </c>
      <c r="S576" t="s">
        <v>724</v>
      </c>
      <c r="T576" t="s">
        <v>727</v>
      </c>
      <c r="U576" t="s">
        <v>1306</v>
      </c>
      <c r="V576" s="8">
        <v>81.489999999999995</v>
      </c>
      <c r="W576" s="8">
        <v>113.08</v>
      </c>
      <c r="X576" s="8">
        <f t="shared" si="29"/>
        <v>815.10700000000008</v>
      </c>
      <c r="Y576" s="8">
        <f t="shared" si="30"/>
        <v>1620.05</v>
      </c>
      <c r="AA576">
        <v>0.121</v>
      </c>
      <c r="AB576">
        <f>IF(Table1[[#This Row],[DiscountPct]]&gt;0.2,1,0)</f>
        <v>0</v>
      </c>
      <c r="AC576" s="6">
        <v>5</v>
      </c>
      <c r="AD576" s="8">
        <f>Table1[[#This Row],[UnitPrice]]*Table1[[#This Row],[Quantity]]</f>
        <v>565.4</v>
      </c>
      <c r="AE576" s="8">
        <f>Table1[[#This Row],[UnitCost]]*Table1[[#This Row],[Quantity]]</f>
        <v>407.45</v>
      </c>
      <c r="AF576" s="8">
        <f>Table1[[#This Row],[GrossRevenue]]-Table1[[#This Row],[CostOfGoods]]</f>
        <v>157.94999999999999</v>
      </c>
      <c r="AG576" s="8">
        <f>IF(Table1[[#This Row],[GrossRevenue]]=0,0,Table1[[#This Row],[GrossProfit]]/Table1[[#This Row],[GrossRevenue]])</f>
        <v>0.27935974531305269</v>
      </c>
    </row>
    <row r="577" spans="1:33" x14ac:dyDescent="0.45">
      <c r="A577" t="s">
        <v>590</v>
      </c>
      <c r="B577">
        <v>1</v>
      </c>
      <c r="C577" s="3">
        <v>45872</v>
      </c>
      <c r="D577" s="6">
        <f>YEAR(Table1[[#This Row],[OrderDate]]) * 100 + MONTH(Table1[[#This Row],[OrderDate]])</f>
        <v>202508</v>
      </c>
      <c r="E577" s="6">
        <f>_xlfn.MINIFS(Table1[OrderMonthKey],Table1[Country],Table1[[#This Row],[Country]])</f>
        <v>202301</v>
      </c>
      <c r="F577" s="6">
        <f>Table1[[#This Row],[CountryFirstMonthKey]]</f>
        <v>202301</v>
      </c>
      <c r="G577" s="6">
        <f>12*(INT(Table1[[#This Row],[OrderMonthKey]]/100)-INT(Table1[[#This Row],[CohortMonthKey]]/100)) + (MOD(Table1[[#This Row],[OrderMonthKey]],100)-MOD(Table1[[#This Row],[CohortMonthKey]],100))</f>
        <v>31</v>
      </c>
      <c r="H577" s="3" t="str">
        <f>TEXT(Table1[[#This Row],[OrderDate]],"MMM-YYYY")</f>
        <v>Aug-2025</v>
      </c>
      <c r="I577" s="3" t="str">
        <f t="shared" si="28"/>
        <v>Q2-2023</v>
      </c>
      <c r="J577" s="26" t="str">
        <f>IF(Table1[[#This Row],[LeadTimeDays]]&lt;=7,"Yes","No")</f>
        <v>No</v>
      </c>
      <c r="K577" s="6">
        <f>_xlfn.DAYS(Table1[[#This Row],[CorrectedRequiredDate]],Table1[[#This Row],[OrderDate]])</f>
        <v>13</v>
      </c>
      <c r="L577" s="3">
        <f>IF(Table1[[#This Row],[RequiredDate]]&lt;Table1[[#This Row],[OrderDate]],Table1[[#This Row],[OrderDate]],Table1[[#This Row],[RequiredDate]])</f>
        <v>45885</v>
      </c>
      <c r="M577" s="3">
        <v>45885</v>
      </c>
      <c r="N577" t="s">
        <v>648</v>
      </c>
      <c r="O577" t="s">
        <v>653</v>
      </c>
      <c r="P577" t="s">
        <v>681</v>
      </c>
      <c r="Q577" t="s">
        <v>706</v>
      </c>
      <c r="R577" t="s">
        <v>710</v>
      </c>
      <c r="S577" t="s">
        <v>719</v>
      </c>
      <c r="T577" t="s">
        <v>729</v>
      </c>
      <c r="U577" t="s">
        <v>1307</v>
      </c>
      <c r="V577" s="8">
        <v>698.66</v>
      </c>
      <c r="W577" s="8">
        <v>868.62</v>
      </c>
      <c r="X577" s="8">
        <f t="shared" si="29"/>
        <v>815.10700000000008</v>
      </c>
      <c r="Y577" s="8">
        <f t="shared" si="30"/>
        <v>1620.05</v>
      </c>
      <c r="Z577" s="8" t="str">
        <f>IF(W576 &lt;= X575, "Low",IF(W576 &lt;= Y576, "Medium", "High"))</f>
        <v>Low</v>
      </c>
      <c r="AA577">
        <v>7.1999999999999995E-2</v>
      </c>
      <c r="AB577">
        <f>IF(Table1[[#This Row],[DiscountPct]]&gt;0.2,1,0)</f>
        <v>0</v>
      </c>
      <c r="AC577" s="6">
        <v>15</v>
      </c>
      <c r="AD577" s="8">
        <f>Table1[[#This Row],[UnitPrice]]*Table1[[#This Row],[Quantity]]</f>
        <v>13029.3</v>
      </c>
      <c r="AE577" s="8">
        <f>Table1[[#This Row],[UnitCost]]*Table1[[#This Row],[Quantity]]</f>
        <v>10479.9</v>
      </c>
      <c r="AF577" s="8">
        <f>Table1[[#This Row],[GrossRevenue]]-Table1[[#This Row],[CostOfGoods]]</f>
        <v>2549.3999999999996</v>
      </c>
      <c r="AG577" s="9">
        <f>IF(Table1[[#This Row],[GrossRevenue]]=0,0,Table1[[#This Row],[GrossProfit]]/Table1[[#This Row],[GrossRevenue]])</f>
        <v>0.19566668969169485</v>
      </c>
    </row>
    <row r="578" spans="1:33" x14ac:dyDescent="0.45">
      <c r="A578" t="s">
        <v>591</v>
      </c>
      <c r="B578">
        <v>1</v>
      </c>
      <c r="C578" s="3">
        <v>45140</v>
      </c>
      <c r="D578" s="6">
        <f>YEAR(Table1[[#This Row],[OrderDate]]) * 100 + MONTH(Table1[[#This Row],[OrderDate]])</f>
        <v>202308</v>
      </c>
      <c r="E578" s="6">
        <f>_xlfn.MINIFS(Table1[OrderMonthKey],Table1[Country],Table1[[#This Row],[Country]])</f>
        <v>202301</v>
      </c>
      <c r="F578" s="6">
        <f>Table1[[#This Row],[CountryFirstMonthKey]]</f>
        <v>202301</v>
      </c>
      <c r="G578" s="6">
        <f>12*(INT(Table1[[#This Row],[OrderMonthKey]]/100)-INT(Table1[[#This Row],[CohortMonthKey]]/100)) + (MOD(Table1[[#This Row],[OrderMonthKey]],100)-MOD(Table1[[#This Row],[CohortMonthKey]],100))</f>
        <v>7</v>
      </c>
      <c r="H578" s="3" t="str">
        <f>TEXT(Table1[[#This Row],[OrderDate]],"MMM-YYYY")</f>
        <v>Aug-2023</v>
      </c>
      <c r="I578" s="3" t="str">
        <f t="shared" ref="I578:I632" si="31">"Q" &amp; ROUNDUP(MONTH(C577)/3,0) &amp; "-" &amp; YEAR(C577)</f>
        <v>Q3-2025</v>
      </c>
      <c r="J578" s="26" t="str">
        <f>IF(Table1[[#This Row],[LeadTimeDays]]&lt;=7,"Yes","No")</f>
        <v>No</v>
      </c>
      <c r="K578" s="6">
        <f>_xlfn.DAYS(Table1[[#This Row],[CorrectedRequiredDate]],Table1[[#This Row],[OrderDate]])</f>
        <v>17</v>
      </c>
      <c r="L578" s="3">
        <f>IF(Table1[[#This Row],[RequiredDate]]&lt;Table1[[#This Row],[OrderDate]],Table1[[#This Row],[OrderDate]],Table1[[#This Row],[RequiredDate]])</f>
        <v>45157</v>
      </c>
      <c r="M578" s="3">
        <v>45157</v>
      </c>
      <c r="N578" t="s">
        <v>648</v>
      </c>
      <c r="O578" t="s">
        <v>653</v>
      </c>
      <c r="P578" t="s">
        <v>688</v>
      </c>
      <c r="Q578" t="s">
        <v>701</v>
      </c>
      <c r="R578" t="s">
        <v>708</v>
      </c>
      <c r="S578" t="s">
        <v>721</v>
      </c>
      <c r="T578" t="s">
        <v>729</v>
      </c>
      <c r="U578" t="s">
        <v>1308</v>
      </c>
      <c r="V578" s="8">
        <v>175.38</v>
      </c>
      <c r="W578" s="8">
        <v>347.9</v>
      </c>
      <c r="X578" s="8">
        <f t="shared" ref="X578:X632" si="32">_xlfn.PERCENTILE.INC(W:W, 0.33)</f>
        <v>815.10700000000008</v>
      </c>
      <c r="Y578" s="8">
        <f t="shared" ref="Y578:Y632" si="33">_xlfn.PERCENTILE.INC(W:W, 0.66)</f>
        <v>1620.05</v>
      </c>
      <c r="Z578" s="8" t="str">
        <f>IF(W577 &lt;= X576, "Low",IF(W577 &lt;= Y577, "Medium", "High"))</f>
        <v>Medium</v>
      </c>
      <c r="AA578">
        <v>7.1999999999999995E-2</v>
      </c>
      <c r="AB578">
        <f>IF(Table1[[#This Row],[DiscountPct]]&gt;0.2,1,0)</f>
        <v>0</v>
      </c>
      <c r="AC578" s="6">
        <v>43</v>
      </c>
      <c r="AD578" s="8">
        <f>Table1[[#This Row],[UnitPrice]]*Table1[[#This Row],[Quantity]]</f>
        <v>14959.699999999999</v>
      </c>
      <c r="AE578" s="8">
        <f>Table1[[#This Row],[UnitCost]]*Table1[[#This Row],[Quantity]]</f>
        <v>7541.34</v>
      </c>
      <c r="AF578" s="8">
        <f>Table1[[#This Row],[GrossRevenue]]-Table1[[#This Row],[CostOfGoods]]</f>
        <v>7418.3599999999988</v>
      </c>
      <c r="AG578" s="9">
        <f>IF(Table1[[#This Row],[GrossRevenue]]=0,0,Table1[[#This Row],[GrossProfit]]/Table1[[#This Row],[GrossRevenue]])</f>
        <v>0.49588962345501575</v>
      </c>
    </row>
    <row r="579" spans="1:33" x14ac:dyDescent="0.45">
      <c r="A579" t="s">
        <v>592</v>
      </c>
      <c r="B579">
        <v>1</v>
      </c>
      <c r="C579" s="3">
        <v>45092</v>
      </c>
      <c r="D579" s="6">
        <f>YEAR(Table1[[#This Row],[OrderDate]]) * 100 + MONTH(Table1[[#This Row],[OrderDate]])</f>
        <v>202306</v>
      </c>
      <c r="E579" s="6">
        <f>_xlfn.MINIFS(Table1[OrderMonthKey],Table1[Country],Table1[[#This Row],[Country]])</f>
        <v>202301</v>
      </c>
      <c r="F579" s="6">
        <f>Table1[[#This Row],[CountryFirstMonthKey]]</f>
        <v>202301</v>
      </c>
      <c r="G579" s="6">
        <f>12*(INT(Table1[[#This Row],[OrderMonthKey]]/100)-INT(Table1[[#This Row],[CohortMonthKey]]/100)) + (MOD(Table1[[#This Row],[OrderMonthKey]],100)-MOD(Table1[[#This Row],[CohortMonthKey]],100))</f>
        <v>5</v>
      </c>
      <c r="H579" s="3" t="str">
        <f>TEXT(Table1[[#This Row],[OrderDate]],"MMM-YYYY")</f>
        <v>Jun-2023</v>
      </c>
      <c r="I579" s="3" t="str">
        <f t="shared" si="31"/>
        <v>Q3-2023</v>
      </c>
      <c r="J579" s="26" t="str">
        <f>IF(Table1[[#This Row],[LeadTimeDays]]&lt;=7,"Yes","No")</f>
        <v>No</v>
      </c>
      <c r="K579" s="6">
        <f>_xlfn.DAYS(Table1[[#This Row],[CorrectedRequiredDate]],Table1[[#This Row],[OrderDate]])</f>
        <v>27</v>
      </c>
      <c r="L579" s="3">
        <f>IF(Table1[[#This Row],[RequiredDate]]&lt;Table1[[#This Row],[OrderDate]],Table1[[#This Row],[OrderDate]],Table1[[#This Row],[RequiredDate]])</f>
        <v>45119</v>
      </c>
      <c r="M579" s="3">
        <v>45119</v>
      </c>
      <c r="N579" t="s">
        <v>649</v>
      </c>
      <c r="O579" t="s">
        <v>658</v>
      </c>
      <c r="P579" t="s">
        <v>693</v>
      </c>
      <c r="Q579" t="s">
        <v>704</v>
      </c>
      <c r="R579" t="s">
        <v>711</v>
      </c>
      <c r="S579" t="s">
        <v>714</v>
      </c>
      <c r="T579" t="s">
        <v>733</v>
      </c>
      <c r="U579" t="s">
        <v>1309</v>
      </c>
      <c r="V579" s="8">
        <v>751.28</v>
      </c>
      <c r="W579" s="8">
        <v>1111.8800000000001</v>
      </c>
      <c r="X579" s="8">
        <f t="shared" si="32"/>
        <v>815.10700000000008</v>
      </c>
      <c r="Y579" s="8">
        <f t="shared" si="33"/>
        <v>1620.05</v>
      </c>
      <c r="Z579" s="8" t="str">
        <f>IF(W578 &lt;= X577, "Low",IF(W578 &lt;= Y578, "Medium", "High"))</f>
        <v>Low</v>
      </c>
      <c r="AA579">
        <v>0.13500000000000001</v>
      </c>
      <c r="AB579">
        <f>IF(Table1[[#This Row],[DiscountPct]]&gt;0.2,1,0)</f>
        <v>0</v>
      </c>
      <c r="AC579" s="6">
        <v>7</v>
      </c>
      <c r="AD579" s="8">
        <f>Table1[[#This Row],[UnitPrice]]*Table1[[#This Row],[Quantity]]</f>
        <v>7783.1600000000008</v>
      </c>
      <c r="AE579" s="8">
        <f>Table1[[#This Row],[UnitCost]]*Table1[[#This Row],[Quantity]]</f>
        <v>5258.96</v>
      </c>
      <c r="AF579" s="8">
        <f>Table1[[#This Row],[GrossRevenue]]-Table1[[#This Row],[CostOfGoods]]</f>
        <v>2524.2000000000007</v>
      </c>
      <c r="AG579" s="9">
        <f>IF(Table1[[#This Row],[GrossRevenue]]=0,0,Table1[[#This Row],[GrossProfit]]/Table1[[#This Row],[GrossRevenue]])</f>
        <v>0.32431557362305291</v>
      </c>
    </row>
    <row r="580" spans="1:33" x14ac:dyDescent="0.45">
      <c r="A580" t="s">
        <v>593</v>
      </c>
      <c r="B580">
        <v>1</v>
      </c>
      <c r="C580" s="3">
        <v>45607</v>
      </c>
      <c r="D580" s="6">
        <f>YEAR(Table1[[#This Row],[OrderDate]]) * 100 + MONTH(Table1[[#This Row],[OrderDate]])</f>
        <v>202411</v>
      </c>
      <c r="E580" s="6">
        <f>_xlfn.MINIFS(Table1[OrderMonthKey],Table1[Country],Table1[[#This Row],[Country]])</f>
        <v>202301</v>
      </c>
      <c r="F580" s="6">
        <f>Table1[[#This Row],[CountryFirstMonthKey]]</f>
        <v>202301</v>
      </c>
      <c r="G580" s="6">
        <f>12*(INT(Table1[[#This Row],[OrderMonthKey]]/100)-INT(Table1[[#This Row],[CohortMonthKey]]/100)) + (MOD(Table1[[#This Row],[OrderMonthKey]],100)-MOD(Table1[[#This Row],[CohortMonthKey]],100))</f>
        <v>22</v>
      </c>
      <c r="H580" s="3" t="str">
        <f>TEXT(Table1[[#This Row],[OrderDate]],"MMM-YYYY")</f>
        <v>Nov-2024</v>
      </c>
      <c r="I580" s="3" t="str">
        <f t="shared" si="31"/>
        <v>Q2-2023</v>
      </c>
      <c r="J580" s="26" t="str">
        <f>IF(Table1[[#This Row],[LeadTimeDays]]&lt;=7,"Yes","No")</f>
        <v>No</v>
      </c>
      <c r="K580" s="6">
        <f>_xlfn.DAYS(Table1[[#This Row],[CorrectedRequiredDate]],Table1[[#This Row],[OrderDate]])</f>
        <v>13</v>
      </c>
      <c r="L580" s="3">
        <f>IF(Table1[[#This Row],[RequiredDate]]&lt;Table1[[#This Row],[OrderDate]],Table1[[#This Row],[OrderDate]],Table1[[#This Row],[RequiredDate]])</f>
        <v>45620</v>
      </c>
      <c r="M580" s="3">
        <v>45620</v>
      </c>
      <c r="N580" t="s">
        <v>649</v>
      </c>
      <c r="O580" t="s">
        <v>658</v>
      </c>
      <c r="P580" t="s">
        <v>683</v>
      </c>
      <c r="Q580" t="s">
        <v>701</v>
      </c>
      <c r="R580" t="s">
        <v>707</v>
      </c>
      <c r="S580" t="s">
        <v>718</v>
      </c>
      <c r="T580" t="s">
        <v>729</v>
      </c>
      <c r="U580" t="s">
        <v>1310</v>
      </c>
      <c r="V580" s="8">
        <v>164.53</v>
      </c>
      <c r="W580" s="8">
        <v>327.72</v>
      </c>
      <c r="X580" s="8">
        <f t="shared" si="32"/>
        <v>815.10700000000008</v>
      </c>
      <c r="Y580" s="8">
        <f t="shared" si="33"/>
        <v>1620.05</v>
      </c>
      <c r="Z580" s="8" t="str">
        <f>IF(W579 &lt;= X578, "Low",IF(W579 &lt;= Y579, "Medium", "High"))</f>
        <v>Medium</v>
      </c>
      <c r="AA580">
        <v>6.7000000000000004E-2</v>
      </c>
      <c r="AB580">
        <f>IF(Table1[[#This Row],[DiscountPct]]&gt;0.2,1,0)</f>
        <v>0</v>
      </c>
      <c r="AC580" s="6">
        <v>14</v>
      </c>
      <c r="AD580" s="8">
        <f>Table1[[#This Row],[UnitPrice]]*Table1[[#This Row],[Quantity]]</f>
        <v>4588.08</v>
      </c>
      <c r="AE580" s="8">
        <f>Table1[[#This Row],[UnitCost]]*Table1[[#This Row],[Quantity]]</f>
        <v>2303.42</v>
      </c>
      <c r="AF580" s="8">
        <f>Table1[[#This Row],[GrossRevenue]]-Table1[[#This Row],[CostOfGoods]]</f>
        <v>2284.66</v>
      </c>
      <c r="AG580" s="9">
        <f>IF(Table1[[#This Row],[GrossRevenue]]=0,0,Table1[[#This Row],[GrossProfit]]/Table1[[#This Row],[GrossRevenue]])</f>
        <v>0.49795557182961064</v>
      </c>
    </row>
    <row r="581" spans="1:33" hidden="1" x14ac:dyDescent="0.45">
      <c r="A581" t="s">
        <v>594</v>
      </c>
      <c r="C581" s="3">
        <v>45849</v>
      </c>
      <c r="D581" s="3">
        <f>YEAR(Table1[[#This Row],[OrderDate]]) * 100 + MONTH(Table1[[#This Row],[OrderDate]])</f>
        <v>202507</v>
      </c>
      <c r="E581" s="3">
        <f>_xlfn.MINIFS(Table1[OrderMonthKey],Table1[Country],Table1[[#This Row],[Country]])</f>
        <v>202301</v>
      </c>
      <c r="F581" s="3">
        <f>Table1[[#This Row],[CountryFirstMonthKey]]</f>
        <v>202301</v>
      </c>
      <c r="G581" s="3">
        <f>12*(INT(Table1[[#This Row],[OrderMonthKey]]/100)-INT(Table1[[#This Row],[CohortMonthKey]]/100)) + (MOD(Table1[[#This Row],[OrderMonthKey]],100)-MOD(Table1[[#This Row],[CohortMonthKey]],100))</f>
        <v>30</v>
      </c>
      <c r="H581" s="3" t="str">
        <f>TEXT(Table1[[#This Row],[OrderDate]],"MMM-YYYY")</f>
        <v>Jul-2025</v>
      </c>
      <c r="I581" s="3" t="str">
        <f t="shared" si="31"/>
        <v>Q4-2024</v>
      </c>
      <c r="J581" s="3" t="str">
        <f>IF(Table1[[#This Row],[LeadTimeDays]]&lt;=7,"Yes","No")</f>
        <v>No</v>
      </c>
      <c r="K581" s="3">
        <f>_xlfn.DAYS(Table1[[#This Row],[CorrectedRequiredDate]],Table1[[#This Row],[OrderDate]])</f>
        <v>23</v>
      </c>
      <c r="L581" s="3">
        <f>IF(Table1[[#This Row],[RequiredDate]]&lt;Table1[[#This Row],[OrderDate]],Table1[[#This Row],[OrderDate]],Table1[[#This Row],[RequiredDate]])</f>
        <v>45872</v>
      </c>
      <c r="M581" s="3">
        <v>45872</v>
      </c>
      <c r="N581" t="s">
        <v>646</v>
      </c>
      <c r="O581" t="s">
        <v>650</v>
      </c>
      <c r="P581" t="s">
        <v>678</v>
      </c>
      <c r="Q581" t="s">
        <v>705</v>
      </c>
      <c r="R581" t="s">
        <v>707</v>
      </c>
      <c r="S581" t="s">
        <v>712</v>
      </c>
      <c r="T581" t="s">
        <v>730</v>
      </c>
      <c r="U581" t="s">
        <v>1311</v>
      </c>
      <c r="V581" s="8">
        <v>389.93</v>
      </c>
      <c r="W581" s="8">
        <v>486.13</v>
      </c>
      <c r="X581" s="8">
        <f t="shared" si="32"/>
        <v>815.10700000000008</v>
      </c>
      <c r="Y581" s="8">
        <f t="shared" si="33"/>
        <v>1620.05</v>
      </c>
      <c r="AA581">
        <v>0.13200000000000001</v>
      </c>
      <c r="AB581">
        <f>IF(Table1[[#This Row],[DiscountPct]]&gt;0.2,1,0)</f>
        <v>0</v>
      </c>
      <c r="AC581" s="6">
        <v>17</v>
      </c>
      <c r="AD581" s="8">
        <f>Table1[[#This Row],[UnitPrice]]*Table1[[#This Row],[Quantity]]</f>
        <v>8264.2099999999991</v>
      </c>
      <c r="AE581" s="8">
        <f>Table1[[#This Row],[UnitCost]]*Table1[[#This Row],[Quantity]]</f>
        <v>6628.81</v>
      </c>
      <c r="AF581" s="8">
        <f>Table1[[#This Row],[GrossRevenue]]-Table1[[#This Row],[CostOfGoods]]</f>
        <v>1635.3999999999987</v>
      </c>
      <c r="AG581" s="8">
        <f>IF(Table1[[#This Row],[GrossRevenue]]=0,0,Table1[[#This Row],[GrossProfit]]/Table1[[#This Row],[GrossRevenue]])</f>
        <v>0.19788945343838055</v>
      </c>
    </row>
    <row r="582" spans="1:33" x14ac:dyDescent="0.45">
      <c r="A582" t="s">
        <v>595</v>
      </c>
      <c r="B582">
        <v>1</v>
      </c>
      <c r="C582" s="3">
        <v>45080</v>
      </c>
      <c r="D582" s="6">
        <f>YEAR(Table1[[#This Row],[OrderDate]]) * 100 + MONTH(Table1[[#This Row],[OrderDate]])</f>
        <v>202306</v>
      </c>
      <c r="E582" s="6">
        <f>_xlfn.MINIFS(Table1[OrderMonthKey],Table1[Country],Table1[[#This Row],[Country]])</f>
        <v>202301</v>
      </c>
      <c r="F582" s="6">
        <f>Table1[[#This Row],[CountryFirstMonthKey]]</f>
        <v>202301</v>
      </c>
      <c r="G582" s="6">
        <f>12*(INT(Table1[[#This Row],[OrderMonthKey]]/100)-INT(Table1[[#This Row],[CohortMonthKey]]/100)) + (MOD(Table1[[#This Row],[OrderMonthKey]],100)-MOD(Table1[[#This Row],[CohortMonthKey]],100))</f>
        <v>5</v>
      </c>
      <c r="H582" s="3" t="str">
        <f>TEXT(Table1[[#This Row],[OrderDate]],"MMM-YYYY")</f>
        <v>Jun-2023</v>
      </c>
      <c r="I582" s="3" t="str">
        <f t="shared" si="31"/>
        <v>Q3-2025</v>
      </c>
      <c r="J582" s="26" t="str">
        <f>IF(Table1[[#This Row],[LeadTimeDays]]&lt;=7,"Yes","No")</f>
        <v>No</v>
      </c>
      <c r="K582" s="6">
        <f>_xlfn.DAYS(Table1[[#This Row],[CorrectedRequiredDate]],Table1[[#This Row],[OrderDate]])</f>
        <v>28</v>
      </c>
      <c r="L582" s="3">
        <f>IF(Table1[[#This Row],[RequiredDate]]&lt;Table1[[#This Row],[OrderDate]],Table1[[#This Row],[OrderDate]],Table1[[#This Row],[RequiredDate]])</f>
        <v>45108</v>
      </c>
      <c r="M582" s="3">
        <v>45108</v>
      </c>
      <c r="N582" t="s">
        <v>648</v>
      </c>
      <c r="O582" t="s">
        <v>655</v>
      </c>
      <c r="P582" t="s">
        <v>672</v>
      </c>
      <c r="Q582" t="s">
        <v>705</v>
      </c>
      <c r="R582" t="s">
        <v>709</v>
      </c>
      <c r="S582" t="s">
        <v>720</v>
      </c>
      <c r="T582" t="s">
        <v>727</v>
      </c>
      <c r="U582" t="s">
        <v>1312</v>
      </c>
      <c r="V582" s="8">
        <v>860.4</v>
      </c>
      <c r="W582" s="8">
        <v>2066.6</v>
      </c>
      <c r="X582" s="8">
        <f t="shared" si="32"/>
        <v>815.10700000000008</v>
      </c>
      <c r="Y582" s="8">
        <f t="shared" si="33"/>
        <v>1620.05</v>
      </c>
      <c r="Z582" s="8" t="str">
        <f>IF(W581 &lt;= X580, "Low",IF(W581 &lt;= Y581, "Medium", "High"))</f>
        <v>Low</v>
      </c>
      <c r="AA582">
        <v>0.01</v>
      </c>
      <c r="AB582">
        <f>IF(Table1[[#This Row],[DiscountPct]]&gt;0.2,1,0)</f>
        <v>0</v>
      </c>
      <c r="AC582" s="6">
        <v>3</v>
      </c>
      <c r="AD582" s="8">
        <f>Table1[[#This Row],[UnitPrice]]*Table1[[#This Row],[Quantity]]</f>
        <v>6199.7999999999993</v>
      </c>
      <c r="AE582" s="8">
        <f>Table1[[#This Row],[UnitCost]]*Table1[[#This Row],[Quantity]]</f>
        <v>2581.1999999999998</v>
      </c>
      <c r="AF582" s="8">
        <f>Table1[[#This Row],[GrossRevenue]]-Table1[[#This Row],[CostOfGoods]]</f>
        <v>3618.5999999999995</v>
      </c>
      <c r="AG582" s="9">
        <f>IF(Table1[[#This Row],[GrossRevenue]]=0,0,Table1[[#This Row],[GrossProfit]]/Table1[[#This Row],[GrossRevenue]])</f>
        <v>0.58366398916094064</v>
      </c>
    </row>
    <row r="583" spans="1:33" x14ac:dyDescent="0.45">
      <c r="A583" t="s">
        <v>596</v>
      </c>
      <c r="B583">
        <v>1</v>
      </c>
      <c r="C583" s="3">
        <v>44955</v>
      </c>
      <c r="D583" s="6">
        <f>YEAR(Table1[[#This Row],[OrderDate]]) * 100 + MONTH(Table1[[#This Row],[OrderDate]])</f>
        <v>202301</v>
      </c>
      <c r="E583" s="6">
        <f>_xlfn.MINIFS(Table1[OrderMonthKey],Table1[Country],Table1[[#This Row],[Country]])</f>
        <v>202301</v>
      </c>
      <c r="F583" s="6">
        <f>Table1[[#This Row],[CountryFirstMonthKey]]</f>
        <v>202301</v>
      </c>
      <c r="G583" s="6">
        <f>12*(INT(Table1[[#This Row],[OrderMonthKey]]/100)-INT(Table1[[#This Row],[CohortMonthKey]]/100)) + (MOD(Table1[[#This Row],[OrderMonthKey]],100)-MOD(Table1[[#This Row],[CohortMonthKey]],100))</f>
        <v>0</v>
      </c>
      <c r="H583" s="3" t="str">
        <f>TEXT(Table1[[#This Row],[OrderDate]],"MMM-YYYY")</f>
        <v>Jan-2023</v>
      </c>
      <c r="I583" s="3" t="str">
        <f t="shared" si="31"/>
        <v>Q2-2023</v>
      </c>
      <c r="J583" s="26" t="str">
        <f>IF(Table1[[#This Row],[LeadTimeDays]]&lt;=7,"Yes","No")</f>
        <v>No</v>
      </c>
      <c r="K583" s="6">
        <f>_xlfn.DAYS(Table1[[#This Row],[CorrectedRequiredDate]],Table1[[#This Row],[OrderDate]])</f>
        <v>8</v>
      </c>
      <c r="L583" s="3">
        <f>IF(Table1[[#This Row],[RequiredDate]]&lt;Table1[[#This Row],[OrderDate]],Table1[[#This Row],[OrderDate]],Table1[[#This Row],[RequiredDate]])</f>
        <v>44963</v>
      </c>
      <c r="M583" s="3">
        <v>44963</v>
      </c>
      <c r="N583" t="s">
        <v>648</v>
      </c>
      <c r="O583" t="s">
        <v>655</v>
      </c>
      <c r="P583" t="s">
        <v>672</v>
      </c>
      <c r="Q583" t="s">
        <v>701</v>
      </c>
      <c r="R583" t="s">
        <v>709</v>
      </c>
      <c r="S583" t="s">
        <v>726</v>
      </c>
      <c r="T583" t="s">
        <v>732</v>
      </c>
      <c r="U583" t="s">
        <v>1313</v>
      </c>
      <c r="V583" s="8">
        <v>41.84</v>
      </c>
      <c r="W583" s="8">
        <v>86.2</v>
      </c>
      <c r="X583" s="8">
        <f t="shared" si="32"/>
        <v>815.10700000000008</v>
      </c>
      <c r="Y583" s="8">
        <f t="shared" si="33"/>
        <v>1620.05</v>
      </c>
      <c r="Z583" s="8" t="str">
        <f>IF(W582 &lt;= X581, "Low",IF(W582 &lt;= Y582, "Medium", "High"))</f>
        <v>High</v>
      </c>
      <c r="AA583">
        <v>0.22600000000000001</v>
      </c>
      <c r="AB583">
        <f>IF(Table1[[#This Row],[DiscountPct]]&gt;0.2,1,0)</f>
        <v>1</v>
      </c>
      <c r="AC583" s="6">
        <v>27</v>
      </c>
      <c r="AD583" s="8">
        <f>Table1[[#This Row],[UnitPrice]]*Table1[[#This Row],[Quantity]]</f>
        <v>2327.4</v>
      </c>
      <c r="AE583" s="8">
        <f>Table1[[#This Row],[UnitCost]]*Table1[[#This Row],[Quantity]]</f>
        <v>1129.68</v>
      </c>
      <c r="AF583" s="8">
        <f>Table1[[#This Row],[GrossRevenue]]-Table1[[#This Row],[CostOfGoods]]</f>
        <v>1197.72</v>
      </c>
      <c r="AG583" s="9">
        <f>IF(Table1[[#This Row],[GrossRevenue]]=0,0,Table1[[#This Row],[GrossProfit]]/Table1[[#This Row],[GrossRevenue]])</f>
        <v>0.51461716937354984</v>
      </c>
    </row>
    <row r="584" spans="1:33" hidden="1" x14ac:dyDescent="0.45">
      <c r="A584" t="s">
        <v>597</v>
      </c>
      <c r="C584" s="3">
        <v>45541</v>
      </c>
      <c r="D584" s="3">
        <f>YEAR(Table1[[#This Row],[OrderDate]]) * 100 + MONTH(Table1[[#This Row],[OrderDate]])</f>
        <v>202409</v>
      </c>
      <c r="E584" s="3">
        <f>_xlfn.MINIFS(Table1[OrderMonthKey],Table1[Country],Table1[[#This Row],[Country]])</f>
        <v>202303</v>
      </c>
      <c r="F584" s="3">
        <f>Table1[[#This Row],[CountryFirstMonthKey]]</f>
        <v>202303</v>
      </c>
      <c r="G584" s="3">
        <f>12*(INT(Table1[[#This Row],[OrderMonthKey]]/100)-INT(Table1[[#This Row],[CohortMonthKey]]/100)) + (MOD(Table1[[#This Row],[OrderMonthKey]],100)-MOD(Table1[[#This Row],[CohortMonthKey]],100))</f>
        <v>18</v>
      </c>
      <c r="H584" s="3" t="str">
        <f>TEXT(Table1[[#This Row],[OrderDate]],"MMM-YYYY")</f>
        <v>Sep-2024</v>
      </c>
      <c r="I584" s="3" t="str">
        <f t="shared" si="31"/>
        <v>Q1-2023</v>
      </c>
      <c r="J584" s="3" t="str">
        <f>IF(Table1[[#This Row],[LeadTimeDays]]&lt;=7,"Yes","No")</f>
        <v>Yes</v>
      </c>
      <c r="K584" s="3">
        <f>_xlfn.DAYS(Table1[[#This Row],[CorrectedRequiredDate]],Table1[[#This Row],[OrderDate]])</f>
        <v>0</v>
      </c>
      <c r="L584" s="3">
        <f>IF(Table1[[#This Row],[RequiredDate]]&lt;Table1[[#This Row],[OrderDate]],Table1[[#This Row],[OrderDate]],Table1[[#This Row],[RequiredDate]])</f>
        <v>45541</v>
      </c>
      <c r="M584" s="3">
        <v>45539</v>
      </c>
      <c r="N584" t="s">
        <v>647</v>
      </c>
      <c r="O584" t="s">
        <v>652</v>
      </c>
      <c r="P584" t="s">
        <v>666</v>
      </c>
      <c r="Q584" t="s">
        <v>701</v>
      </c>
      <c r="R584" t="s">
        <v>711</v>
      </c>
      <c r="S584" t="s">
        <v>720</v>
      </c>
      <c r="T584" t="s">
        <v>731</v>
      </c>
      <c r="U584" t="s">
        <v>1314</v>
      </c>
      <c r="V584" s="8">
        <v>1368.17</v>
      </c>
      <c r="W584" s="8">
        <v>2307.75</v>
      </c>
      <c r="X584" s="8">
        <f t="shared" si="32"/>
        <v>815.10700000000008</v>
      </c>
      <c r="Y584" s="8">
        <f t="shared" si="33"/>
        <v>1620.05</v>
      </c>
      <c r="AA584">
        <v>0.16300000000000001</v>
      </c>
      <c r="AB584">
        <f>IF(Table1[[#This Row],[DiscountPct]]&gt;0.2,1,0)</f>
        <v>0</v>
      </c>
      <c r="AC584" s="6">
        <v>21</v>
      </c>
      <c r="AD584" s="8">
        <f>Table1[[#This Row],[UnitPrice]]*Table1[[#This Row],[Quantity]]</f>
        <v>48462.75</v>
      </c>
      <c r="AE584" s="8">
        <f>Table1[[#This Row],[UnitCost]]*Table1[[#This Row],[Quantity]]</f>
        <v>28731.57</v>
      </c>
      <c r="AF584" s="8">
        <f>Table1[[#This Row],[GrossRevenue]]-Table1[[#This Row],[CostOfGoods]]</f>
        <v>19731.18</v>
      </c>
      <c r="AG584" s="8">
        <f>IF(Table1[[#This Row],[GrossRevenue]]=0,0,Table1[[#This Row],[GrossProfit]]/Table1[[#This Row],[GrossRevenue]])</f>
        <v>0.40714115480446322</v>
      </c>
    </row>
    <row r="585" spans="1:33" hidden="1" x14ac:dyDescent="0.45">
      <c r="A585" t="s">
        <v>598</v>
      </c>
      <c r="C585" s="3">
        <v>45507</v>
      </c>
      <c r="D585" s="3">
        <f>YEAR(Table1[[#This Row],[OrderDate]]) * 100 + MONTH(Table1[[#This Row],[OrderDate]])</f>
        <v>202408</v>
      </c>
      <c r="E585" s="3">
        <f>_xlfn.MINIFS(Table1[OrderMonthKey],Table1[Country],Table1[[#This Row],[Country]])</f>
        <v>202301</v>
      </c>
      <c r="F585" s="3">
        <f>Table1[[#This Row],[CountryFirstMonthKey]]</f>
        <v>202301</v>
      </c>
      <c r="G585" s="3">
        <f>12*(INT(Table1[[#This Row],[OrderMonthKey]]/100)-INT(Table1[[#This Row],[CohortMonthKey]]/100)) + (MOD(Table1[[#This Row],[OrderMonthKey]],100)-MOD(Table1[[#This Row],[CohortMonthKey]],100))</f>
        <v>19</v>
      </c>
      <c r="H585" s="3" t="str">
        <f>TEXT(Table1[[#This Row],[OrderDate]],"MMM-YYYY")</f>
        <v>Aug-2024</v>
      </c>
      <c r="I585" s="3" t="str">
        <f t="shared" si="31"/>
        <v>Q3-2024</v>
      </c>
      <c r="J585" s="3" t="str">
        <f>IF(Table1[[#This Row],[LeadTimeDays]]&lt;=7,"Yes","No")</f>
        <v>Yes</v>
      </c>
      <c r="K585" s="3">
        <f>_xlfn.DAYS(Table1[[#This Row],[CorrectedRequiredDate]],Table1[[#This Row],[OrderDate]])</f>
        <v>6</v>
      </c>
      <c r="L585" s="3">
        <f>IF(Table1[[#This Row],[RequiredDate]]&lt;Table1[[#This Row],[OrderDate]],Table1[[#This Row],[OrderDate]],Table1[[#This Row],[RequiredDate]])</f>
        <v>45513</v>
      </c>
      <c r="M585" s="3">
        <v>45513</v>
      </c>
      <c r="N585" t="s">
        <v>646</v>
      </c>
      <c r="O585" t="s">
        <v>650</v>
      </c>
      <c r="P585" t="s">
        <v>675</v>
      </c>
      <c r="Q585" t="s">
        <v>704</v>
      </c>
      <c r="R585" t="s">
        <v>709</v>
      </c>
      <c r="S585" t="s">
        <v>722</v>
      </c>
      <c r="T585" t="s">
        <v>731</v>
      </c>
      <c r="U585" t="s">
        <v>1315</v>
      </c>
      <c r="V585" s="8">
        <v>643.21</v>
      </c>
      <c r="W585" s="8">
        <v>1112.81</v>
      </c>
      <c r="X585" s="8">
        <f t="shared" si="32"/>
        <v>815.10700000000008</v>
      </c>
      <c r="Y585" s="8">
        <f t="shared" si="33"/>
        <v>1620.05</v>
      </c>
      <c r="AA585">
        <v>0.14099999999999999</v>
      </c>
      <c r="AB585">
        <f>IF(Table1[[#This Row],[DiscountPct]]&gt;0.2,1,0)</f>
        <v>0</v>
      </c>
      <c r="AC585" s="6">
        <v>4</v>
      </c>
      <c r="AD585" s="8">
        <f>Table1[[#This Row],[UnitPrice]]*Table1[[#This Row],[Quantity]]</f>
        <v>4451.24</v>
      </c>
      <c r="AE585" s="8">
        <f>Table1[[#This Row],[UnitCost]]*Table1[[#This Row],[Quantity]]</f>
        <v>2572.84</v>
      </c>
      <c r="AF585" s="8">
        <f>Table1[[#This Row],[GrossRevenue]]-Table1[[#This Row],[CostOfGoods]]</f>
        <v>1878.3999999999996</v>
      </c>
      <c r="AG585" s="8">
        <f>IF(Table1[[#This Row],[GrossRevenue]]=0,0,Table1[[#This Row],[GrossProfit]]/Table1[[#This Row],[GrossRevenue]])</f>
        <v>0.42199476999667501</v>
      </c>
    </row>
    <row r="586" spans="1:33" x14ac:dyDescent="0.45">
      <c r="A586" t="s">
        <v>599</v>
      </c>
      <c r="B586">
        <v>1</v>
      </c>
      <c r="C586" s="3">
        <v>45764</v>
      </c>
      <c r="D586" s="6">
        <f>YEAR(Table1[[#This Row],[OrderDate]]) * 100 + MONTH(Table1[[#This Row],[OrderDate]])</f>
        <v>202504</v>
      </c>
      <c r="E586" s="6">
        <f>_xlfn.MINIFS(Table1[OrderMonthKey],Table1[Country],Table1[[#This Row],[Country]])</f>
        <v>202301</v>
      </c>
      <c r="F586" s="6">
        <f>Table1[[#This Row],[CountryFirstMonthKey]]</f>
        <v>202301</v>
      </c>
      <c r="G586" s="6">
        <f>12*(INT(Table1[[#This Row],[OrderMonthKey]]/100)-INT(Table1[[#This Row],[CohortMonthKey]]/100)) + (MOD(Table1[[#This Row],[OrderMonthKey]],100)-MOD(Table1[[#This Row],[CohortMonthKey]],100))</f>
        <v>27</v>
      </c>
      <c r="H586" s="3" t="str">
        <f>TEXT(Table1[[#This Row],[OrderDate]],"MMM-YYYY")</f>
        <v>Apr-2025</v>
      </c>
      <c r="I586" s="3" t="str">
        <f t="shared" si="31"/>
        <v>Q3-2024</v>
      </c>
      <c r="J586" s="26" t="str">
        <f>IF(Table1[[#This Row],[LeadTimeDays]]&lt;=7,"Yes","No")</f>
        <v>Yes</v>
      </c>
      <c r="K586" s="6">
        <f>_xlfn.DAYS(Table1[[#This Row],[CorrectedRequiredDate]],Table1[[#This Row],[OrderDate]])</f>
        <v>0</v>
      </c>
      <c r="L586" s="3">
        <f>IF(Table1[[#This Row],[RequiredDate]]&lt;Table1[[#This Row],[OrderDate]],Table1[[#This Row],[OrderDate]],Table1[[#This Row],[RequiredDate]])</f>
        <v>45764</v>
      </c>
      <c r="M586" s="3">
        <v>45764</v>
      </c>
      <c r="N586" t="s">
        <v>648</v>
      </c>
      <c r="O586" t="s">
        <v>655</v>
      </c>
      <c r="P586" t="s">
        <v>670</v>
      </c>
      <c r="Q586" t="s">
        <v>701</v>
      </c>
      <c r="R586" t="s">
        <v>710</v>
      </c>
      <c r="S586" t="s">
        <v>716</v>
      </c>
      <c r="T586" t="s">
        <v>730</v>
      </c>
      <c r="U586" t="s">
        <v>1316</v>
      </c>
      <c r="V586" s="8">
        <v>719.41</v>
      </c>
      <c r="W586" s="8">
        <v>1125.99</v>
      </c>
      <c r="X586" s="8">
        <f t="shared" si="32"/>
        <v>815.10700000000008</v>
      </c>
      <c r="Y586" s="8">
        <f t="shared" si="33"/>
        <v>1620.05</v>
      </c>
      <c r="Z586" s="8" t="str">
        <f>IF(W585 &lt;= X584, "Low",IF(W585 &lt;= Y585, "Medium", "High"))</f>
        <v>Medium</v>
      </c>
      <c r="AA586">
        <v>4.1000000000000002E-2</v>
      </c>
      <c r="AB586">
        <f>IF(Table1[[#This Row],[DiscountPct]]&gt;0.2,1,0)</f>
        <v>0</v>
      </c>
      <c r="AC586" s="6">
        <v>21</v>
      </c>
      <c r="AD586" s="8">
        <f>Table1[[#This Row],[UnitPrice]]*Table1[[#This Row],[Quantity]]</f>
        <v>23645.79</v>
      </c>
      <c r="AE586" s="8">
        <f>Table1[[#This Row],[UnitCost]]*Table1[[#This Row],[Quantity]]</f>
        <v>15107.609999999999</v>
      </c>
      <c r="AF586" s="8">
        <f>Table1[[#This Row],[GrossRevenue]]-Table1[[#This Row],[CostOfGoods]]</f>
        <v>8538.1800000000021</v>
      </c>
      <c r="AG586" s="9">
        <f>IF(Table1[[#This Row],[GrossRevenue]]=0,0,Table1[[#This Row],[GrossProfit]]/Table1[[#This Row],[GrossRevenue]])</f>
        <v>0.36108668815886474</v>
      </c>
    </row>
    <row r="587" spans="1:33" hidden="1" x14ac:dyDescent="0.45">
      <c r="A587" t="s">
        <v>600</v>
      </c>
      <c r="C587" s="3">
        <v>45049</v>
      </c>
      <c r="D587" s="3">
        <f>YEAR(Table1[[#This Row],[OrderDate]]) * 100 + MONTH(Table1[[#This Row],[OrderDate]])</f>
        <v>202305</v>
      </c>
      <c r="E587" s="3">
        <f>_xlfn.MINIFS(Table1[OrderMonthKey],Table1[Country],Table1[[#This Row],[Country]])</f>
        <v>202301</v>
      </c>
      <c r="F587" s="3">
        <f>Table1[[#This Row],[CountryFirstMonthKey]]</f>
        <v>202301</v>
      </c>
      <c r="G587" s="3">
        <f>12*(INT(Table1[[#This Row],[OrderMonthKey]]/100)-INT(Table1[[#This Row],[CohortMonthKey]]/100)) + (MOD(Table1[[#This Row],[OrderMonthKey]],100)-MOD(Table1[[#This Row],[CohortMonthKey]],100))</f>
        <v>4</v>
      </c>
      <c r="H587" s="3" t="str">
        <f>TEXT(Table1[[#This Row],[OrderDate]],"MMM-YYYY")</f>
        <v>May-2023</v>
      </c>
      <c r="I587" s="3" t="str">
        <f t="shared" si="31"/>
        <v>Q2-2025</v>
      </c>
      <c r="J587" s="3" t="str">
        <f>IF(Table1[[#This Row],[LeadTimeDays]]&lt;=7,"Yes","No")</f>
        <v>No</v>
      </c>
      <c r="K587" s="3">
        <f>_xlfn.DAYS(Table1[[#This Row],[CorrectedRequiredDate]],Table1[[#This Row],[OrderDate]])</f>
        <v>13</v>
      </c>
      <c r="L587" s="3">
        <f>IF(Table1[[#This Row],[RequiredDate]]&lt;Table1[[#This Row],[OrderDate]],Table1[[#This Row],[OrderDate]],Table1[[#This Row],[RequiredDate]])</f>
        <v>45062</v>
      </c>
      <c r="M587" s="3">
        <v>45062</v>
      </c>
      <c r="N587" t="s">
        <v>648</v>
      </c>
      <c r="O587" t="s">
        <v>660</v>
      </c>
      <c r="P587" t="s">
        <v>700</v>
      </c>
      <c r="Q587" t="s">
        <v>701</v>
      </c>
      <c r="R587" t="s">
        <v>709</v>
      </c>
      <c r="S587" t="s">
        <v>716</v>
      </c>
      <c r="T587" t="s">
        <v>730</v>
      </c>
      <c r="U587" t="s">
        <v>1317</v>
      </c>
      <c r="V587" s="8">
        <v>64.5</v>
      </c>
      <c r="W587" s="8">
        <v>123.62</v>
      </c>
      <c r="X587" s="8">
        <f t="shared" si="32"/>
        <v>815.10700000000008</v>
      </c>
      <c r="Y587" s="8">
        <f t="shared" si="33"/>
        <v>1620.05</v>
      </c>
      <c r="AA587">
        <v>0</v>
      </c>
      <c r="AB587">
        <f>IF(Table1[[#This Row],[DiscountPct]]&gt;0.2,1,0)</f>
        <v>0</v>
      </c>
      <c r="AC587" s="6">
        <v>3</v>
      </c>
      <c r="AD587" s="8">
        <f>Table1[[#This Row],[UnitPrice]]*Table1[[#This Row],[Quantity]]</f>
        <v>370.86</v>
      </c>
      <c r="AE587" s="8">
        <f>Table1[[#This Row],[UnitCost]]*Table1[[#This Row],[Quantity]]</f>
        <v>193.5</v>
      </c>
      <c r="AF587" s="8">
        <f>Table1[[#This Row],[GrossRevenue]]-Table1[[#This Row],[CostOfGoods]]</f>
        <v>177.36</v>
      </c>
      <c r="AG587" s="8">
        <f>IF(Table1[[#This Row],[GrossRevenue]]=0,0,Table1[[#This Row],[GrossProfit]]/Table1[[#This Row],[GrossRevenue]])</f>
        <v>0.47823976702798904</v>
      </c>
    </row>
    <row r="588" spans="1:33" x14ac:dyDescent="0.45">
      <c r="A588" t="s">
        <v>601</v>
      </c>
      <c r="B588">
        <v>1</v>
      </c>
      <c r="C588" s="3">
        <v>45364</v>
      </c>
      <c r="D588" s="6">
        <f>YEAR(Table1[[#This Row],[OrderDate]]) * 100 + MONTH(Table1[[#This Row],[OrderDate]])</f>
        <v>202403</v>
      </c>
      <c r="E588" s="6">
        <f>_xlfn.MINIFS(Table1[OrderMonthKey],Table1[Country],Table1[[#This Row],[Country]])</f>
        <v>202301</v>
      </c>
      <c r="F588" s="6">
        <f>Table1[[#This Row],[CountryFirstMonthKey]]</f>
        <v>202301</v>
      </c>
      <c r="G588" s="6">
        <f>12*(INT(Table1[[#This Row],[OrderMonthKey]]/100)-INT(Table1[[#This Row],[CohortMonthKey]]/100)) + (MOD(Table1[[#This Row],[OrderMonthKey]],100)-MOD(Table1[[#This Row],[CohortMonthKey]],100))</f>
        <v>14</v>
      </c>
      <c r="H588" s="3" t="str">
        <f>TEXT(Table1[[#This Row],[OrderDate]],"MMM-YYYY")</f>
        <v>Mar-2024</v>
      </c>
      <c r="I588" s="3" t="str">
        <f t="shared" si="31"/>
        <v>Q2-2023</v>
      </c>
      <c r="J588" s="26" t="str">
        <f>IF(Table1[[#This Row],[LeadTimeDays]]&lt;=7,"Yes","No")</f>
        <v>No</v>
      </c>
      <c r="K588" s="6">
        <f>_xlfn.DAYS(Table1[[#This Row],[CorrectedRequiredDate]],Table1[[#This Row],[OrderDate]])</f>
        <v>24</v>
      </c>
      <c r="L588" s="3">
        <f>IF(Table1[[#This Row],[RequiredDate]]&lt;Table1[[#This Row],[OrderDate]],Table1[[#This Row],[OrderDate]],Table1[[#This Row],[RequiredDate]])</f>
        <v>45388</v>
      </c>
      <c r="M588" s="3">
        <v>45388</v>
      </c>
      <c r="N588" t="s">
        <v>646</v>
      </c>
      <c r="O588" t="s">
        <v>651</v>
      </c>
      <c r="P588" t="s">
        <v>669</v>
      </c>
      <c r="Q588" t="s">
        <v>704</v>
      </c>
      <c r="R588" t="s">
        <v>710</v>
      </c>
      <c r="S588" t="s">
        <v>716</v>
      </c>
      <c r="T588" t="s">
        <v>727</v>
      </c>
      <c r="U588" t="s">
        <v>1318</v>
      </c>
      <c r="V588" s="8">
        <v>1232.78</v>
      </c>
      <c r="W588" s="8">
        <v>1731.75</v>
      </c>
      <c r="X588" s="8">
        <f t="shared" si="32"/>
        <v>815.10700000000008</v>
      </c>
      <c r="Y588" s="8">
        <f t="shared" si="33"/>
        <v>1620.05</v>
      </c>
      <c r="Z588" s="8" t="str">
        <f>IF(W587 &lt;= X586, "Low",IF(W587 &lt;= Y587, "Medium", "High"))</f>
        <v>Low</v>
      </c>
      <c r="AA588">
        <v>9.2999999999999999E-2</v>
      </c>
      <c r="AB588">
        <f>IF(Table1[[#This Row],[DiscountPct]]&gt;0.2,1,0)</f>
        <v>0</v>
      </c>
      <c r="AC588" s="6">
        <v>16</v>
      </c>
      <c r="AD588" s="8">
        <f>Table1[[#This Row],[UnitPrice]]*Table1[[#This Row],[Quantity]]</f>
        <v>27708</v>
      </c>
      <c r="AE588" s="8">
        <f>Table1[[#This Row],[UnitCost]]*Table1[[#This Row],[Quantity]]</f>
        <v>19724.48</v>
      </c>
      <c r="AF588" s="8">
        <f>Table1[[#This Row],[GrossRevenue]]-Table1[[#This Row],[CostOfGoods]]</f>
        <v>7983.52</v>
      </c>
      <c r="AG588" s="9">
        <f>IF(Table1[[#This Row],[GrossRevenue]]=0,0,Table1[[#This Row],[GrossProfit]]/Table1[[#This Row],[GrossRevenue]])</f>
        <v>0.28813050382560995</v>
      </c>
    </row>
    <row r="589" spans="1:33" hidden="1" x14ac:dyDescent="0.45">
      <c r="A589" t="s">
        <v>602</v>
      </c>
      <c r="C589" s="3">
        <v>45459</v>
      </c>
      <c r="D589" s="3">
        <f>YEAR(Table1[[#This Row],[OrderDate]]) * 100 + MONTH(Table1[[#This Row],[OrderDate]])</f>
        <v>202406</v>
      </c>
      <c r="E589" s="3">
        <f>_xlfn.MINIFS(Table1[OrderMonthKey],Table1[Country],Table1[[#This Row],[Country]])</f>
        <v>202303</v>
      </c>
      <c r="F589" s="3">
        <f>Table1[[#This Row],[CountryFirstMonthKey]]</f>
        <v>202303</v>
      </c>
      <c r="G589" s="3">
        <f>12*(INT(Table1[[#This Row],[OrderMonthKey]]/100)-INT(Table1[[#This Row],[CohortMonthKey]]/100)) + (MOD(Table1[[#This Row],[OrderMonthKey]],100)-MOD(Table1[[#This Row],[CohortMonthKey]],100))</f>
        <v>15</v>
      </c>
      <c r="H589" s="3" t="str">
        <f>TEXT(Table1[[#This Row],[OrderDate]],"MMM-YYYY")</f>
        <v>Jun-2024</v>
      </c>
      <c r="I589" s="3" t="str">
        <f t="shared" si="31"/>
        <v>Q1-2024</v>
      </c>
      <c r="J589" s="3" t="str">
        <f>IF(Table1[[#This Row],[LeadTimeDays]]&lt;=7,"Yes","No")</f>
        <v>Yes</v>
      </c>
      <c r="K589" s="3">
        <f>_xlfn.DAYS(Table1[[#This Row],[CorrectedRequiredDate]],Table1[[#This Row],[OrderDate]])</f>
        <v>5</v>
      </c>
      <c r="L589" s="3">
        <f>IF(Table1[[#This Row],[RequiredDate]]&lt;Table1[[#This Row],[OrderDate]],Table1[[#This Row],[OrderDate]],Table1[[#This Row],[RequiredDate]])</f>
        <v>45464</v>
      </c>
      <c r="M589" s="3">
        <v>45464</v>
      </c>
      <c r="N589" t="s">
        <v>647</v>
      </c>
      <c r="O589" t="s">
        <v>652</v>
      </c>
      <c r="P589" t="s">
        <v>689</v>
      </c>
      <c r="Q589" t="s">
        <v>705</v>
      </c>
      <c r="R589" t="s">
        <v>710</v>
      </c>
      <c r="S589" t="s">
        <v>721</v>
      </c>
      <c r="T589" t="s">
        <v>730</v>
      </c>
      <c r="U589" t="s">
        <v>1319</v>
      </c>
      <c r="V589" s="8">
        <v>1367.13</v>
      </c>
      <c r="W589" s="8">
        <v>3062.01</v>
      </c>
      <c r="X589" s="8">
        <f t="shared" si="32"/>
        <v>815.10700000000008</v>
      </c>
      <c r="Y589" s="8">
        <f t="shared" si="33"/>
        <v>1620.05</v>
      </c>
      <c r="AA589">
        <v>0.10299999999999999</v>
      </c>
      <c r="AB589">
        <f>IF(Table1[[#This Row],[DiscountPct]]&gt;0.2,1,0)</f>
        <v>0</v>
      </c>
      <c r="AC589" s="6">
        <v>25</v>
      </c>
      <c r="AD589" s="8">
        <f>Table1[[#This Row],[UnitPrice]]*Table1[[#This Row],[Quantity]]</f>
        <v>76550.25</v>
      </c>
      <c r="AE589" s="8">
        <f>Table1[[#This Row],[UnitCost]]*Table1[[#This Row],[Quantity]]</f>
        <v>34178.25</v>
      </c>
      <c r="AF589" s="8">
        <f>Table1[[#This Row],[GrossRevenue]]-Table1[[#This Row],[CostOfGoods]]</f>
        <v>42372</v>
      </c>
      <c r="AG589" s="8">
        <f>IF(Table1[[#This Row],[GrossRevenue]]=0,0,Table1[[#This Row],[GrossProfit]]/Table1[[#This Row],[GrossRevenue]])</f>
        <v>0.5535187670843662</v>
      </c>
    </row>
    <row r="590" spans="1:33" hidden="1" x14ac:dyDescent="0.45">
      <c r="A590" t="s">
        <v>603</v>
      </c>
      <c r="C590" s="3">
        <v>45703</v>
      </c>
      <c r="D590" s="3">
        <f>YEAR(Table1[[#This Row],[OrderDate]]) * 100 + MONTH(Table1[[#This Row],[OrderDate]])</f>
        <v>202502</v>
      </c>
      <c r="E590" s="3">
        <f>_xlfn.MINIFS(Table1[OrderMonthKey],Table1[Country],Table1[[#This Row],[Country]])</f>
        <v>202301</v>
      </c>
      <c r="F590" s="3">
        <f>Table1[[#This Row],[CountryFirstMonthKey]]</f>
        <v>202301</v>
      </c>
      <c r="G590" s="3">
        <f>12*(INT(Table1[[#This Row],[OrderMonthKey]]/100)-INT(Table1[[#This Row],[CohortMonthKey]]/100)) + (MOD(Table1[[#This Row],[OrderMonthKey]],100)-MOD(Table1[[#This Row],[CohortMonthKey]],100))</f>
        <v>25</v>
      </c>
      <c r="H590" s="3" t="str">
        <f>TEXT(Table1[[#This Row],[OrderDate]],"MMM-YYYY")</f>
        <v>Feb-2025</v>
      </c>
      <c r="I590" s="3" t="str">
        <f t="shared" si="31"/>
        <v>Q2-2024</v>
      </c>
      <c r="J590" s="3" t="str">
        <f>IF(Table1[[#This Row],[LeadTimeDays]]&lt;=7,"Yes","No")</f>
        <v>No</v>
      </c>
      <c r="K590" s="3">
        <f>_xlfn.DAYS(Table1[[#This Row],[CorrectedRequiredDate]],Table1[[#This Row],[OrderDate]])</f>
        <v>12</v>
      </c>
      <c r="L590" s="3">
        <f>IF(Table1[[#This Row],[RequiredDate]]&lt;Table1[[#This Row],[OrderDate]],Table1[[#This Row],[OrderDate]],Table1[[#This Row],[RequiredDate]])</f>
        <v>45715</v>
      </c>
      <c r="M590" s="3">
        <v>45715</v>
      </c>
      <c r="N590" t="s">
        <v>649</v>
      </c>
      <c r="O590" t="s">
        <v>657</v>
      </c>
      <c r="P590" t="s">
        <v>679</v>
      </c>
      <c r="Q590" t="s">
        <v>703</v>
      </c>
      <c r="R590" t="s">
        <v>711</v>
      </c>
      <c r="S590" t="s">
        <v>723</v>
      </c>
      <c r="T590" t="s">
        <v>733</v>
      </c>
      <c r="U590" t="s">
        <v>1320</v>
      </c>
      <c r="V590" s="8">
        <v>1027.26</v>
      </c>
      <c r="W590" s="8">
        <v>2200.41</v>
      </c>
      <c r="X590" s="8">
        <f t="shared" si="32"/>
        <v>815.10700000000008</v>
      </c>
      <c r="Y590" s="8">
        <f t="shared" si="33"/>
        <v>1620.05</v>
      </c>
      <c r="AA590">
        <v>8.7999999999999995E-2</v>
      </c>
      <c r="AB590">
        <f>IF(Table1[[#This Row],[DiscountPct]]&gt;0.2,1,0)</f>
        <v>0</v>
      </c>
      <c r="AC590" s="6">
        <v>6</v>
      </c>
      <c r="AD590" s="8">
        <f>Table1[[#This Row],[UnitPrice]]*Table1[[#This Row],[Quantity]]</f>
        <v>13202.46</v>
      </c>
      <c r="AE590" s="8">
        <f>Table1[[#This Row],[UnitCost]]*Table1[[#This Row],[Quantity]]</f>
        <v>6163.5599999999995</v>
      </c>
      <c r="AF590" s="8">
        <f>Table1[[#This Row],[GrossRevenue]]-Table1[[#This Row],[CostOfGoods]]</f>
        <v>7038.9</v>
      </c>
      <c r="AG590" s="8">
        <f>IF(Table1[[#This Row],[GrossRevenue]]=0,0,Table1[[#This Row],[GrossProfit]]/Table1[[#This Row],[GrossRevenue]])</f>
        <v>0.53315064010797986</v>
      </c>
    </row>
    <row r="591" spans="1:33" hidden="1" x14ac:dyDescent="0.45">
      <c r="A591" t="s">
        <v>604</v>
      </c>
      <c r="C591" s="3">
        <v>45019</v>
      </c>
      <c r="D591" s="3">
        <f>YEAR(Table1[[#This Row],[OrderDate]]) * 100 + MONTH(Table1[[#This Row],[OrderDate]])</f>
        <v>202304</v>
      </c>
      <c r="E591" s="3">
        <f>_xlfn.MINIFS(Table1[OrderMonthKey],Table1[Country],Table1[[#This Row],[Country]])</f>
        <v>202301</v>
      </c>
      <c r="F591" s="3">
        <f>Table1[[#This Row],[CountryFirstMonthKey]]</f>
        <v>202301</v>
      </c>
      <c r="G591" s="3">
        <f>12*(INT(Table1[[#This Row],[OrderMonthKey]]/100)-INT(Table1[[#This Row],[CohortMonthKey]]/100)) + (MOD(Table1[[#This Row],[OrderMonthKey]],100)-MOD(Table1[[#This Row],[CohortMonthKey]],100))</f>
        <v>3</v>
      </c>
      <c r="H591" s="3" t="str">
        <f>TEXT(Table1[[#This Row],[OrderDate]],"MMM-YYYY")</f>
        <v>Apr-2023</v>
      </c>
      <c r="I591" s="3" t="str">
        <f t="shared" si="31"/>
        <v>Q1-2025</v>
      </c>
      <c r="J591" s="3" t="str">
        <f>IF(Table1[[#This Row],[LeadTimeDays]]&lt;=7,"Yes","No")</f>
        <v>No</v>
      </c>
      <c r="K591" s="3">
        <f>_xlfn.DAYS(Table1[[#This Row],[CorrectedRequiredDate]],Table1[[#This Row],[OrderDate]])</f>
        <v>13</v>
      </c>
      <c r="L591" s="3">
        <f>IF(Table1[[#This Row],[RequiredDate]]&lt;Table1[[#This Row],[OrderDate]],Table1[[#This Row],[OrderDate]],Table1[[#This Row],[RequiredDate]])</f>
        <v>45032</v>
      </c>
      <c r="M591" s="3">
        <v>45032</v>
      </c>
      <c r="N591" t="s">
        <v>649</v>
      </c>
      <c r="O591" t="s">
        <v>657</v>
      </c>
      <c r="P591" t="s">
        <v>673</v>
      </c>
      <c r="Q591" t="s">
        <v>703</v>
      </c>
      <c r="R591" t="s">
        <v>709</v>
      </c>
      <c r="S591" t="s">
        <v>724</v>
      </c>
      <c r="T591" t="s">
        <v>733</v>
      </c>
      <c r="U591" t="s">
        <v>1321</v>
      </c>
      <c r="V591" s="8">
        <v>790.54</v>
      </c>
      <c r="W591" s="8">
        <v>601.49</v>
      </c>
      <c r="X591" s="8">
        <f t="shared" si="32"/>
        <v>815.10700000000008</v>
      </c>
      <c r="Y591" s="8">
        <f t="shared" si="33"/>
        <v>1620.05</v>
      </c>
      <c r="AA591">
        <v>0</v>
      </c>
      <c r="AB591">
        <f>IF(Table1[[#This Row],[DiscountPct]]&gt;0.2,1,0)</f>
        <v>0</v>
      </c>
      <c r="AC591" s="6">
        <v>15</v>
      </c>
      <c r="AD591" s="8">
        <f>Table1[[#This Row],[UnitPrice]]*Table1[[#This Row],[Quantity]]</f>
        <v>9022.35</v>
      </c>
      <c r="AE591" s="8">
        <f>Table1[[#This Row],[UnitCost]]*Table1[[#This Row],[Quantity]]</f>
        <v>11858.099999999999</v>
      </c>
      <c r="AF591" s="8">
        <f>Table1[[#This Row],[GrossRevenue]]-Table1[[#This Row],[CostOfGoods]]</f>
        <v>-2835.7499999999982</v>
      </c>
      <c r="AG591" s="8">
        <f>IF(Table1[[#This Row],[GrossRevenue]]=0,0,Table1[[#This Row],[GrossProfit]]/Table1[[#This Row],[GrossRevenue]])</f>
        <v>-0.31430281467688553</v>
      </c>
    </row>
    <row r="592" spans="1:33" hidden="1" x14ac:dyDescent="0.45">
      <c r="A592" t="s">
        <v>605</v>
      </c>
      <c r="C592" s="3">
        <v>45899</v>
      </c>
      <c r="D592" s="3">
        <f>YEAR(Table1[[#This Row],[OrderDate]]) * 100 + MONTH(Table1[[#This Row],[OrderDate]])</f>
        <v>202508</v>
      </c>
      <c r="E592" s="3">
        <f>_xlfn.MINIFS(Table1[OrderMonthKey],Table1[Country],Table1[[#This Row],[Country]])</f>
        <v>202301</v>
      </c>
      <c r="F592" s="3">
        <f>Table1[[#This Row],[CountryFirstMonthKey]]</f>
        <v>202301</v>
      </c>
      <c r="G592" s="3">
        <f>12*(INT(Table1[[#This Row],[OrderMonthKey]]/100)-INT(Table1[[#This Row],[CohortMonthKey]]/100)) + (MOD(Table1[[#This Row],[OrderMonthKey]],100)-MOD(Table1[[#This Row],[CohortMonthKey]],100))</f>
        <v>31</v>
      </c>
      <c r="H592" s="3" t="str">
        <f>TEXT(Table1[[#This Row],[OrderDate]],"MMM-YYYY")</f>
        <v>Aug-2025</v>
      </c>
      <c r="I592" s="3" t="str">
        <f t="shared" si="31"/>
        <v>Q2-2023</v>
      </c>
      <c r="J592" s="3" t="str">
        <f>IF(Table1[[#This Row],[LeadTimeDays]]&lt;=7,"Yes","No")</f>
        <v>No</v>
      </c>
      <c r="K592" s="3">
        <f>_xlfn.DAYS(Table1[[#This Row],[CorrectedRequiredDate]],Table1[[#This Row],[OrderDate]])</f>
        <v>23</v>
      </c>
      <c r="L592" s="3">
        <f>IF(Table1[[#This Row],[RequiredDate]]&lt;Table1[[#This Row],[OrderDate]],Table1[[#This Row],[OrderDate]],Table1[[#This Row],[RequiredDate]])</f>
        <v>45922</v>
      </c>
      <c r="M592" s="3">
        <v>45922</v>
      </c>
      <c r="N592" t="s">
        <v>649</v>
      </c>
      <c r="O592" t="s">
        <v>657</v>
      </c>
      <c r="P592" t="s">
        <v>673</v>
      </c>
      <c r="Q592" t="s">
        <v>701</v>
      </c>
      <c r="R592" t="s">
        <v>711</v>
      </c>
      <c r="S592" t="s">
        <v>718</v>
      </c>
      <c r="T592" t="s">
        <v>727</v>
      </c>
      <c r="U592" t="s">
        <v>1322</v>
      </c>
      <c r="V592" s="8">
        <v>663.9</v>
      </c>
      <c r="W592" s="8">
        <v>947.77</v>
      </c>
      <c r="X592" s="8">
        <f t="shared" si="32"/>
        <v>815.10700000000008</v>
      </c>
      <c r="Y592" s="8">
        <f t="shared" si="33"/>
        <v>1620.05</v>
      </c>
      <c r="AA592">
        <v>0.17399999999999999</v>
      </c>
      <c r="AB592">
        <f>IF(Table1[[#This Row],[DiscountPct]]&gt;0.2,1,0)</f>
        <v>0</v>
      </c>
      <c r="AC592" s="6">
        <v>15</v>
      </c>
      <c r="AD592" s="8">
        <f>Table1[[#This Row],[UnitPrice]]*Table1[[#This Row],[Quantity]]</f>
        <v>14216.55</v>
      </c>
      <c r="AE592" s="8">
        <f>Table1[[#This Row],[UnitCost]]*Table1[[#This Row],[Quantity]]</f>
        <v>9958.5</v>
      </c>
      <c r="AF592" s="8">
        <f>Table1[[#This Row],[GrossRevenue]]-Table1[[#This Row],[CostOfGoods]]</f>
        <v>4258.0499999999993</v>
      </c>
      <c r="AG592" s="8">
        <f>IF(Table1[[#This Row],[GrossRevenue]]=0,0,Table1[[#This Row],[GrossProfit]]/Table1[[#This Row],[GrossRevenue]])</f>
        <v>0.29951359507053393</v>
      </c>
    </row>
    <row r="593" spans="1:33" hidden="1" x14ac:dyDescent="0.45">
      <c r="A593" t="s">
        <v>606</v>
      </c>
      <c r="C593" s="3">
        <v>44984</v>
      </c>
      <c r="D593" s="3">
        <f>YEAR(Table1[[#This Row],[OrderDate]]) * 100 + MONTH(Table1[[#This Row],[OrderDate]])</f>
        <v>202302</v>
      </c>
      <c r="E593" s="3">
        <f>_xlfn.MINIFS(Table1[OrderMonthKey],Table1[Country],Table1[[#This Row],[Country]])</f>
        <v>202301</v>
      </c>
      <c r="F593" s="3">
        <f>Table1[[#This Row],[CountryFirstMonthKey]]</f>
        <v>202301</v>
      </c>
      <c r="G593" s="3">
        <f>12*(INT(Table1[[#This Row],[OrderMonthKey]]/100)-INT(Table1[[#This Row],[CohortMonthKey]]/100)) + (MOD(Table1[[#This Row],[OrderMonthKey]],100)-MOD(Table1[[#This Row],[CohortMonthKey]],100))</f>
        <v>1</v>
      </c>
      <c r="H593" s="3" t="str">
        <f>TEXT(Table1[[#This Row],[OrderDate]],"MMM-YYYY")</f>
        <v>Feb-2023</v>
      </c>
      <c r="I593" s="3" t="str">
        <f t="shared" si="31"/>
        <v>Q3-2025</v>
      </c>
      <c r="J593" s="3" t="str">
        <f>IF(Table1[[#This Row],[LeadTimeDays]]&lt;=7,"Yes","No")</f>
        <v>Yes</v>
      </c>
      <c r="K593" s="3">
        <f>_xlfn.DAYS(Table1[[#This Row],[CorrectedRequiredDate]],Table1[[#This Row],[OrderDate]])</f>
        <v>0</v>
      </c>
      <c r="L593" s="3">
        <f>IF(Table1[[#This Row],[RequiredDate]]&lt;Table1[[#This Row],[OrderDate]],Table1[[#This Row],[OrderDate]],Table1[[#This Row],[RequiredDate]])</f>
        <v>44984</v>
      </c>
      <c r="M593" s="3">
        <v>44983</v>
      </c>
      <c r="N593" t="s">
        <v>648</v>
      </c>
      <c r="O593" t="s">
        <v>660</v>
      </c>
      <c r="P593" t="s">
        <v>686</v>
      </c>
      <c r="Q593" t="s">
        <v>703</v>
      </c>
      <c r="R593" t="s">
        <v>708</v>
      </c>
      <c r="S593" t="s">
        <v>716</v>
      </c>
      <c r="T593" t="s">
        <v>729</v>
      </c>
      <c r="U593" t="s">
        <v>1323</v>
      </c>
      <c r="V593" s="8">
        <v>1015.91</v>
      </c>
      <c r="W593" s="8">
        <v>2331.48</v>
      </c>
      <c r="X593" s="8">
        <f t="shared" si="32"/>
        <v>815.10700000000008</v>
      </c>
      <c r="Y593" s="8">
        <f t="shared" si="33"/>
        <v>1620.05</v>
      </c>
      <c r="AA593">
        <v>0.14599999999999999</v>
      </c>
      <c r="AB593">
        <f>IF(Table1[[#This Row],[DiscountPct]]&gt;0.2,1,0)</f>
        <v>0</v>
      </c>
      <c r="AC593" s="6">
        <v>26</v>
      </c>
      <c r="AD593" s="8">
        <f>Table1[[#This Row],[UnitPrice]]*Table1[[#This Row],[Quantity]]</f>
        <v>60618.48</v>
      </c>
      <c r="AE593" s="8">
        <f>Table1[[#This Row],[UnitCost]]*Table1[[#This Row],[Quantity]]</f>
        <v>26413.66</v>
      </c>
      <c r="AF593" s="8">
        <f>Table1[[#This Row],[GrossRevenue]]-Table1[[#This Row],[CostOfGoods]]</f>
        <v>34204.820000000007</v>
      </c>
      <c r="AG593" s="8">
        <f>IF(Table1[[#This Row],[GrossRevenue]]=0,0,Table1[[#This Row],[GrossProfit]]/Table1[[#This Row],[GrossRevenue]])</f>
        <v>0.56426390104139867</v>
      </c>
    </row>
    <row r="594" spans="1:33" hidden="1" x14ac:dyDescent="0.45">
      <c r="A594" t="s">
        <v>607</v>
      </c>
      <c r="C594" s="3">
        <v>45504</v>
      </c>
      <c r="D594" s="3">
        <f>YEAR(Table1[[#This Row],[OrderDate]]) * 100 + MONTH(Table1[[#This Row],[OrderDate]])</f>
        <v>202407</v>
      </c>
      <c r="E594" s="3">
        <f>_xlfn.MINIFS(Table1[OrderMonthKey],Table1[Country],Table1[[#This Row],[Country]])</f>
        <v>202303</v>
      </c>
      <c r="F594" s="3">
        <f>Table1[[#This Row],[CountryFirstMonthKey]]</f>
        <v>202303</v>
      </c>
      <c r="G594" s="3">
        <f>12*(INT(Table1[[#This Row],[OrderMonthKey]]/100)-INT(Table1[[#This Row],[CohortMonthKey]]/100)) + (MOD(Table1[[#This Row],[OrderMonthKey]],100)-MOD(Table1[[#This Row],[CohortMonthKey]],100))</f>
        <v>16</v>
      </c>
      <c r="H594" s="3" t="str">
        <f>TEXT(Table1[[#This Row],[OrderDate]],"MMM-YYYY")</f>
        <v>Jul-2024</v>
      </c>
      <c r="I594" s="3" t="str">
        <f t="shared" si="31"/>
        <v>Q1-2023</v>
      </c>
      <c r="J594" s="3" t="str">
        <f>IF(Table1[[#This Row],[LeadTimeDays]]&lt;=7,"Yes","No")</f>
        <v>No</v>
      </c>
      <c r="K594" s="3">
        <f>_xlfn.DAYS(Table1[[#This Row],[CorrectedRequiredDate]],Table1[[#This Row],[OrderDate]])</f>
        <v>15</v>
      </c>
      <c r="L594" s="3">
        <f>IF(Table1[[#This Row],[RequiredDate]]&lt;Table1[[#This Row],[OrderDate]],Table1[[#This Row],[OrderDate]],Table1[[#This Row],[RequiredDate]])</f>
        <v>45519</v>
      </c>
      <c r="M594" s="3">
        <v>45519</v>
      </c>
      <c r="N594" t="s">
        <v>647</v>
      </c>
      <c r="O594" t="s">
        <v>652</v>
      </c>
      <c r="P594" t="s">
        <v>689</v>
      </c>
      <c r="Q594" t="s">
        <v>701</v>
      </c>
      <c r="R594" t="s">
        <v>709</v>
      </c>
      <c r="S594" t="s">
        <v>721</v>
      </c>
      <c r="T594" t="s">
        <v>732</v>
      </c>
      <c r="U594" t="s">
        <v>1324</v>
      </c>
      <c r="V594" s="8">
        <v>1252.52</v>
      </c>
      <c r="W594" s="8">
        <v>1417.24</v>
      </c>
      <c r="X594" s="8">
        <f t="shared" si="32"/>
        <v>815.10700000000008</v>
      </c>
      <c r="Y594" s="8">
        <f t="shared" si="33"/>
        <v>1620.05</v>
      </c>
      <c r="AA594">
        <v>0.192</v>
      </c>
      <c r="AB594">
        <f>IF(Table1[[#This Row],[DiscountPct]]&gt;0.2,1,0)</f>
        <v>0</v>
      </c>
      <c r="AC594" s="6">
        <v>5</v>
      </c>
      <c r="AD594" s="8">
        <f>Table1[[#This Row],[UnitPrice]]*Table1[[#This Row],[Quantity]]</f>
        <v>7086.2</v>
      </c>
      <c r="AE594" s="8">
        <f>Table1[[#This Row],[UnitCost]]*Table1[[#This Row],[Quantity]]</f>
        <v>6262.6</v>
      </c>
      <c r="AF594" s="8">
        <f>Table1[[#This Row],[GrossRevenue]]-Table1[[#This Row],[CostOfGoods]]</f>
        <v>823.59999999999945</v>
      </c>
      <c r="AG594" s="8">
        <f>IF(Table1[[#This Row],[GrossRevenue]]=0,0,Table1[[#This Row],[GrossProfit]]/Table1[[#This Row],[GrossRevenue]])</f>
        <v>0.11622590386949275</v>
      </c>
    </row>
    <row r="595" spans="1:33" hidden="1" x14ac:dyDescent="0.45">
      <c r="A595" t="s">
        <v>608</v>
      </c>
      <c r="C595" s="3">
        <v>45823</v>
      </c>
      <c r="D595" s="3">
        <f>YEAR(Table1[[#This Row],[OrderDate]]) * 100 + MONTH(Table1[[#This Row],[OrderDate]])</f>
        <v>202506</v>
      </c>
      <c r="E595" s="3">
        <f>_xlfn.MINIFS(Table1[OrderMonthKey],Table1[Country],Table1[[#This Row],[Country]])</f>
        <v>202301</v>
      </c>
      <c r="F595" s="3">
        <f>Table1[[#This Row],[CountryFirstMonthKey]]</f>
        <v>202301</v>
      </c>
      <c r="G595" s="3">
        <f>12*(INT(Table1[[#This Row],[OrderMonthKey]]/100)-INT(Table1[[#This Row],[CohortMonthKey]]/100)) + (MOD(Table1[[#This Row],[OrderMonthKey]],100)-MOD(Table1[[#This Row],[CohortMonthKey]],100))</f>
        <v>29</v>
      </c>
      <c r="H595" s="3" t="str">
        <f>TEXT(Table1[[#This Row],[OrderDate]],"MMM-YYYY")</f>
        <v>Jun-2025</v>
      </c>
      <c r="I595" s="3" t="str">
        <f t="shared" si="31"/>
        <v>Q3-2024</v>
      </c>
      <c r="J595" s="3" t="str">
        <f>IF(Table1[[#This Row],[LeadTimeDays]]&lt;=7,"Yes","No")</f>
        <v>No</v>
      </c>
      <c r="K595" s="3">
        <f>_xlfn.DAYS(Table1[[#This Row],[CorrectedRequiredDate]],Table1[[#This Row],[OrderDate]])</f>
        <v>27</v>
      </c>
      <c r="L595" s="3">
        <f>IF(Table1[[#This Row],[RequiredDate]]&lt;Table1[[#This Row],[OrderDate]],Table1[[#This Row],[OrderDate]],Table1[[#This Row],[RequiredDate]])</f>
        <v>45850</v>
      </c>
      <c r="M595" s="3">
        <v>45850</v>
      </c>
      <c r="N595" t="s">
        <v>649</v>
      </c>
      <c r="O595" t="s">
        <v>657</v>
      </c>
      <c r="P595" t="s">
        <v>673</v>
      </c>
      <c r="Q595" t="s">
        <v>704</v>
      </c>
      <c r="R595" t="s">
        <v>711</v>
      </c>
      <c r="S595" t="s">
        <v>712</v>
      </c>
      <c r="T595" t="s">
        <v>733</v>
      </c>
      <c r="U595" t="s">
        <v>1325</v>
      </c>
      <c r="V595" s="8">
        <v>318.83</v>
      </c>
      <c r="W595" s="8">
        <v>699.5</v>
      </c>
      <c r="X595" s="8">
        <f t="shared" si="32"/>
        <v>815.10700000000008</v>
      </c>
      <c r="Y595" s="8">
        <f t="shared" si="33"/>
        <v>1620.05</v>
      </c>
      <c r="AA595">
        <v>0.08</v>
      </c>
      <c r="AB595">
        <f>IF(Table1[[#This Row],[DiscountPct]]&gt;0.2,1,0)</f>
        <v>0</v>
      </c>
      <c r="AC595" s="6">
        <v>13</v>
      </c>
      <c r="AD595" s="8">
        <f>Table1[[#This Row],[UnitPrice]]*Table1[[#This Row],[Quantity]]</f>
        <v>9093.5</v>
      </c>
      <c r="AE595" s="8">
        <f>Table1[[#This Row],[UnitCost]]*Table1[[#This Row],[Quantity]]</f>
        <v>4144.79</v>
      </c>
      <c r="AF595" s="8">
        <f>Table1[[#This Row],[GrossRevenue]]-Table1[[#This Row],[CostOfGoods]]</f>
        <v>4948.71</v>
      </c>
      <c r="AG595" s="8">
        <f>IF(Table1[[#This Row],[GrossRevenue]]=0,0,Table1[[#This Row],[GrossProfit]]/Table1[[#This Row],[GrossRevenue]])</f>
        <v>0.54420300214438888</v>
      </c>
    </row>
    <row r="596" spans="1:33" hidden="1" x14ac:dyDescent="0.45">
      <c r="A596" t="s">
        <v>609</v>
      </c>
      <c r="C596" s="3">
        <v>45473</v>
      </c>
      <c r="D596" s="3">
        <f>YEAR(Table1[[#This Row],[OrderDate]]) * 100 + MONTH(Table1[[#This Row],[OrderDate]])</f>
        <v>202406</v>
      </c>
      <c r="E596" s="3">
        <f>_xlfn.MINIFS(Table1[OrderMonthKey],Table1[Country],Table1[[#This Row],[Country]])</f>
        <v>202301</v>
      </c>
      <c r="F596" s="3">
        <f>Table1[[#This Row],[CountryFirstMonthKey]]</f>
        <v>202301</v>
      </c>
      <c r="G596" s="3">
        <f>12*(INT(Table1[[#This Row],[OrderMonthKey]]/100)-INT(Table1[[#This Row],[CohortMonthKey]]/100)) + (MOD(Table1[[#This Row],[OrderMonthKey]],100)-MOD(Table1[[#This Row],[CohortMonthKey]],100))</f>
        <v>17</v>
      </c>
      <c r="H596" s="3" t="str">
        <f>TEXT(Table1[[#This Row],[OrderDate]],"MMM-YYYY")</f>
        <v>Jun-2024</v>
      </c>
      <c r="I596" s="3" t="str">
        <f t="shared" si="31"/>
        <v>Q2-2025</v>
      </c>
      <c r="J596" s="3" t="str">
        <f>IF(Table1[[#This Row],[LeadTimeDays]]&lt;=7,"Yes","No")</f>
        <v>No</v>
      </c>
      <c r="K596" s="3">
        <f>_xlfn.DAYS(Table1[[#This Row],[CorrectedRequiredDate]],Table1[[#This Row],[OrderDate]])</f>
        <v>21</v>
      </c>
      <c r="L596" s="3">
        <f>IF(Table1[[#This Row],[RequiredDate]]&lt;Table1[[#This Row],[OrderDate]],Table1[[#This Row],[OrderDate]],Table1[[#This Row],[RequiredDate]])</f>
        <v>45494</v>
      </c>
      <c r="M596" s="3">
        <v>45494</v>
      </c>
      <c r="N596" t="s">
        <v>646</v>
      </c>
      <c r="O596" t="s">
        <v>650</v>
      </c>
      <c r="P596" t="s">
        <v>662</v>
      </c>
      <c r="Q596" t="s">
        <v>705</v>
      </c>
      <c r="R596" t="s">
        <v>707</v>
      </c>
      <c r="S596" t="s">
        <v>723</v>
      </c>
      <c r="T596" t="s">
        <v>731</v>
      </c>
      <c r="U596" t="s">
        <v>1326</v>
      </c>
      <c r="V596" s="8">
        <v>753.43</v>
      </c>
      <c r="W596" s="8">
        <v>1787.2</v>
      </c>
      <c r="X596" s="8">
        <f t="shared" si="32"/>
        <v>815.10700000000008</v>
      </c>
      <c r="Y596" s="8">
        <f t="shared" si="33"/>
        <v>1620.05</v>
      </c>
      <c r="AA596">
        <v>7.2999999999999995E-2</v>
      </c>
      <c r="AB596">
        <f>IF(Table1[[#This Row],[DiscountPct]]&gt;0.2,1,0)</f>
        <v>0</v>
      </c>
      <c r="AC596" s="6">
        <v>9</v>
      </c>
      <c r="AD596" s="8">
        <f>Table1[[#This Row],[UnitPrice]]*Table1[[#This Row],[Quantity]]</f>
        <v>16084.800000000001</v>
      </c>
      <c r="AE596" s="8">
        <f>Table1[[#This Row],[UnitCost]]*Table1[[#This Row],[Quantity]]</f>
        <v>6780.87</v>
      </c>
      <c r="AF596" s="8">
        <f>Table1[[#This Row],[GrossRevenue]]-Table1[[#This Row],[CostOfGoods]]</f>
        <v>9303.93</v>
      </c>
      <c r="AG596" s="8">
        <f>IF(Table1[[#This Row],[GrossRevenue]]=0,0,Table1[[#This Row],[GrossProfit]]/Table1[[#This Row],[GrossRevenue]])</f>
        <v>0.57842994628469113</v>
      </c>
    </row>
    <row r="597" spans="1:33" x14ac:dyDescent="0.45">
      <c r="A597" t="s">
        <v>610</v>
      </c>
      <c r="B597">
        <v>1</v>
      </c>
      <c r="C597" s="3">
        <v>45705</v>
      </c>
      <c r="D597" s="6">
        <f>YEAR(Table1[[#This Row],[OrderDate]]) * 100 + MONTH(Table1[[#This Row],[OrderDate]])</f>
        <v>202502</v>
      </c>
      <c r="E597" s="6">
        <f>_xlfn.MINIFS(Table1[OrderMonthKey],Table1[Country],Table1[[#This Row],[Country]])</f>
        <v>202301</v>
      </c>
      <c r="F597" s="6">
        <f>Table1[[#This Row],[CountryFirstMonthKey]]</f>
        <v>202301</v>
      </c>
      <c r="G597" s="6">
        <f>12*(INT(Table1[[#This Row],[OrderMonthKey]]/100)-INT(Table1[[#This Row],[CohortMonthKey]]/100)) + (MOD(Table1[[#This Row],[OrderMonthKey]],100)-MOD(Table1[[#This Row],[CohortMonthKey]],100))</f>
        <v>25</v>
      </c>
      <c r="H597" s="3" t="str">
        <f>TEXT(Table1[[#This Row],[OrderDate]],"MMM-YYYY")</f>
        <v>Feb-2025</v>
      </c>
      <c r="I597" s="3" t="str">
        <f t="shared" si="31"/>
        <v>Q2-2024</v>
      </c>
      <c r="J597" s="26" t="str">
        <f>IF(Table1[[#This Row],[LeadTimeDays]]&lt;=7,"Yes","No")</f>
        <v>Yes</v>
      </c>
      <c r="K597" s="6">
        <f>_xlfn.DAYS(Table1[[#This Row],[CorrectedRequiredDate]],Table1[[#This Row],[OrderDate]])</f>
        <v>0</v>
      </c>
      <c r="L597" s="3">
        <f>IF(Table1[[#This Row],[RequiredDate]]&lt;Table1[[#This Row],[OrderDate]],Table1[[#This Row],[OrderDate]],Table1[[#This Row],[RequiredDate]])</f>
        <v>45705</v>
      </c>
      <c r="M597" s="3">
        <v>45703</v>
      </c>
      <c r="N597" t="s">
        <v>648</v>
      </c>
      <c r="O597" t="s">
        <v>653</v>
      </c>
      <c r="P597" t="s">
        <v>667</v>
      </c>
      <c r="Q597" t="s">
        <v>705</v>
      </c>
      <c r="R597" t="s">
        <v>707</v>
      </c>
      <c r="S597" t="s">
        <v>726</v>
      </c>
      <c r="T597" t="s">
        <v>727</v>
      </c>
      <c r="U597" t="s">
        <v>1327</v>
      </c>
      <c r="V597" s="8">
        <v>1133.47</v>
      </c>
      <c r="W597" s="8">
        <v>1698.75</v>
      </c>
      <c r="X597" s="8">
        <f t="shared" si="32"/>
        <v>815.10700000000008</v>
      </c>
      <c r="Y597" s="8">
        <f t="shared" si="33"/>
        <v>1620.05</v>
      </c>
      <c r="Z597" s="8" t="str">
        <f>IF(W596 &lt;= X595, "Low",IF(W596 &lt;= Y596, "Medium", "High"))</f>
        <v>High</v>
      </c>
      <c r="AA597">
        <v>4.2999999999999997E-2</v>
      </c>
      <c r="AB597">
        <f>IF(Table1[[#This Row],[DiscountPct]]&gt;0.2,1,0)</f>
        <v>0</v>
      </c>
      <c r="AC597" s="6">
        <v>5</v>
      </c>
      <c r="AD597" s="8">
        <f>Table1[[#This Row],[UnitPrice]]*Table1[[#This Row],[Quantity]]</f>
        <v>8493.75</v>
      </c>
      <c r="AE597" s="8">
        <f>Table1[[#This Row],[UnitCost]]*Table1[[#This Row],[Quantity]]</f>
        <v>5667.35</v>
      </c>
      <c r="AF597" s="8">
        <f>Table1[[#This Row],[GrossRevenue]]-Table1[[#This Row],[CostOfGoods]]</f>
        <v>2826.3999999999996</v>
      </c>
      <c r="AG597" s="9">
        <f>IF(Table1[[#This Row],[GrossRevenue]]=0,0,Table1[[#This Row],[GrossProfit]]/Table1[[#This Row],[GrossRevenue]])</f>
        <v>0.33276232523914639</v>
      </c>
    </row>
    <row r="598" spans="1:33" hidden="1" x14ac:dyDescent="0.45">
      <c r="A598" t="s">
        <v>611</v>
      </c>
      <c r="C598" s="3">
        <v>44933</v>
      </c>
      <c r="D598" s="3">
        <f>YEAR(Table1[[#This Row],[OrderDate]]) * 100 + MONTH(Table1[[#This Row],[OrderDate]])</f>
        <v>202301</v>
      </c>
      <c r="E598" s="3">
        <f>_xlfn.MINIFS(Table1[OrderMonthKey],Table1[Country],Table1[[#This Row],[Country]])</f>
        <v>202301</v>
      </c>
      <c r="F598" s="3">
        <f>Table1[[#This Row],[CountryFirstMonthKey]]</f>
        <v>202301</v>
      </c>
      <c r="G598" s="3">
        <f>12*(INT(Table1[[#This Row],[OrderMonthKey]]/100)-INT(Table1[[#This Row],[CohortMonthKey]]/100)) + (MOD(Table1[[#This Row],[OrderMonthKey]],100)-MOD(Table1[[#This Row],[CohortMonthKey]],100))</f>
        <v>0</v>
      </c>
      <c r="H598" s="3" t="str">
        <f>TEXT(Table1[[#This Row],[OrderDate]],"MMM-YYYY")</f>
        <v>Jan-2023</v>
      </c>
      <c r="I598" s="3" t="str">
        <f t="shared" si="31"/>
        <v>Q1-2025</v>
      </c>
      <c r="J598" s="3" t="str">
        <f>IF(Table1[[#This Row],[LeadTimeDays]]&lt;=7,"Yes","No")</f>
        <v>No</v>
      </c>
      <c r="K598" s="3">
        <f>_xlfn.DAYS(Table1[[#This Row],[CorrectedRequiredDate]],Table1[[#This Row],[OrderDate]])</f>
        <v>23</v>
      </c>
      <c r="L598" s="3">
        <f>IF(Table1[[#This Row],[RequiredDate]]&lt;Table1[[#This Row],[OrderDate]],Table1[[#This Row],[OrderDate]],Table1[[#This Row],[RequiredDate]])</f>
        <v>44956</v>
      </c>
      <c r="M598" s="3">
        <v>44956</v>
      </c>
      <c r="N598" t="s">
        <v>646</v>
      </c>
      <c r="O598" t="s">
        <v>661</v>
      </c>
      <c r="P598" t="s">
        <v>695</v>
      </c>
      <c r="Q598" t="s">
        <v>704</v>
      </c>
      <c r="R598" t="s">
        <v>708</v>
      </c>
      <c r="S598" t="s">
        <v>720</v>
      </c>
      <c r="T598" t="s">
        <v>728</v>
      </c>
      <c r="U598" t="s">
        <v>1328</v>
      </c>
      <c r="V598" s="8">
        <v>299.02</v>
      </c>
      <c r="W598" s="8">
        <v>724.7</v>
      </c>
      <c r="X598" s="8">
        <f t="shared" si="32"/>
        <v>815.10700000000008</v>
      </c>
      <c r="Y598" s="8">
        <f t="shared" si="33"/>
        <v>1620.05</v>
      </c>
      <c r="AA598">
        <v>0.14000000000000001</v>
      </c>
      <c r="AB598">
        <f>IF(Table1[[#This Row],[DiscountPct]]&gt;0.2,1,0)</f>
        <v>0</v>
      </c>
      <c r="AC598" s="6">
        <v>5</v>
      </c>
      <c r="AD598" s="8">
        <f>Table1[[#This Row],[UnitPrice]]*Table1[[#This Row],[Quantity]]</f>
        <v>3623.5</v>
      </c>
      <c r="AE598" s="8">
        <f>Table1[[#This Row],[UnitCost]]*Table1[[#This Row],[Quantity]]</f>
        <v>1495.1</v>
      </c>
      <c r="AF598" s="8">
        <f>Table1[[#This Row],[GrossRevenue]]-Table1[[#This Row],[CostOfGoods]]</f>
        <v>2128.4</v>
      </c>
      <c r="AG598" s="8">
        <f>IF(Table1[[#This Row],[GrossRevenue]]=0,0,Table1[[#This Row],[GrossProfit]]/Table1[[#This Row],[GrossRevenue]])</f>
        <v>0.58738788464192082</v>
      </c>
    </row>
    <row r="599" spans="1:33" hidden="1" x14ac:dyDescent="0.45">
      <c r="A599" t="s">
        <v>612</v>
      </c>
      <c r="C599" s="3">
        <v>45726</v>
      </c>
      <c r="D599" s="3">
        <f>YEAR(Table1[[#This Row],[OrderDate]]) * 100 + MONTH(Table1[[#This Row],[OrderDate]])</f>
        <v>202503</v>
      </c>
      <c r="E599" s="3">
        <f>_xlfn.MINIFS(Table1[OrderMonthKey],Table1[Country],Table1[[#This Row],[Country]])</f>
        <v>202303</v>
      </c>
      <c r="F599" s="3">
        <f>Table1[[#This Row],[CountryFirstMonthKey]]</f>
        <v>202303</v>
      </c>
      <c r="G599" s="3">
        <f>12*(INT(Table1[[#This Row],[OrderMonthKey]]/100)-INT(Table1[[#This Row],[CohortMonthKey]]/100)) + (MOD(Table1[[#This Row],[OrderMonthKey]],100)-MOD(Table1[[#This Row],[CohortMonthKey]],100))</f>
        <v>24</v>
      </c>
      <c r="H599" s="3" t="str">
        <f>TEXT(Table1[[#This Row],[OrderDate]],"MMM-YYYY")</f>
        <v>Mar-2025</v>
      </c>
      <c r="I599" s="3" t="str">
        <f t="shared" si="31"/>
        <v>Q1-2023</v>
      </c>
      <c r="J599" s="3" t="str">
        <f>IF(Table1[[#This Row],[LeadTimeDays]]&lt;=7,"Yes","No")</f>
        <v>No</v>
      </c>
      <c r="K599" s="3">
        <f>_xlfn.DAYS(Table1[[#This Row],[CorrectedRequiredDate]],Table1[[#This Row],[OrderDate]])</f>
        <v>25</v>
      </c>
      <c r="L599" s="3">
        <f>IF(Table1[[#This Row],[RequiredDate]]&lt;Table1[[#This Row],[OrderDate]],Table1[[#This Row],[OrderDate]],Table1[[#This Row],[RequiredDate]])</f>
        <v>45751</v>
      </c>
      <c r="M599" s="3">
        <v>45751</v>
      </c>
      <c r="N599" t="s">
        <v>647</v>
      </c>
      <c r="O599" t="s">
        <v>652</v>
      </c>
      <c r="P599" t="s">
        <v>666</v>
      </c>
      <c r="Q599" t="s">
        <v>701</v>
      </c>
      <c r="R599" t="s">
        <v>711</v>
      </c>
      <c r="S599" t="s">
        <v>722</v>
      </c>
      <c r="T599" t="s">
        <v>728</v>
      </c>
      <c r="U599" t="s">
        <v>1329</v>
      </c>
      <c r="V599" s="8">
        <v>783.72</v>
      </c>
      <c r="W599" s="8">
        <v>1355.94</v>
      </c>
      <c r="X599" s="8">
        <f t="shared" si="32"/>
        <v>815.10700000000008</v>
      </c>
      <c r="Y599" s="8">
        <f t="shared" si="33"/>
        <v>1620.05</v>
      </c>
      <c r="AA599">
        <v>0.187</v>
      </c>
      <c r="AB599">
        <f>IF(Table1[[#This Row],[DiscountPct]]&gt;0.2,1,0)</f>
        <v>0</v>
      </c>
      <c r="AC599" s="6">
        <v>4</v>
      </c>
      <c r="AD599" s="8">
        <f>Table1[[#This Row],[UnitPrice]]*Table1[[#This Row],[Quantity]]</f>
        <v>5423.76</v>
      </c>
      <c r="AE599" s="8">
        <f>Table1[[#This Row],[UnitCost]]*Table1[[#This Row],[Quantity]]</f>
        <v>3134.88</v>
      </c>
      <c r="AF599" s="8">
        <f>Table1[[#This Row],[GrossRevenue]]-Table1[[#This Row],[CostOfGoods]]</f>
        <v>2288.88</v>
      </c>
      <c r="AG599" s="8">
        <f>IF(Table1[[#This Row],[GrossRevenue]]=0,0,Table1[[#This Row],[GrossProfit]]/Table1[[#This Row],[GrossRevenue]])</f>
        <v>0.42200982344351523</v>
      </c>
    </row>
    <row r="600" spans="1:33" x14ac:dyDescent="0.45">
      <c r="A600" t="s">
        <v>613</v>
      </c>
      <c r="B600">
        <v>1</v>
      </c>
      <c r="C600" s="3">
        <v>45521</v>
      </c>
      <c r="D600" s="6">
        <f>YEAR(Table1[[#This Row],[OrderDate]]) * 100 + MONTH(Table1[[#This Row],[OrderDate]])</f>
        <v>202408</v>
      </c>
      <c r="E600" s="6">
        <f>_xlfn.MINIFS(Table1[OrderMonthKey],Table1[Country],Table1[[#This Row],[Country]])</f>
        <v>202301</v>
      </c>
      <c r="F600" s="6">
        <f>Table1[[#This Row],[CountryFirstMonthKey]]</f>
        <v>202301</v>
      </c>
      <c r="G600" s="6">
        <f>12*(INT(Table1[[#This Row],[OrderMonthKey]]/100)-INT(Table1[[#This Row],[CohortMonthKey]]/100)) + (MOD(Table1[[#This Row],[OrderMonthKey]],100)-MOD(Table1[[#This Row],[CohortMonthKey]],100))</f>
        <v>19</v>
      </c>
      <c r="H600" s="3" t="str">
        <f>TEXT(Table1[[#This Row],[OrderDate]],"MMM-YYYY")</f>
        <v>Aug-2024</v>
      </c>
      <c r="I600" s="3" t="str">
        <f t="shared" si="31"/>
        <v>Q1-2025</v>
      </c>
      <c r="J600" s="26" t="str">
        <f>IF(Table1[[#This Row],[LeadTimeDays]]&lt;=7,"Yes","No")</f>
        <v>Yes</v>
      </c>
      <c r="K600" s="6">
        <f>_xlfn.DAYS(Table1[[#This Row],[CorrectedRequiredDate]],Table1[[#This Row],[OrderDate]])</f>
        <v>0</v>
      </c>
      <c r="L600" s="3">
        <f>IF(Table1[[#This Row],[RequiredDate]]&lt;Table1[[#This Row],[OrderDate]],Table1[[#This Row],[OrderDate]],Table1[[#This Row],[RequiredDate]])</f>
        <v>45521</v>
      </c>
      <c r="M600" s="3">
        <v>45519</v>
      </c>
      <c r="N600" t="s">
        <v>648</v>
      </c>
      <c r="O600" t="s">
        <v>655</v>
      </c>
      <c r="P600" t="s">
        <v>692</v>
      </c>
      <c r="Q600" t="s">
        <v>704</v>
      </c>
      <c r="R600" t="s">
        <v>711</v>
      </c>
      <c r="S600" t="s">
        <v>724</v>
      </c>
      <c r="T600" t="s">
        <v>732</v>
      </c>
      <c r="U600" t="s">
        <v>1330</v>
      </c>
      <c r="V600" s="8">
        <v>165.3</v>
      </c>
      <c r="W600" s="8">
        <v>275.07</v>
      </c>
      <c r="X600" s="8">
        <f t="shared" si="32"/>
        <v>815.10700000000008</v>
      </c>
      <c r="Y600" s="8">
        <f t="shared" si="33"/>
        <v>1620.05</v>
      </c>
      <c r="Z600" s="8" t="str">
        <f>IF(W599 &lt;= X598, "Low",IF(W599 &lt;= Y599, "Medium", "High"))</f>
        <v>Medium</v>
      </c>
      <c r="AA600">
        <v>0.13300000000000001</v>
      </c>
      <c r="AB600">
        <f>IF(Table1[[#This Row],[DiscountPct]]&gt;0.2,1,0)</f>
        <v>0</v>
      </c>
      <c r="AC600" s="6">
        <v>25</v>
      </c>
      <c r="AD600" s="8">
        <f>Table1[[#This Row],[UnitPrice]]*Table1[[#This Row],[Quantity]]</f>
        <v>6876.75</v>
      </c>
      <c r="AE600" s="8">
        <f>Table1[[#This Row],[UnitCost]]*Table1[[#This Row],[Quantity]]</f>
        <v>4132.5</v>
      </c>
      <c r="AF600" s="8">
        <f>Table1[[#This Row],[GrossRevenue]]-Table1[[#This Row],[CostOfGoods]]</f>
        <v>2744.25</v>
      </c>
      <c r="AG600" s="9">
        <f>IF(Table1[[#This Row],[GrossRevenue]]=0,0,Table1[[#This Row],[GrossProfit]]/Table1[[#This Row],[GrossRevenue]])</f>
        <v>0.39906205693096303</v>
      </c>
    </row>
    <row r="601" spans="1:33" x14ac:dyDescent="0.45">
      <c r="A601" t="s">
        <v>614</v>
      </c>
      <c r="B601">
        <v>1</v>
      </c>
      <c r="C601" s="3">
        <v>45360</v>
      </c>
      <c r="D601" s="6">
        <f>YEAR(Table1[[#This Row],[OrderDate]]) * 100 + MONTH(Table1[[#This Row],[OrderDate]])</f>
        <v>202403</v>
      </c>
      <c r="E601" s="6">
        <f>_xlfn.MINIFS(Table1[OrderMonthKey],Table1[Country],Table1[[#This Row],[Country]])</f>
        <v>202301</v>
      </c>
      <c r="F601" s="6">
        <f>Table1[[#This Row],[CountryFirstMonthKey]]</f>
        <v>202301</v>
      </c>
      <c r="G601" s="6">
        <f>12*(INT(Table1[[#This Row],[OrderMonthKey]]/100)-INT(Table1[[#This Row],[CohortMonthKey]]/100)) + (MOD(Table1[[#This Row],[OrderMonthKey]],100)-MOD(Table1[[#This Row],[CohortMonthKey]],100))</f>
        <v>14</v>
      </c>
      <c r="H601" s="3" t="str">
        <f>TEXT(Table1[[#This Row],[OrderDate]],"MMM-YYYY")</f>
        <v>Mar-2024</v>
      </c>
      <c r="I601" s="3" t="str">
        <f t="shared" si="31"/>
        <v>Q3-2024</v>
      </c>
      <c r="J601" s="26" t="str">
        <f>IF(Table1[[#This Row],[LeadTimeDays]]&lt;=7,"Yes","No")</f>
        <v>No</v>
      </c>
      <c r="K601" s="6">
        <f>_xlfn.DAYS(Table1[[#This Row],[CorrectedRequiredDate]],Table1[[#This Row],[OrderDate]])</f>
        <v>13</v>
      </c>
      <c r="L601" s="3">
        <f>IF(Table1[[#This Row],[RequiredDate]]&lt;Table1[[#This Row],[OrderDate]],Table1[[#This Row],[OrderDate]],Table1[[#This Row],[RequiredDate]])</f>
        <v>45373</v>
      </c>
      <c r="M601" s="3">
        <v>45373</v>
      </c>
      <c r="N601" t="s">
        <v>649</v>
      </c>
      <c r="O601" t="s">
        <v>658</v>
      </c>
      <c r="P601" t="s">
        <v>693</v>
      </c>
      <c r="Q601" t="s">
        <v>704</v>
      </c>
      <c r="R601" t="s">
        <v>708</v>
      </c>
      <c r="S601" t="s">
        <v>718</v>
      </c>
      <c r="T601" t="s">
        <v>731</v>
      </c>
      <c r="U601" t="s">
        <v>1331</v>
      </c>
      <c r="V601" s="8">
        <v>985.45</v>
      </c>
      <c r="W601" s="8">
        <v>1802.44</v>
      </c>
      <c r="X601" s="8">
        <f t="shared" si="32"/>
        <v>815.10700000000008</v>
      </c>
      <c r="Y601" s="8">
        <f t="shared" si="33"/>
        <v>1620.05</v>
      </c>
      <c r="Z601" s="8" t="str">
        <f>IF(W600 &lt;= X599, "Low",IF(W600 &lt;= Y600, "Medium", "High"))</f>
        <v>Low</v>
      </c>
      <c r="AA601">
        <v>8.9999999999999993E-3</v>
      </c>
      <c r="AB601">
        <f>IF(Table1[[#This Row],[DiscountPct]]&gt;0.2,1,0)</f>
        <v>0</v>
      </c>
      <c r="AC601" s="6">
        <v>19</v>
      </c>
      <c r="AD601" s="8">
        <f>Table1[[#This Row],[UnitPrice]]*Table1[[#This Row],[Quantity]]</f>
        <v>34246.36</v>
      </c>
      <c r="AE601" s="8">
        <f>Table1[[#This Row],[UnitCost]]*Table1[[#This Row],[Quantity]]</f>
        <v>18723.55</v>
      </c>
      <c r="AF601" s="8">
        <f>Table1[[#This Row],[GrossRevenue]]-Table1[[#This Row],[CostOfGoods]]</f>
        <v>15522.810000000001</v>
      </c>
      <c r="AG601" s="9">
        <f>IF(Table1[[#This Row],[GrossRevenue]]=0,0,Table1[[#This Row],[GrossProfit]]/Table1[[#This Row],[GrossRevenue]])</f>
        <v>0.45326890215485677</v>
      </c>
    </row>
    <row r="602" spans="1:33" x14ac:dyDescent="0.45">
      <c r="A602" t="s">
        <v>615</v>
      </c>
      <c r="B602">
        <v>1</v>
      </c>
      <c r="C602" s="3">
        <v>45523</v>
      </c>
      <c r="D602" s="6">
        <f>YEAR(Table1[[#This Row],[OrderDate]]) * 100 + MONTH(Table1[[#This Row],[OrderDate]])</f>
        <v>202408</v>
      </c>
      <c r="E602" s="6">
        <f>_xlfn.MINIFS(Table1[OrderMonthKey],Table1[Country],Table1[[#This Row],[Country]])</f>
        <v>202301</v>
      </c>
      <c r="F602" s="6">
        <f>Table1[[#This Row],[CountryFirstMonthKey]]</f>
        <v>202301</v>
      </c>
      <c r="G602" s="6">
        <f>12*(INT(Table1[[#This Row],[OrderMonthKey]]/100)-INT(Table1[[#This Row],[CohortMonthKey]]/100)) + (MOD(Table1[[#This Row],[OrderMonthKey]],100)-MOD(Table1[[#This Row],[CohortMonthKey]],100))</f>
        <v>19</v>
      </c>
      <c r="H602" s="3" t="str">
        <f>TEXT(Table1[[#This Row],[OrderDate]],"MMM-YYYY")</f>
        <v>Aug-2024</v>
      </c>
      <c r="I602" s="3" t="str">
        <f t="shared" si="31"/>
        <v>Q1-2024</v>
      </c>
      <c r="J602" s="26" t="str">
        <f>IF(Table1[[#This Row],[LeadTimeDays]]&lt;=7,"Yes","No")</f>
        <v>No</v>
      </c>
      <c r="K602" s="6">
        <f>_xlfn.DAYS(Table1[[#This Row],[CorrectedRequiredDate]],Table1[[#This Row],[OrderDate]])</f>
        <v>14</v>
      </c>
      <c r="L602" s="3">
        <f>IF(Table1[[#This Row],[RequiredDate]]&lt;Table1[[#This Row],[OrderDate]],Table1[[#This Row],[OrderDate]],Table1[[#This Row],[RequiredDate]])</f>
        <v>45537</v>
      </c>
      <c r="M602" s="3">
        <v>45537</v>
      </c>
      <c r="N602" t="s">
        <v>648</v>
      </c>
      <c r="O602" t="s">
        <v>653</v>
      </c>
      <c r="P602" t="s">
        <v>667</v>
      </c>
      <c r="Q602" t="s">
        <v>704</v>
      </c>
      <c r="R602" t="s">
        <v>710</v>
      </c>
      <c r="S602" t="s">
        <v>712</v>
      </c>
      <c r="T602" t="s">
        <v>728</v>
      </c>
      <c r="U602" t="s">
        <v>1332</v>
      </c>
      <c r="V602" s="8">
        <v>1337.01</v>
      </c>
      <c r="W602" s="8">
        <v>1269.78</v>
      </c>
      <c r="X602" s="8">
        <f t="shared" si="32"/>
        <v>815.10700000000008</v>
      </c>
      <c r="Y602" s="8">
        <f t="shared" si="33"/>
        <v>1620.05</v>
      </c>
      <c r="Z602" s="8" t="str">
        <f>IF(W601 &lt;= X600, "Low",IF(W601 &lt;= Y601, "Medium", "High"))</f>
        <v>High</v>
      </c>
      <c r="AA602">
        <v>0.16</v>
      </c>
      <c r="AB602">
        <f>IF(Table1[[#This Row],[DiscountPct]]&gt;0.2,1,0)</f>
        <v>0</v>
      </c>
      <c r="AC602" s="6">
        <v>7</v>
      </c>
      <c r="AD602" s="8">
        <f>Table1[[#This Row],[UnitPrice]]*Table1[[#This Row],[Quantity]]</f>
        <v>8888.4599999999991</v>
      </c>
      <c r="AE602" s="8">
        <f>Table1[[#This Row],[UnitCost]]*Table1[[#This Row],[Quantity]]</f>
        <v>9359.07</v>
      </c>
      <c r="AF602" s="8">
        <f>Table1[[#This Row],[GrossRevenue]]-Table1[[#This Row],[CostOfGoods]]</f>
        <v>-470.61000000000058</v>
      </c>
      <c r="AG602" s="9">
        <f>IF(Table1[[#This Row],[GrossRevenue]]=0,0,Table1[[#This Row],[GrossProfit]]/Table1[[#This Row],[GrossRevenue]])</f>
        <v>-5.2946179653168335E-2</v>
      </c>
    </row>
    <row r="603" spans="1:33" hidden="1" x14ac:dyDescent="0.45">
      <c r="A603" t="s">
        <v>616</v>
      </c>
      <c r="C603" s="3">
        <v>45880</v>
      </c>
      <c r="D603" s="3">
        <f>YEAR(Table1[[#This Row],[OrderDate]]) * 100 + MONTH(Table1[[#This Row],[OrderDate]])</f>
        <v>202508</v>
      </c>
      <c r="E603" s="3">
        <f>_xlfn.MINIFS(Table1[OrderMonthKey],Table1[Country],Table1[[#This Row],[Country]])</f>
        <v>202301</v>
      </c>
      <c r="F603" s="3">
        <f>Table1[[#This Row],[CountryFirstMonthKey]]</f>
        <v>202301</v>
      </c>
      <c r="G603" s="3">
        <f>12*(INT(Table1[[#This Row],[OrderMonthKey]]/100)-INT(Table1[[#This Row],[CohortMonthKey]]/100)) + (MOD(Table1[[#This Row],[OrderMonthKey]],100)-MOD(Table1[[#This Row],[CohortMonthKey]],100))</f>
        <v>31</v>
      </c>
      <c r="H603" s="3" t="str">
        <f>TEXT(Table1[[#This Row],[OrderDate]],"MMM-YYYY")</f>
        <v>Aug-2025</v>
      </c>
      <c r="I603" s="3" t="str">
        <f t="shared" si="31"/>
        <v>Q3-2024</v>
      </c>
      <c r="J603" s="3" t="str">
        <f>IF(Table1[[#This Row],[LeadTimeDays]]&lt;=7,"Yes","No")</f>
        <v>No</v>
      </c>
      <c r="K603" s="3">
        <f>_xlfn.DAYS(Table1[[#This Row],[CorrectedRequiredDate]],Table1[[#This Row],[OrderDate]])</f>
        <v>17</v>
      </c>
      <c r="L603" s="3">
        <f>IF(Table1[[#This Row],[RequiredDate]]&lt;Table1[[#This Row],[OrderDate]],Table1[[#This Row],[OrderDate]],Table1[[#This Row],[RequiredDate]])</f>
        <v>45897</v>
      </c>
      <c r="M603" s="3">
        <v>45897</v>
      </c>
      <c r="N603" t="s">
        <v>649</v>
      </c>
      <c r="O603" t="s">
        <v>657</v>
      </c>
      <c r="P603" t="s">
        <v>690</v>
      </c>
      <c r="Q603" t="s">
        <v>702</v>
      </c>
      <c r="R603" t="s">
        <v>708</v>
      </c>
      <c r="S603" t="s">
        <v>721</v>
      </c>
      <c r="T603" t="s">
        <v>729</v>
      </c>
      <c r="U603" t="s">
        <v>1333</v>
      </c>
      <c r="V603" s="8">
        <v>416.16</v>
      </c>
      <c r="W603" s="8">
        <v>571.9</v>
      </c>
      <c r="X603" s="8">
        <f t="shared" si="32"/>
        <v>815.10700000000008</v>
      </c>
      <c r="Y603" s="8">
        <f t="shared" si="33"/>
        <v>1620.05</v>
      </c>
      <c r="AA603">
        <v>7.0999999999999994E-2</v>
      </c>
      <c r="AB603">
        <f>IF(Table1[[#This Row],[DiscountPct]]&gt;0.2,1,0)</f>
        <v>0</v>
      </c>
      <c r="AC603" s="6">
        <v>2</v>
      </c>
      <c r="AD603" s="8">
        <f>Table1[[#This Row],[UnitPrice]]*Table1[[#This Row],[Quantity]]</f>
        <v>1143.8</v>
      </c>
      <c r="AE603" s="8">
        <f>Table1[[#This Row],[UnitCost]]*Table1[[#This Row],[Quantity]]</f>
        <v>832.32</v>
      </c>
      <c r="AF603" s="8">
        <f>Table1[[#This Row],[GrossRevenue]]-Table1[[#This Row],[CostOfGoods]]</f>
        <v>311.4799999999999</v>
      </c>
      <c r="AG603" s="8">
        <f>IF(Table1[[#This Row],[GrossRevenue]]=0,0,Table1[[#This Row],[GrossProfit]]/Table1[[#This Row],[GrossRevenue]])</f>
        <v>0.27232033572302844</v>
      </c>
    </row>
    <row r="604" spans="1:33" hidden="1" x14ac:dyDescent="0.45">
      <c r="A604" t="s">
        <v>617</v>
      </c>
      <c r="C604" s="3">
        <v>45793</v>
      </c>
      <c r="D604" s="3">
        <f>YEAR(Table1[[#This Row],[OrderDate]]) * 100 + MONTH(Table1[[#This Row],[OrderDate]])</f>
        <v>202505</v>
      </c>
      <c r="E604" s="3">
        <f>_xlfn.MINIFS(Table1[OrderMonthKey],Table1[Country],Table1[[#This Row],[Country]])</f>
        <v>202303</v>
      </c>
      <c r="F604" s="3">
        <f>Table1[[#This Row],[CountryFirstMonthKey]]</f>
        <v>202303</v>
      </c>
      <c r="G604" s="3">
        <f>12*(INT(Table1[[#This Row],[OrderMonthKey]]/100)-INT(Table1[[#This Row],[CohortMonthKey]]/100)) + (MOD(Table1[[#This Row],[OrderMonthKey]],100)-MOD(Table1[[#This Row],[CohortMonthKey]],100))</f>
        <v>26</v>
      </c>
      <c r="H604" s="3" t="str">
        <f>TEXT(Table1[[#This Row],[OrderDate]],"MMM-YYYY")</f>
        <v>May-2025</v>
      </c>
      <c r="I604" s="3" t="str">
        <f t="shared" si="31"/>
        <v>Q3-2025</v>
      </c>
      <c r="J604" s="3" t="str">
        <f>IF(Table1[[#This Row],[LeadTimeDays]]&lt;=7,"Yes","No")</f>
        <v>Yes</v>
      </c>
      <c r="K604" s="3">
        <f>_xlfn.DAYS(Table1[[#This Row],[CorrectedRequiredDate]],Table1[[#This Row],[OrderDate]])</f>
        <v>2</v>
      </c>
      <c r="L604" s="3">
        <f>IF(Table1[[#This Row],[RequiredDate]]&lt;Table1[[#This Row],[OrderDate]],Table1[[#This Row],[OrderDate]],Table1[[#This Row],[RequiredDate]])</f>
        <v>45795</v>
      </c>
      <c r="M604" s="3">
        <v>45795</v>
      </c>
      <c r="N604" t="s">
        <v>647</v>
      </c>
      <c r="O604" t="s">
        <v>652</v>
      </c>
      <c r="P604" t="s">
        <v>689</v>
      </c>
      <c r="Q604" t="s">
        <v>706</v>
      </c>
      <c r="R604" t="s">
        <v>707</v>
      </c>
      <c r="S604" t="s">
        <v>713</v>
      </c>
      <c r="T604" t="s">
        <v>728</v>
      </c>
      <c r="U604" t="s">
        <v>1334</v>
      </c>
      <c r="V604" s="8">
        <v>1144.3800000000001</v>
      </c>
      <c r="W604" s="8">
        <v>2755.04</v>
      </c>
      <c r="X604" s="8">
        <f t="shared" si="32"/>
        <v>815.10700000000008</v>
      </c>
      <c r="Y604" s="8">
        <f t="shared" si="33"/>
        <v>1620.05</v>
      </c>
      <c r="AA604">
        <v>0.15</v>
      </c>
      <c r="AB604">
        <f>IF(Table1[[#This Row],[DiscountPct]]&gt;0.2,1,0)</f>
        <v>0</v>
      </c>
      <c r="AC604" s="6">
        <v>17</v>
      </c>
      <c r="AD604" s="8">
        <f>Table1[[#This Row],[UnitPrice]]*Table1[[#This Row],[Quantity]]</f>
        <v>46835.68</v>
      </c>
      <c r="AE604" s="8">
        <f>Table1[[#This Row],[UnitCost]]*Table1[[#This Row],[Quantity]]</f>
        <v>19454.460000000003</v>
      </c>
      <c r="AF604" s="8">
        <f>Table1[[#This Row],[GrossRevenue]]-Table1[[#This Row],[CostOfGoods]]</f>
        <v>27381.219999999998</v>
      </c>
      <c r="AG604" s="8">
        <f>IF(Table1[[#This Row],[GrossRevenue]]=0,0,Table1[[#This Row],[GrossProfit]]/Table1[[#This Row],[GrossRevenue]])</f>
        <v>0.58462309077182173</v>
      </c>
    </row>
    <row r="605" spans="1:33" x14ac:dyDescent="0.45">
      <c r="A605" t="s">
        <v>618</v>
      </c>
      <c r="B605">
        <v>1</v>
      </c>
      <c r="C605" s="3">
        <v>45026</v>
      </c>
      <c r="D605" s="6">
        <f>YEAR(Table1[[#This Row],[OrderDate]]) * 100 + MONTH(Table1[[#This Row],[OrderDate]])</f>
        <v>202304</v>
      </c>
      <c r="E605" s="6">
        <f>_xlfn.MINIFS(Table1[OrderMonthKey],Table1[Country],Table1[[#This Row],[Country]])</f>
        <v>202301</v>
      </c>
      <c r="F605" s="6">
        <f>Table1[[#This Row],[CountryFirstMonthKey]]</f>
        <v>202301</v>
      </c>
      <c r="G605" s="6">
        <f>12*(INT(Table1[[#This Row],[OrderMonthKey]]/100)-INT(Table1[[#This Row],[CohortMonthKey]]/100)) + (MOD(Table1[[#This Row],[OrderMonthKey]],100)-MOD(Table1[[#This Row],[CohortMonthKey]],100))</f>
        <v>3</v>
      </c>
      <c r="H605" s="3" t="str">
        <f>TEXT(Table1[[#This Row],[OrderDate]],"MMM-YYYY")</f>
        <v>Apr-2023</v>
      </c>
      <c r="I605" s="3" t="str">
        <f t="shared" si="31"/>
        <v>Q2-2025</v>
      </c>
      <c r="J605" s="26" t="str">
        <f>IF(Table1[[#This Row],[LeadTimeDays]]&lt;=7,"Yes","No")</f>
        <v>No</v>
      </c>
      <c r="K605" s="6">
        <f>_xlfn.DAYS(Table1[[#This Row],[CorrectedRequiredDate]],Table1[[#This Row],[OrderDate]])</f>
        <v>15</v>
      </c>
      <c r="L605" s="3">
        <f>IF(Table1[[#This Row],[RequiredDate]]&lt;Table1[[#This Row],[OrderDate]],Table1[[#This Row],[OrderDate]],Table1[[#This Row],[RequiredDate]])</f>
        <v>45041</v>
      </c>
      <c r="M605" s="3">
        <v>45041</v>
      </c>
      <c r="N605" t="s">
        <v>649</v>
      </c>
      <c r="O605" t="s">
        <v>658</v>
      </c>
      <c r="P605" t="s">
        <v>683</v>
      </c>
      <c r="Q605" t="s">
        <v>705</v>
      </c>
      <c r="R605" t="s">
        <v>707</v>
      </c>
      <c r="S605" t="s">
        <v>726</v>
      </c>
      <c r="T605" t="s">
        <v>728</v>
      </c>
      <c r="U605" t="s">
        <v>1335</v>
      </c>
      <c r="V605" s="8">
        <v>405.66</v>
      </c>
      <c r="W605" s="8">
        <v>962.51</v>
      </c>
      <c r="X605" s="8">
        <f t="shared" si="32"/>
        <v>815.10700000000008</v>
      </c>
      <c r="Y605" s="8">
        <f t="shared" si="33"/>
        <v>1620.05</v>
      </c>
      <c r="Z605" s="8" t="str">
        <f>IF(W604 &lt;= X603, "Low",IF(W604 &lt;= Y604, "Medium", "High"))</f>
        <v>High</v>
      </c>
      <c r="AA605">
        <v>0.19</v>
      </c>
      <c r="AB605">
        <f>IF(Table1[[#This Row],[DiscountPct]]&gt;0.2,1,0)</f>
        <v>0</v>
      </c>
      <c r="AC605" s="6">
        <v>7</v>
      </c>
      <c r="AD605" s="8">
        <f>Table1[[#This Row],[UnitPrice]]*Table1[[#This Row],[Quantity]]</f>
        <v>6737.57</v>
      </c>
      <c r="AE605" s="8">
        <f>Table1[[#This Row],[UnitCost]]*Table1[[#This Row],[Quantity]]</f>
        <v>2839.6200000000003</v>
      </c>
      <c r="AF605" s="8">
        <f>Table1[[#This Row],[GrossRevenue]]-Table1[[#This Row],[CostOfGoods]]</f>
        <v>3897.9499999999994</v>
      </c>
      <c r="AG605" s="9">
        <f>IF(Table1[[#This Row],[GrossRevenue]]=0,0,Table1[[#This Row],[GrossProfit]]/Table1[[#This Row],[GrossRevenue]])</f>
        <v>0.57853944374603894</v>
      </c>
    </row>
    <row r="606" spans="1:33" x14ac:dyDescent="0.45">
      <c r="A606" t="s">
        <v>619</v>
      </c>
      <c r="B606">
        <v>1</v>
      </c>
      <c r="C606" s="3">
        <v>45186</v>
      </c>
      <c r="D606" s="6">
        <f>YEAR(Table1[[#This Row],[OrderDate]]) * 100 + MONTH(Table1[[#This Row],[OrderDate]])</f>
        <v>202309</v>
      </c>
      <c r="E606" s="6">
        <f>_xlfn.MINIFS(Table1[OrderMonthKey],Table1[Country],Table1[[#This Row],[Country]])</f>
        <v>202301</v>
      </c>
      <c r="F606" s="6">
        <f>Table1[[#This Row],[CountryFirstMonthKey]]</f>
        <v>202301</v>
      </c>
      <c r="G606" s="6">
        <f>12*(INT(Table1[[#This Row],[OrderMonthKey]]/100)-INT(Table1[[#This Row],[CohortMonthKey]]/100)) + (MOD(Table1[[#This Row],[OrderMonthKey]],100)-MOD(Table1[[#This Row],[CohortMonthKey]],100))</f>
        <v>8</v>
      </c>
      <c r="H606" s="3" t="str">
        <f>TEXT(Table1[[#This Row],[OrderDate]],"MMM-YYYY")</f>
        <v>Sep-2023</v>
      </c>
      <c r="I606" s="3" t="str">
        <f t="shared" si="31"/>
        <v>Q2-2023</v>
      </c>
      <c r="J606" s="26" t="str">
        <f>IF(Table1[[#This Row],[LeadTimeDays]]&lt;=7,"Yes","No")</f>
        <v>No</v>
      </c>
      <c r="K606" s="6">
        <f>_xlfn.DAYS(Table1[[#This Row],[CorrectedRequiredDate]],Table1[[#This Row],[OrderDate]])</f>
        <v>15</v>
      </c>
      <c r="L606" s="3">
        <f>IF(Table1[[#This Row],[RequiredDate]]&lt;Table1[[#This Row],[OrderDate]],Table1[[#This Row],[OrderDate]],Table1[[#This Row],[RequiredDate]])</f>
        <v>45201</v>
      </c>
      <c r="M606" s="3">
        <v>45201</v>
      </c>
      <c r="N606" t="s">
        <v>648</v>
      </c>
      <c r="O606" t="s">
        <v>655</v>
      </c>
      <c r="P606" t="s">
        <v>692</v>
      </c>
      <c r="Q606" t="s">
        <v>705</v>
      </c>
      <c r="R606" t="s">
        <v>707</v>
      </c>
      <c r="S606" t="s">
        <v>717</v>
      </c>
      <c r="T606" t="s">
        <v>731</v>
      </c>
      <c r="U606" t="s">
        <v>1336</v>
      </c>
      <c r="V606" s="8">
        <v>689.33</v>
      </c>
      <c r="W606" s="8">
        <v>668.27</v>
      </c>
      <c r="X606" s="8">
        <f t="shared" si="32"/>
        <v>815.10700000000008</v>
      </c>
      <c r="Y606" s="8">
        <f t="shared" si="33"/>
        <v>1620.05</v>
      </c>
      <c r="Z606" s="8" t="str">
        <f>IF(W605 &lt;= X604, "Low",IF(W605 &lt;= Y605, "Medium", "High"))</f>
        <v>Medium</v>
      </c>
      <c r="AA606">
        <v>0.186</v>
      </c>
      <c r="AB606">
        <f>IF(Table1[[#This Row],[DiscountPct]]&gt;0.2,1,0)</f>
        <v>0</v>
      </c>
      <c r="AC606" s="6">
        <v>13</v>
      </c>
      <c r="AD606" s="8">
        <f>Table1[[#This Row],[UnitPrice]]*Table1[[#This Row],[Quantity]]</f>
        <v>8687.51</v>
      </c>
      <c r="AE606" s="8">
        <f>Table1[[#This Row],[UnitCost]]*Table1[[#This Row],[Quantity]]</f>
        <v>8961.2900000000009</v>
      </c>
      <c r="AF606" s="8">
        <f>Table1[[#This Row],[GrossRevenue]]-Table1[[#This Row],[CostOfGoods]]</f>
        <v>-273.78000000000065</v>
      </c>
      <c r="AG606" s="9">
        <f>IF(Table1[[#This Row],[GrossRevenue]]=0,0,Table1[[#This Row],[GrossProfit]]/Table1[[#This Row],[GrossRevenue]])</f>
        <v>-3.1514208328968903E-2</v>
      </c>
    </row>
    <row r="607" spans="1:33" hidden="1" x14ac:dyDescent="0.45">
      <c r="A607" t="s">
        <v>620</v>
      </c>
      <c r="C607" s="3">
        <v>45038</v>
      </c>
      <c r="D607" s="3">
        <f>YEAR(Table1[[#This Row],[OrderDate]]) * 100 + MONTH(Table1[[#This Row],[OrderDate]])</f>
        <v>202304</v>
      </c>
      <c r="E607" s="3">
        <f>_xlfn.MINIFS(Table1[OrderMonthKey],Table1[Country],Table1[[#This Row],[Country]])</f>
        <v>202303</v>
      </c>
      <c r="F607" s="3">
        <f>Table1[[#This Row],[CountryFirstMonthKey]]</f>
        <v>202303</v>
      </c>
      <c r="G607" s="3">
        <f>12*(INT(Table1[[#This Row],[OrderMonthKey]]/100)-INT(Table1[[#This Row],[CohortMonthKey]]/100)) + (MOD(Table1[[#This Row],[OrderMonthKey]],100)-MOD(Table1[[#This Row],[CohortMonthKey]],100))</f>
        <v>1</v>
      </c>
      <c r="H607" s="3" t="str">
        <f>TEXT(Table1[[#This Row],[OrderDate]],"MMM-YYYY")</f>
        <v>Apr-2023</v>
      </c>
      <c r="I607" s="3" t="str">
        <f t="shared" si="31"/>
        <v>Q3-2023</v>
      </c>
      <c r="J607" s="3" t="str">
        <f>IF(Table1[[#This Row],[LeadTimeDays]]&lt;=7,"Yes","No")</f>
        <v>No</v>
      </c>
      <c r="K607" s="3">
        <f>_xlfn.DAYS(Table1[[#This Row],[CorrectedRequiredDate]],Table1[[#This Row],[OrderDate]])</f>
        <v>22</v>
      </c>
      <c r="L607" s="3">
        <f>IF(Table1[[#This Row],[RequiredDate]]&lt;Table1[[#This Row],[OrderDate]],Table1[[#This Row],[OrderDate]],Table1[[#This Row],[RequiredDate]])</f>
        <v>45060</v>
      </c>
      <c r="M607" s="3">
        <v>45060</v>
      </c>
      <c r="N607" t="s">
        <v>647</v>
      </c>
      <c r="O607" t="s">
        <v>652</v>
      </c>
      <c r="P607" t="s">
        <v>694</v>
      </c>
      <c r="Q607" t="s">
        <v>706</v>
      </c>
      <c r="R607" t="s">
        <v>707</v>
      </c>
      <c r="S607" t="s">
        <v>720</v>
      </c>
      <c r="T607" t="s">
        <v>733</v>
      </c>
      <c r="U607" t="s">
        <v>1337</v>
      </c>
      <c r="V607" s="8">
        <v>1209.22</v>
      </c>
      <c r="W607" s="8">
        <v>1404.33</v>
      </c>
      <c r="X607" s="8">
        <f t="shared" si="32"/>
        <v>815.10700000000008</v>
      </c>
      <c r="Y607" s="8">
        <f t="shared" si="33"/>
        <v>1620.05</v>
      </c>
      <c r="AA607">
        <v>0.10299999999999999</v>
      </c>
      <c r="AB607">
        <f>IF(Table1[[#This Row],[DiscountPct]]&gt;0.2,1,0)</f>
        <v>0</v>
      </c>
      <c r="AC607" s="6">
        <v>11</v>
      </c>
      <c r="AD607" s="8">
        <f>Table1[[#This Row],[UnitPrice]]*Table1[[#This Row],[Quantity]]</f>
        <v>15447.63</v>
      </c>
      <c r="AE607" s="8">
        <f>Table1[[#This Row],[UnitCost]]*Table1[[#This Row],[Quantity]]</f>
        <v>13301.42</v>
      </c>
      <c r="AF607" s="8">
        <f>Table1[[#This Row],[GrossRevenue]]-Table1[[#This Row],[CostOfGoods]]</f>
        <v>2146.2099999999991</v>
      </c>
      <c r="AG607" s="8">
        <f>IF(Table1[[#This Row],[GrossRevenue]]=0,0,Table1[[#This Row],[GrossProfit]]/Table1[[#This Row],[GrossRevenue]])</f>
        <v>0.13893458090334887</v>
      </c>
    </row>
    <row r="608" spans="1:33" hidden="1" x14ac:dyDescent="0.45">
      <c r="A608" t="s">
        <v>621</v>
      </c>
      <c r="C608" s="3">
        <v>45827</v>
      </c>
      <c r="D608" s="3">
        <f>YEAR(Table1[[#This Row],[OrderDate]]) * 100 + MONTH(Table1[[#This Row],[OrderDate]])</f>
        <v>202506</v>
      </c>
      <c r="E608" s="3">
        <f>_xlfn.MINIFS(Table1[OrderMonthKey],Table1[Country],Table1[[#This Row],[Country]])</f>
        <v>202301</v>
      </c>
      <c r="F608" s="3">
        <f>Table1[[#This Row],[CountryFirstMonthKey]]</f>
        <v>202301</v>
      </c>
      <c r="G608" s="3">
        <f>12*(INT(Table1[[#This Row],[OrderMonthKey]]/100)-INT(Table1[[#This Row],[CohortMonthKey]]/100)) + (MOD(Table1[[#This Row],[OrderMonthKey]],100)-MOD(Table1[[#This Row],[CohortMonthKey]],100))</f>
        <v>29</v>
      </c>
      <c r="H608" s="3" t="str">
        <f>TEXT(Table1[[#This Row],[OrderDate]],"MMM-YYYY")</f>
        <v>Jun-2025</v>
      </c>
      <c r="I608" s="3" t="str">
        <f t="shared" si="31"/>
        <v>Q2-2023</v>
      </c>
      <c r="J608" s="3" t="str">
        <f>IF(Table1[[#This Row],[LeadTimeDays]]&lt;=7,"Yes","No")</f>
        <v>Yes</v>
      </c>
      <c r="K608" s="3">
        <f>_xlfn.DAYS(Table1[[#This Row],[CorrectedRequiredDate]],Table1[[#This Row],[OrderDate]])</f>
        <v>2</v>
      </c>
      <c r="L608" s="3">
        <f>IF(Table1[[#This Row],[RequiredDate]]&lt;Table1[[#This Row],[OrderDate]],Table1[[#This Row],[OrderDate]],Table1[[#This Row],[RequiredDate]])</f>
        <v>45829</v>
      </c>
      <c r="M608" s="3">
        <v>45829</v>
      </c>
      <c r="N608" t="s">
        <v>646</v>
      </c>
      <c r="O608" t="s">
        <v>661</v>
      </c>
      <c r="P608" t="s">
        <v>682</v>
      </c>
      <c r="Q608" t="s">
        <v>705</v>
      </c>
      <c r="R608" t="s">
        <v>708</v>
      </c>
      <c r="S608" t="s">
        <v>722</v>
      </c>
      <c r="T608" t="s">
        <v>730</v>
      </c>
      <c r="U608" t="s">
        <v>1338</v>
      </c>
      <c r="V608" s="8">
        <v>1466.27</v>
      </c>
      <c r="W608" s="8">
        <v>3589.89</v>
      </c>
      <c r="X608" s="8">
        <f t="shared" si="32"/>
        <v>815.10700000000008</v>
      </c>
      <c r="Y608" s="8">
        <f t="shared" si="33"/>
        <v>1620.05</v>
      </c>
      <c r="AA608">
        <v>9.7000000000000003E-2</v>
      </c>
      <c r="AB608">
        <f>IF(Table1[[#This Row],[DiscountPct]]&gt;0.2,1,0)</f>
        <v>0</v>
      </c>
      <c r="AC608" s="6">
        <v>9</v>
      </c>
      <c r="AD608" s="8">
        <f>Table1[[#This Row],[UnitPrice]]*Table1[[#This Row],[Quantity]]</f>
        <v>32309.01</v>
      </c>
      <c r="AE608" s="8">
        <f>Table1[[#This Row],[UnitCost]]*Table1[[#This Row],[Quantity]]</f>
        <v>13196.43</v>
      </c>
      <c r="AF608" s="8">
        <f>Table1[[#This Row],[GrossRevenue]]-Table1[[#This Row],[CostOfGoods]]</f>
        <v>19112.579999999998</v>
      </c>
      <c r="AG608" s="8">
        <f>IF(Table1[[#This Row],[GrossRevenue]]=0,0,Table1[[#This Row],[GrossProfit]]/Table1[[#This Row],[GrossRevenue]])</f>
        <v>0.5915557301198644</v>
      </c>
    </row>
    <row r="609" spans="1:33" hidden="1" x14ac:dyDescent="0.45">
      <c r="A609" t="s">
        <v>622</v>
      </c>
      <c r="C609" s="3">
        <v>45623</v>
      </c>
      <c r="D609" s="3">
        <f>YEAR(Table1[[#This Row],[OrderDate]]) * 100 + MONTH(Table1[[#This Row],[OrderDate]])</f>
        <v>202411</v>
      </c>
      <c r="E609" s="3">
        <f>_xlfn.MINIFS(Table1[OrderMonthKey],Table1[Country],Table1[[#This Row],[Country]])</f>
        <v>202301</v>
      </c>
      <c r="F609" s="3">
        <f>Table1[[#This Row],[CountryFirstMonthKey]]</f>
        <v>202301</v>
      </c>
      <c r="G609" s="3">
        <f>12*(INT(Table1[[#This Row],[OrderMonthKey]]/100)-INT(Table1[[#This Row],[CohortMonthKey]]/100)) + (MOD(Table1[[#This Row],[OrderMonthKey]],100)-MOD(Table1[[#This Row],[CohortMonthKey]],100))</f>
        <v>22</v>
      </c>
      <c r="H609" s="3" t="str">
        <f>TEXT(Table1[[#This Row],[OrderDate]],"MMM-YYYY")</f>
        <v>Nov-2024</v>
      </c>
      <c r="I609" s="3" t="str">
        <f t="shared" si="31"/>
        <v>Q2-2025</v>
      </c>
      <c r="J609" s="3" t="str">
        <f>IF(Table1[[#This Row],[LeadTimeDays]]&lt;=7,"Yes","No")</f>
        <v>No</v>
      </c>
      <c r="K609" s="3">
        <f>_xlfn.DAYS(Table1[[#This Row],[CorrectedRequiredDate]],Table1[[#This Row],[OrderDate]])</f>
        <v>27</v>
      </c>
      <c r="L609" s="3">
        <f>IF(Table1[[#This Row],[RequiredDate]]&lt;Table1[[#This Row],[OrderDate]],Table1[[#This Row],[OrderDate]],Table1[[#This Row],[RequiredDate]])</f>
        <v>45650</v>
      </c>
      <c r="M609" s="3">
        <v>45650</v>
      </c>
      <c r="N609" t="s">
        <v>646</v>
      </c>
      <c r="O609" t="s">
        <v>650</v>
      </c>
      <c r="P609" t="s">
        <v>675</v>
      </c>
      <c r="Q609" t="s">
        <v>701</v>
      </c>
      <c r="R609" t="s">
        <v>710</v>
      </c>
      <c r="S609" t="s">
        <v>717</v>
      </c>
      <c r="T609" t="s">
        <v>728</v>
      </c>
      <c r="U609" t="s">
        <v>1339</v>
      </c>
      <c r="V609" s="8">
        <v>143.33000000000001</v>
      </c>
      <c r="W609" s="8">
        <v>233.51</v>
      </c>
      <c r="X609" s="8">
        <f t="shared" si="32"/>
        <v>815.10700000000008</v>
      </c>
      <c r="Y609" s="8">
        <f t="shared" si="33"/>
        <v>1620.05</v>
      </c>
      <c r="AA609">
        <v>0.16300000000000001</v>
      </c>
      <c r="AB609">
        <f>IF(Table1[[#This Row],[DiscountPct]]&gt;0.2,1,0)</f>
        <v>0</v>
      </c>
      <c r="AC609" s="6">
        <v>14</v>
      </c>
      <c r="AD609" s="8">
        <f>Table1[[#This Row],[UnitPrice]]*Table1[[#This Row],[Quantity]]</f>
        <v>3269.14</v>
      </c>
      <c r="AE609" s="8">
        <f>Table1[[#This Row],[UnitCost]]*Table1[[#This Row],[Quantity]]</f>
        <v>2006.6200000000001</v>
      </c>
      <c r="AF609" s="8">
        <f>Table1[[#This Row],[GrossRevenue]]-Table1[[#This Row],[CostOfGoods]]</f>
        <v>1262.5199999999998</v>
      </c>
      <c r="AG609" s="8">
        <f>IF(Table1[[#This Row],[GrossRevenue]]=0,0,Table1[[#This Row],[GrossProfit]]/Table1[[#This Row],[GrossRevenue]])</f>
        <v>0.38619331077898156</v>
      </c>
    </row>
    <row r="610" spans="1:33" hidden="1" x14ac:dyDescent="0.45">
      <c r="A610" t="s">
        <v>623</v>
      </c>
      <c r="C610" s="3">
        <v>45319</v>
      </c>
      <c r="D610" s="3">
        <f>YEAR(Table1[[#This Row],[OrderDate]]) * 100 + MONTH(Table1[[#This Row],[OrderDate]])</f>
        <v>202401</v>
      </c>
      <c r="E610" s="3">
        <f>_xlfn.MINIFS(Table1[OrderMonthKey],Table1[Country],Table1[[#This Row],[Country]])</f>
        <v>202301</v>
      </c>
      <c r="F610" s="3">
        <f>Table1[[#This Row],[CountryFirstMonthKey]]</f>
        <v>202301</v>
      </c>
      <c r="G610" s="3">
        <f>12*(INT(Table1[[#This Row],[OrderMonthKey]]/100)-INT(Table1[[#This Row],[CohortMonthKey]]/100)) + (MOD(Table1[[#This Row],[OrderMonthKey]],100)-MOD(Table1[[#This Row],[CohortMonthKey]],100))</f>
        <v>12</v>
      </c>
      <c r="H610" s="3" t="str">
        <f>TEXT(Table1[[#This Row],[OrderDate]],"MMM-YYYY")</f>
        <v>Jan-2024</v>
      </c>
      <c r="I610" s="3" t="str">
        <f t="shared" si="31"/>
        <v>Q4-2024</v>
      </c>
      <c r="J610" s="3" t="str">
        <f>IF(Table1[[#This Row],[LeadTimeDays]]&lt;=7,"Yes","No")</f>
        <v>Yes</v>
      </c>
      <c r="K610" s="3">
        <f>_xlfn.DAYS(Table1[[#This Row],[CorrectedRequiredDate]],Table1[[#This Row],[OrderDate]])</f>
        <v>0</v>
      </c>
      <c r="L610" s="3">
        <f>IF(Table1[[#This Row],[RequiredDate]]&lt;Table1[[#This Row],[OrderDate]],Table1[[#This Row],[OrderDate]],Table1[[#This Row],[RequiredDate]])</f>
        <v>45319</v>
      </c>
      <c r="M610" s="3">
        <v>45318</v>
      </c>
      <c r="N610" t="s">
        <v>646</v>
      </c>
      <c r="O610" t="s">
        <v>661</v>
      </c>
      <c r="P610" t="s">
        <v>695</v>
      </c>
      <c r="Q610" t="s">
        <v>706</v>
      </c>
      <c r="R610" t="s">
        <v>711</v>
      </c>
      <c r="S610" t="s">
        <v>719</v>
      </c>
      <c r="T610" t="s">
        <v>727</v>
      </c>
      <c r="U610" t="s">
        <v>1340</v>
      </c>
      <c r="V610" s="8">
        <v>109.75</v>
      </c>
      <c r="W610" s="8">
        <v>124.25</v>
      </c>
      <c r="X610" s="8">
        <f t="shared" si="32"/>
        <v>815.10700000000008</v>
      </c>
      <c r="Y610" s="8">
        <f t="shared" si="33"/>
        <v>1620.05</v>
      </c>
      <c r="AA610">
        <v>0.12</v>
      </c>
      <c r="AB610">
        <f>IF(Table1[[#This Row],[DiscountPct]]&gt;0.2,1,0)</f>
        <v>0</v>
      </c>
      <c r="AC610" s="6">
        <v>19</v>
      </c>
      <c r="AD610" s="8">
        <f>Table1[[#This Row],[UnitPrice]]*Table1[[#This Row],[Quantity]]</f>
        <v>2360.75</v>
      </c>
      <c r="AE610" s="8">
        <f>Table1[[#This Row],[UnitCost]]*Table1[[#This Row],[Quantity]]</f>
        <v>2085.25</v>
      </c>
      <c r="AF610" s="8">
        <f>Table1[[#This Row],[GrossRevenue]]-Table1[[#This Row],[CostOfGoods]]</f>
        <v>275.5</v>
      </c>
      <c r="AG610" s="8">
        <f>IF(Table1[[#This Row],[GrossRevenue]]=0,0,Table1[[#This Row],[GrossProfit]]/Table1[[#This Row],[GrossRevenue]])</f>
        <v>0.11670020120724346</v>
      </c>
    </row>
    <row r="611" spans="1:33" hidden="1" x14ac:dyDescent="0.45">
      <c r="A611" t="s">
        <v>624</v>
      </c>
      <c r="C611" s="3">
        <v>45032</v>
      </c>
      <c r="D611" s="3">
        <f>YEAR(Table1[[#This Row],[OrderDate]]) * 100 + MONTH(Table1[[#This Row],[OrderDate]])</f>
        <v>202304</v>
      </c>
      <c r="E611" s="3">
        <f>_xlfn.MINIFS(Table1[OrderMonthKey],Table1[Country],Table1[[#This Row],[Country]])</f>
        <v>202301</v>
      </c>
      <c r="F611" s="3">
        <f>Table1[[#This Row],[CountryFirstMonthKey]]</f>
        <v>202301</v>
      </c>
      <c r="G611" s="3">
        <f>12*(INT(Table1[[#This Row],[OrderMonthKey]]/100)-INT(Table1[[#This Row],[CohortMonthKey]]/100)) + (MOD(Table1[[#This Row],[OrderMonthKey]],100)-MOD(Table1[[#This Row],[CohortMonthKey]],100))</f>
        <v>3</v>
      </c>
      <c r="H611" s="3" t="str">
        <f>TEXT(Table1[[#This Row],[OrderDate]],"MMM-YYYY")</f>
        <v>Apr-2023</v>
      </c>
      <c r="I611" s="3" t="str">
        <f t="shared" si="31"/>
        <v>Q1-2024</v>
      </c>
      <c r="J611" s="3" t="str">
        <f>IF(Table1[[#This Row],[LeadTimeDays]]&lt;=7,"Yes","No")</f>
        <v>Yes</v>
      </c>
      <c r="K611" s="3">
        <f>_xlfn.DAYS(Table1[[#This Row],[CorrectedRequiredDate]],Table1[[#This Row],[OrderDate]])</f>
        <v>7</v>
      </c>
      <c r="L611" s="3">
        <f>IF(Table1[[#This Row],[RequiredDate]]&lt;Table1[[#This Row],[OrderDate]],Table1[[#This Row],[OrderDate]],Table1[[#This Row],[RequiredDate]])</f>
        <v>45039</v>
      </c>
      <c r="M611" s="3">
        <v>45039</v>
      </c>
      <c r="N611" t="s">
        <v>648</v>
      </c>
      <c r="O611" t="s">
        <v>660</v>
      </c>
      <c r="P611" t="s">
        <v>697</v>
      </c>
      <c r="Q611" t="s">
        <v>701</v>
      </c>
      <c r="R611" t="s">
        <v>710</v>
      </c>
      <c r="S611" t="s">
        <v>719</v>
      </c>
      <c r="T611" t="s">
        <v>728</v>
      </c>
      <c r="U611" t="s">
        <v>1341</v>
      </c>
      <c r="V611" s="8">
        <v>1099.1500000000001</v>
      </c>
      <c r="W611" s="8">
        <v>1431.37</v>
      </c>
      <c r="X611" s="8">
        <f t="shared" si="32"/>
        <v>815.10700000000008</v>
      </c>
      <c r="Y611" s="8">
        <f t="shared" si="33"/>
        <v>1620.05</v>
      </c>
      <c r="AA611">
        <v>0.104</v>
      </c>
      <c r="AB611">
        <f>IF(Table1[[#This Row],[DiscountPct]]&gt;0.2,1,0)</f>
        <v>0</v>
      </c>
      <c r="AC611" s="6">
        <v>8</v>
      </c>
      <c r="AD611" s="8">
        <f>Table1[[#This Row],[UnitPrice]]*Table1[[#This Row],[Quantity]]</f>
        <v>11450.96</v>
      </c>
      <c r="AE611" s="8">
        <f>Table1[[#This Row],[UnitCost]]*Table1[[#This Row],[Quantity]]</f>
        <v>8793.2000000000007</v>
      </c>
      <c r="AF611" s="8">
        <f>Table1[[#This Row],[GrossRevenue]]-Table1[[#This Row],[CostOfGoods]]</f>
        <v>2657.7599999999984</v>
      </c>
      <c r="AG611" s="8">
        <f>IF(Table1[[#This Row],[GrossRevenue]]=0,0,Table1[[#This Row],[GrossProfit]]/Table1[[#This Row],[GrossRevenue]])</f>
        <v>0.23209931743714052</v>
      </c>
    </row>
    <row r="612" spans="1:33" hidden="1" x14ac:dyDescent="0.45">
      <c r="A612" t="s">
        <v>625</v>
      </c>
      <c r="C612" s="3">
        <v>45323</v>
      </c>
      <c r="D612" s="3">
        <f>YEAR(Table1[[#This Row],[OrderDate]]) * 100 + MONTH(Table1[[#This Row],[OrderDate]])</f>
        <v>202402</v>
      </c>
      <c r="E612" s="3">
        <f>_xlfn.MINIFS(Table1[OrderMonthKey],Table1[Country],Table1[[#This Row],[Country]])</f>
        <v>202301</v>
      </c>
      <c r="F612" s="3">
        <f>Table1[[#This Row],[CountryFirstMonthKey]]</f>
        <v>202301</v>
      </c>
      <c r="G612" s="3">
        <f>12*(INT(Table1[[#This Row],[OrderMonthKey]]/100)-INT(Table1[[#This Row],[CohortMonthKey]]/100)) + (MOD(Table1[[#This Row],[OrderMonthKey]],100)-MOD(Table1[[#This Row],[CohortMonthKey]],100))</f>
        <v>13</v>
      </c>
      <c r="H612" s="3" t="str">
        <f>TEXT(Table1[[#This Row],[OrderDate]],"MMM-YYYY")</f>
        <v>Feb-2024</v>
      </c>
      <c r="I612" s="3" t="str">
        <f t="shared" si="31"/>
        <v>Q2-2023</v>
      </c>
      <c r="J612" s="3" t="str">
        <f>IF(Table1[[#This Row],[LeadTimeDays]]&lt;=7,"Yes","No")</f>
        <v>Yes</v>
      </c>
      <c r="K612" s="3">
        <f>_xlfn.DAYS(Table1[[#This Row],[CorrectedRequiredDate]],Table1[[#This Row],[OrderDate]])</f>
        <v>0</v>
      </c>
      <c r="L612" s="3">
        <f>IF(Table1[[#This Row],[RequiredDate]]&lt;Table1[[#This Row],[OrderDate]],Table1[[#This Row],[OrderDate]],Table1[[#This Row],[RequiredDate]])</f>
        <v>45323</v>
      </c>
      <c r="M612" s="3">
        <v>45323</v>
      </c>
      <c r="N612" t="s">
        <v>648</v>
      </c>
      <c r="O612" t="s">
        <v>660</v>
      </c>
      <c r="P612" t="s">
        <v>697</v>
      </c>
      <c r="Q612" t="s">
        <v>704</v>
      </c>
      <c r="R612" t="s">
        <v>710</v>
      </c>
      <c r="S612" t="s">
        <v>722</v>
      </c>
      <c r="T612" t="s">
        <v>728</v>
      </c>
      <c r="U612" t="s">
        <v>1342</v>
      </c>
      <c r="V612" s="8">
        <v>714.43</v>
      </c>
      <c r="W612" s="8">
        <v>1595.52</v>
      </c>
      <c r="X612" s="8">
        <f t="shared" si="32"/>
        <v>815.10700000000008</v>
      </c>
      <c r="Y612" s="8">
        <f t="shared" si="33"/>
        <v>1620.05</v>
      </c>
      <c r="AA612">
        <v>0.19400000000000001</v>
      </c>
      <c r="AB612">
        <f>IF(Table1[[#This Row],[DiscountPct]]&gt;0.2,1,0)</f>
        <v>0</v>
      </c>
      <c r="AC612" s="6">
        <v>14</v>
      </c>
      <c r="AD612" s="8">
        <f>Table1[[#This Row],[UnitPrice]]*Table1[[#This Row],[Quantity]]</f>
        <v>22337.279999999999</v>
      </c>
      <c r="AE612" s="8">
        <f>Table1[[#This Row],[UnitCost]]*Table1[[#This Row],[Quantity]]</f>
        <v>10002.019999999999</v>
      </c>
      <c r="AF612" s="8">
        <f>Table1[[#This Row],[GrossRevenue]]-Table1[[#This Row],[CostOfGoods]]</f>
        <v>12335.26</v>
      </c>
      <c r="AG612" s="8">
        <f>IF(Table1[[#This Row],[GrossRevenue]]=0,0,Table1[[#This Row],[GrossProfit]]/Table1[[#This Row],[GrossRevenue]])</f>
        <v>0.55222748696349788</v>
      </c>
    </row>
    <row r="613" spans="1:33" hidden="1" x14ac:dyDescent="0.45">
      <c r="A613" t="s">
        <v>626</v>
      </c>
      <c r="C613" s="3">
        <v>45584</v>
      </c>
      <c r="D613" s="3">
        <f>YEAR(Table1[[#This Row],[OrderDate]]) * 100 + MONTH(Table1[[#This Row],[OrderDate]])</f>
        <v>202410</v>
      </c>
      <c r="E613" s="3">
        <f>_xlfn.MINIFS(Table1[OrderMonthKey],Table1[Country],Table1[[#This Row],[Country]])</f>
        <v>202301</v>
      </c>
      <c r="F613" s="3">
        <f>Table1[[#This Row],[CountryFirstMonthKey]]</f>
        <v>202301</v>
      </c>
      <c r="G613" s="3">
        <f>12*(INT(Table1[[#This Row],[OrderMonthKey]]/100)-INT(Table1[[#This Row],[CohortMonthKey]]/100)) + (MOD(Table1[[#This Row],[OrderMonthKey]],100)-MOD(Table1[[#This Row],[CohortMonthKey]],100))</f>
        <v>21</v>
      </c>
      <c r="H613" s="3" t="str">
        <f>TEXT(Table1[[#This Row],[OrderDate]],"MMM-YYYY")</f>
        <v>Oct-2024</v>
      </c>
      <c r="I613" s="3" t="str">
        <f t="shared" si="31"/>
        <v>Q1-2024</v>
      </c>
      <c r="J613" s="3" t="str">
        <f>IF(Table1[[#This Row],[LeadTimeDays]]&lt;=7,"Yes","No")</f>
        <v>No</v>
      </c>
      <c r="K613" s="3">
        <f>_xlfn.DAYS(Table1[[#This Row],[CorrectedRequiredDate]],Table1[[#This Row],[OrderDate]])</f>
        <v>18</v>
      </c>
      <c r="L613" s="3">
        <f>IF(Table1[[#This Row],[RequiredDate]]&lt;Table1[[#This Row],[OrderDate]],Table1[[#This Row],[OrderDate]],Table1[[#This Row],[RequiredDate]])</f>
        <v>45602</v>
      </c>
      <c r="M613" s="3">
        <v>45602</v>
      </c>
      <c r="N613" t="s">
        <v>648</v>
      </c>
      <c r="O613" t="s">
        <v>660</v>
      </c>
      <c r="P613" t="s">
        <v>677</v>
      </c>
      <c r="Q613" t="s">
        <v>702</v>
      </c>
      <c r="R613" t="s">
        <v>708</v>
      </c>
      <c r="S613" t="s">
        <v>712</v>
      </c>
      <c r="T613" t="s">
        <v>732</v>
      </c>
      <c r="U613" t="s">
        <v>1343</v>
      </c>
      <c r="V613" s="8">
        <v>942.02</v>
      </c>
      <c r="W613" s="8">
        <v>1028.46</v>
      </c>
      <c r="X613" s="8">
        <f t="shared" si="32"/>
        <v>815.10700000000008</v>
      </c>
      <c r="Y613" s="8">
        <f t="shared" si="33"/>
        <v>1620.05</v>
      </c>
      <c r="AA613">
        <v>0</v>
      </c>
      <c r="AB613">
        <f>IF(Table1[[#This Row],[DiscountPct]]&gt;0.2,1,0)</f>
        <v>0</v>
      </c>
      <c r="AC613" s="6">
        <v>9</v>
      </c>
      <c r="AD613" s="8">
        <f>Table1[[#This Row],[UnitPrice]]*Table1[[#This Row],[Quantity]]</f>
        <v>9256.14</v>
      </c>
      <c r="AE613" s="8">
        <f>Table1[[#This Row],[UnitCost]]*Table1[[#This Row],[Quantity]]</f>
        <v>8478.18</v>
      </c>
      <c r="AF613" s="8">
        <f>Table1[[#This Row],[GrossRevenue]]-Table1[[#This Row],[CostOfGoods]]</f>
        <v>777.95999999999913</v>
      </c>
      <c r="AG613" s="8">
        <f>IF(Table1[[#This Row],[GrossRevenue]]=0,0,Table1[[#This Row],[GrossProfit]]/Table1[[#This Row],[GrossRevenue]])</f>
        <v>8.4047994088248354E-2</v>
      </c>
    </row>
    <row r="614" spans="1:33" hidden="1" x14ac:dyDescent="0.45">
      <c r="A614" t="s">
        <v>627</v>
      </c>
      <c r="C614" s="3">
        <v>45468</v>
      </c>
      <c r="D614" s="3">
        <f>YEAR(Table1[[#This Row],[OrderDate]]) * 100 + MONTH(Table1[[#This Row],[OrderDate]])</f>
        <v>202406</v>
      </c>
      <c r="E614" s="3">
        <f>_xlfn.MINIFS(Table1[OrderMonthKey],Table1[Country],Table1[[#This Row],[Country]])</f>
        <v>202301</v>
      </c>
      <c r="F614" s="3">
        <f>Table1[[#This Row],[CountryFirstMonthKey]]</f>
        <v>202301</v>
      </c>
      <c r="G614" s="3">
        <f>12*(INT(Table1[[#This Row],[OrderMonthKey]]/100)-INT(Table1[[#This Row],[CohortMonthKey]]/100)) + (MOD(Table1[[#This Row],[OrderMonthKey]],100)-MOD(Table1[[#This Row],[CohortMonthKey]],100))</f>
        <v>17</v>
      </c>
      <c r="H614" s="3" t="str">
        <f>TEXT(Table1[[#This Row],[OrderDate]],"MMM-YYYY")</f>
        <v>Jun-2024</v>
      </c>
      <c r="I614" s="3" t="str">
        <f t="shared" si="31"/>
        <v>Q4-2024</v>
      </c>
      <c r="J614" s="3" t="str">
        <f>IF(Table1[[#This Row],[LeadTimeDays]]&lt;=7,"Yes","No")</f>
        <v>Yes</v>
      </c>
      <c r="K614" s="3">
        <f>_xlfn.DAYS(Table1[[#This Row],[CorrectedRequiredDate]],Table1[[#This Row],[OrderDate]])</f>
        <v>5</v>
      </c>
      <c r="L614" s="3">
        <f>IF(Table1[[#This Row],[RequiredDate]]&lt;Table1[[#This Row],[OrderDate]],Table1[[#This Row],[OrderDate]],Table1[[#This Row],[RequiredDate]])</f>
        <v>45473</v>
      </c>
      <c r="M614" s="3">
        <v>45473</v>
      </c>
      <c r="N614" t="s">
        <v>646</v>
      </c>
      <c r="O614" t="s">
        <v>650</v>
      </c>
      <c r="P614" t="s">
        <v>662</v>
      </c>
      <c r="Q614" t="s">
        <v>702</v>
      </c>
      <c r="R614" t="s">
        <v>711</v>
      </c>
      <c r="S614" t="s">
        <v>724</v>
      </c>
      <c r="T614" t="s">
        <v>729</v>
      </c>
      <c r="U614" t="s">
        <v>1344</v>
      </c>
      <c r="V614" s="8">
        <v>1323.55</v>
      </c>
      <c r="W614" s="8">
        <v>3230.35</v>
      </c>
      <c r="X614" s="8">
        <f t="shared" si="32"/>
        <v>815.10700000000008</v>
      </c>
      <c r="Y614" s="8">
        <f t="shared" si="33"/>
        <v>1620.05</v>
      </c>
      <c r="AA614">
        <v>2.1999999999999999E-2</v>
      </c>
      <c r="AB614">
        <f>IF(Table1[[#This Row],[DiscountPct]]&gt;0.2,1,0)</f>
        <v>0</v>
      </c>
      <c r="AC614" s="6">
        <v>26</v>
      </c>
      <c r="AD614" s="8">
        <f>Table1[[#This Row],[UnitPrice]]*Table1[[#This Row],[Quantity]]</f>
        <v>83989.099999999991</v>
      </c>
      <c r="AE614" s="8">
        <f>Table1[[#This Row],[UnitCost]]*Table1[[#This Row],[Quantity]]</f>
        <v>34412.299999999996</v>
      </c>
      <c r="AF614" s="8">
        <f>Table1[[#This Row],[GrossRevenue]]-Table1[[#This Row],[CostOfGoods]]</f>
        <v>49576.799999999996</v>
      </c>
      <c r="AG614" s="8">
        <f>IF(Table1[[#This Row],[GrossRevenue]]=0,0,Table1[[#This Row],[GrossProfit]]/Table1[[#This Row],[GrossRevenue]])</f>
        <v>0.59027659541535749</v>
      </c>
    </row>
    <row r="615" spans="1:33" hidden="1" x14ac:dyDescent="0.45">
      <c r="A615" t="s">
        <v>628</v>
      </c>
      <c r="C615" s="3">
        <v>45137</v>
      </c>
      <c r="D615" s="3">
        <f>YEAR(Table1[[#This Row],[OrderDate]]) * 100 + MONTH(Table1[[#This Row],[OrderDate]])</f>
        <v>202307</v>
      </c>
      <c r="E615" s="3">
        <f>_xlfn.MINIFS(Table1[OrderMonthKey],Table1[Country],Table1[[#This Row],[Country]])</f>
        <v>202301</v>
      </c>
      <c r="F615" s="3">
        <f>Table1[[#This Row],[CountryFirstMonthKey]]</f>
        <v>202301</v>
      </c>
      <c r="G615" s="3">
        <f>12*(INT(Table1[[#This Row],[OrderMonthKey]]/100)-INT(Table1[[#This Row],[CohortMonthKey]]/100)) + (MOD(Table1[[#This Row],[OrderMonthKey]],100)-MOD(Table1[[#This Row],[CohortMonthKey]],100))</f>
        <v>6</v>
      </c>
      <c r="H615" s="3" t="str">
        <f>TEXT(Table1[[#This Row],[OrderDate]],"MMM-YYYY")</f>
        <v>Jul-2023</v>
      </c>
      <c r="I615" s="3" t="str">
        <f t="shared" si="31"/>
        <v>Q2-2024</v>
      </c>
      <c r="J615" s="3" t="str">
        <f>IF(Table1[[#This Row],[LeadTimeDays]]&lt;=7,"Yes","No")</f>
        <v>No</v>
      </c>
      <c r="K615" s="3">
        <f>_xlfn.DAYS(Table1[[#This Row],[CorrectedRequiredDate]],Table1[[#This Row],[OrderDate]])</f>
        <v>20</v>
      </c>
      <c r="L615" s="3">
        <f>IF(Table1[[#This Row],[RequiredDate]]&lt;Table1[[#This Row],[OrderDate]],Table1[[#This Row],[OrderDate]],Table1[[#This Row],[RequiredDate]])</f>
        <v>45157</v>
      </c>
      <c r="M615" s="3">
        <v>45157</v>
      </c>
      <c r="N615" t="s">
        <v>649</v>
      </c>
      <c r="O615" t="s">
        <v>657</v>
      </c>
      <c r="P615" t="s">
        <v>690</v>
      </c>
      <c r="Q615" t="s">
        <v>706</v>
      </c>
      <c r="R615" t="s">
        <v>709</v>
      </c>
      <c r="S615" t="s">
        <v>715</v>
      </c>
      <c r="T615" t="s">
        <v>729</v>
      </c>
      <c r="U615" t="s">
        <v>1345</v>
      </c>
      <c r="V615" s="8">
        <v>1418.51</v>
      </c>
      <c r="W615" s="8">
        <v>2789.61</v>
      </c>
      <c r="X615" s="8">
        <f t="shared" si="32"/>
        <v>815.10700000000008</v>
      </c>
      <c r="Y615" s="8">
        <f t="shared" si="33"/>
        <v>1620.05</v>
      </c>
      <c r="AA615">
        <v>0.17100000000000001</v>
      </c>
      <c r="AB615">
        <f>IF(Table1[[#This Row],[DiscountPct]]&gt;0.2,1,0)</f>
        <v>0</v>
      </c>
      <c r="AC615" s="6">
        <v>8</v>
      </c>
      <c r="AD615" s="8">
        <f>Table1[[#This Row],[UnitPrice]]*Table1[[#This Row],[Quantity]]</f>
        <v>22316.880000000001</v>
      </c>
      <c r="AE615" s="8">
        <f>Table1[[#This Row],[UnitCost]]*Table1[[#This Row],[Quantity]]</f>
        <v>11348.08</v>
      </c>
      <c r="AF615" s="8">
        <f>Table1[[#This Row],[GrossRevenue]]-Table1[[#This Row],[CostOfGoods]]</f>
        <v>10968.800000000001</v>
      </c>
      <c r="AG615" s="8">
        <f>IF(Table1[[#This Row],[GrossRevenue]]=0,0,Table1[[#This Row],[GrossProfit]]/Table1[[#This Row],[GrossRevenue]])</f>
        <v>0.49150239639232729</v>
      </c>
    </row>
    <row r="616" spans="1:33" hidden="1" x14ac:dyDescent="0.45">
      <c r="A616" t="s">
        <v>629</v>
      </c>
      <c r="C616" s="3">
        <v>45727</v>
      </c>
      <c r="D616" s="3">
        <f>YEAR(Table1[[#This Row],[OrderDate]]) * 100 + MONTH(Table1[[#This Row],[OrderDate]])</f>
        <v>202503</v>
      </c>
      <c r="E616" s="3">
        <f>_xlfn.MINIFS(Table1[OrderMonthKey],Table1[Country],Table1[[#This Row],[Country]])</f>
        <v>202303</v>
      </c>
      <c r="F616" s="3">
        <f>Table1[[#This Row],[CountryFirstMonthKey]]</f>
        <v>202303</v>
      </c>
      <c r="G616" s="3">
        <f>12*(INT(Table1[[#This Row],[OrderMonthKey]]/100)-INT(Table1[[#This Row],[CohortMonthKey]]/100)) + (MOD(Table1[[#This Row],[OrderMonthKey]],100)-MOD(Table1[[#This Row],[CohortMonthKey]],100))</f>
        <v>24</v>
      </c>
      <c r="H616" s="3" t="str">
        <f>TEXT(Table1[[#This Row],[OrderDate]],"MMM-YYYY")</f>
        <v>Mar-2025</v>
      </c>
      <c r="I616" s="3" t="str">
        <f t="shared" si="31"/>
        <v>Q3-2023</v>
      </c>
      <c r="J616" s="3" t="str">
        <f>IF(Table1[[#This Row],[LeadTimeDays]]&lt;=7,"Yes","No")</f>
        <v>No</v>
      </c>
      <c r="K616" s="3">
        <f>_xlfn.DAYS(Table1[[#This Row],[CorrectedRequiredDate]],Table1[[#This Row],[OrderDate]])</f>
        <v>16</v>
      </c>
      <c r="L616" s="3">
        <f>IF(Table1[[#This Row],[RequiredDate]]&lt;Table1[[#This Row],[OrderDate]],Table1[[#This Row],[OrderDate]],Table1[[#This Row],[RequiredDate]])</f>
        <v>45743</v>
      </c>
      <c r="M616" s="3">
        <v>45743</v>
      </c>
      <c r="N616" t="s">
        <v>647</v>
      </c>
      <c r="O616" t="s">
        <v>652</v>
      </c>
      <c r="P616" t="s">
        <v>689</v>
      </c>
      <c r="Q616" t="s">
        <v>706</v>
      </c>
      <c r="R616" t="s">
        <v>710</v>
      </c>
      <c r="S616" t="s">
        <v>717</v>
      </c>
      <c r="T616" t="s">
        <v>728</v>
      </c>
      <c r="U616" t="s">
        <v>1346</v>
      </c>
      <c r="V616" s="8">
        <v>1317.58</v>
      </c>
      <c r="W616" s="8">
        <v>1897.74</v>
      </c>
      <c r="X616" s="8">
        <f t="shared" si="32"/>
        <v>815.10700000000008</v>
      </c>
      <c r="Y616" s="8">
        <f t="shared" si="33"/>
        <v>1620.05</v>
      </c>
      <c r="AA616">
        <v>8.1000000000000003E-2</v>
      </c>
      <c r="AB616">
        <f>IF(Table1[[#This Row],[DiscountPct]]&gt;0.2,1,0)</f>
        <v>0</v>
      </c>
      <c r="AC616" s="6">
        <v>6</v>
      </c>
      <c r="AD616" s="8">
        <f>Table1[[#This Row],[UnitPrice]]*Table1[[#This Row],[Quantity]]</f>
        <v>11386.44</v>
      </c>
      <c r="AE616" s="8">
        <f>Table1[[#This Row],[UnitCost]]*Table1[[#This Row],[Quantity]]</f>
        <v>7905.48</v>
      </c>
      <c r="AF616" s="8">
        <f>Table1[[#This Row],[GrossRevenue]]-Table1[[#This Row],[CostOfGoods]]</f>
        <v>3480.9600000000009</v>
      </c>
      <c r="AG616" s="8">
        <f>IF(Table1[[#This Row],[GrossRevenue]]=0,0,Table1[[#This Row],[GrossProfit]]/Table1[[#This Row],[GrossRevenue]])</f>
        <v>0.30571100361482612</v>
      </c>
    </row>
    <row r="617" spans="1:33" x14ac:dyDescent="0.45">
      <c r="A617" t="s">
        <v>630</v>
      </c>
      <c r="B617">
        <v>1</v>
      </c>
      <c r="C617" s="3">
        <v>45208</v>
      </c>
      <c r="D617" s="6">
        <f>YEAR(Table1[[#This Row],[OrderDate]]) * 100 + MONTH(Table1[[#This Row],[OrderDate]])</f>
        <v>202310</v>
      </c>
      <c r="E617" s="6">
        <f>_xlfn.MINIFS(Table1[OrderMonthKey],Table1[Country],Table1[[#This Row],[Country]])</f>
        <v>202301</v>
      </c>
      <c r="F617" s="6">
        <f>Table1[[#This Row],[CountryFirstMonthKey]]</f>
        <v>202301</v>
      </c>
      <c r="G617" s="6">
        <f>12*(INT(Table1[[#This Row],[OrderMonthKey]]/100)-INT(Table1[[#This Row],[CohortMonthKey]]/100)) + (MOD(Table1[[#This Row],[OrderMonthKey]],100)-MOD(Table1[[#This Row],[CohortMonthKey]],100))</f>
        <v>9</v>
      </c>
      <c r="H617" s="3" t="str">
        <f>TEXT(Table1[[#This Row],[OrderDate]],"MMM-YYYY")</f>
        <v>Oct-2023</v>
      </c>
      <c r="I617" s="3" t="str">
        <f t="shared" si="31"/>
        <v>Q1-2025</v>
      </c>
      <c r="J617" s="26" t="str">
        <f>IF(Table1[[#This Row],[LeadTimeDays]]&lt;=7,"Yes","No")</f>
        <v>Yes</v>
      </c>
      <c r="K617" s="6">
        <f>_xlfn.DAYS(Table1[[#This Row],[CorrectedRequiredDate]],Table1[[#This Row],[OrderDate]])</f>
        <v>2</v>
      </c>
      <c r="L617" s="3">
        <f>IF(Table1[[#This Row],[RequiredDate]]&lt;Table1[[#This Row],[OrderDate]],Table1[[#This Row],[OrderDate]],Table1[[#This Row],[RequiredDate]])</f>
        <v>45210</v>
      </c>
      <c r="M617" s="3">
        <v>45210</v>
      </c>
      <c r="N617" t="s">
        <v>646</v>
      </c>
      <c r="O617" t="s">
        <v>651</v>
      </c>
      <c r="P617" t="s">
        <v>663</v>
      </c>
      <c r="Q617" t="s">
        <v>702</v>
      </c>
      <c r="R617" t="s">
        <v>709</v>
      </c>
      <c r="S617" t="s">
        <v>723</v>
      </c>
      <c r="T617" t="s">
        <v>729</v>
      </c>
      <c r="U617" t="s">
        <v>1347</v>
      </c>
      <c r="V617" s="8">
        <v>391.16</v>
      </c>
      <c r="W617" s="8">
        <v>902.47</v>
      </c>
      <c r="X617" s="8">
        <f t="shared" si="32"/>
        <v>815.10700000000008</v>
      </c>
      <c r="Y617" s="8">
        <f t="shared" si="33"/>
        <v>1620.05</v>
      </c>
      <c r="Z617" s="8" t="str">
        <f>IF(W616 &lt;= X615, "Low",IF(W616 &lt;= Y616, "Medium", "High"))</f>
        <v>High</v>
      </c>
      <c r="AA617">
        <v>4.0000000000000001E-3</v>
      </c>
      <c r="AB617">
        <f>IF(Table1[[#This Row],[DiscountPct]]&gt;0.2,1,0)</f>
        <v>0</v>
      </c>
      <c r="AC617" s="6">
        <v>12</v>
      </c>
      <c r="AD617" s="8">
        <f>Table1[[#This Row],[UnitPrice]]*Table1[[#This Row],[Quantity]]</f>
        <v>10829.64</v>
      </c>
      <c r="AE617" s="8">
        <f>Table1[[#This Row],[UnitCost]]*Table1[[#This Row],[Quantity]]</f>
        <v>4693.92</v>
      </c>
      <c r="AF617" s="8">
        <f>Table1[[#This Row],[GrossRevenue]]-Table1[[#This Row],[CostOfGoods]]</f>
        <v>6135.7199999999993</v>
      </c>
      <c r="AG617" s="9">
        <f>IF(Table1[[#This Row],[GrossRevenue]]=0,0,Table1[[#This Row],[GrossProfit]]/Table1[[#This Row],[GrossRevenue]])</f>
        <v>0.56656730971666647</v>
      </c>
    </row>
    <row r="618" spans="1:33" x14ac:dyDescent="0.45">
      <c r="A618" t="s">
        <v>631</v>
      </c>
      <c r="B618">
        <v>1</v>
      </c>
      <c r="C618" s="3">
        <v>45643</v>
      </c>
      <c r="D618" s="6">
        <f>YEAR(Table1[[#This Row],[OrderDate]]) * 100 + MONTH(Table1[[#This Row],[OrderDate]])</f>
        <v>202412</v>
      </c>
      <c r="E618" s="6">
        <f>_xlfn.MINIFS(Table1[OrderMonthKey],Table1[Country],Table1[[#This Row],[Country]])</f>
        <v>202301</v>
      </c>
      <c r="F618" s="6">
        <f>Table1[[#This Row],[CountryFirstMonthKey]]</f>
        <v>202301</v>
      </c>
      <c r="G618" s="6">
        <f>12*(INT(Table1[[#This Row],[OrderMonthKey]]/100)-INT(Table1[[#This Row],[CohortMonthKey]]/100)) + (MOD(Table1[[#This Row],[OrderMonthKey]],100)-MOD(Table1[[#This Row],[CohortMonthKey]],100))</f>
        <v>23</v>
      </c>
      <c r="H618" s="3" t="str">
        <f>TEXT(Table1[[#This Row],[OrderDate]],"MMM-YYYY")</f>
        <v>Dec-2024</v>
      </c>
      <c r="I618" s="3" t="str">
        <f t="shared" si="31"/>
        <v>Q4-2023</v>
      </c>
      <c r="J618" s="26" t="str">
        <f>IF(Table1[[#This Row],[LeadTimeDays]]&lt;=7,"Yes","No")</f>
        <v>No</v>
      </c>
      <c r="K618" s="6">
        <f>_xlfn.DAYS(Table1[[#This Row],[CorrectedRequiredDate]],Table1[[#This Row],[OrderDate]])</f>
        <v>30</v>
      </c>
      <c r="L618" s="3">
        <f>IF(Table1[[#This Row],[RequiredDate]]&lt;Table1[[#This Row],[OrderDate]],Table1[[#This Row],[OrderDate]],Table1[[#This Row],[RequiredDate]])</f>
        <v>45673</v>
      </c>
      <c r="M618" s="3">
        <v>45673</v>
      </c>
      <c r="N618" t="s">
        <v>649</v>
      </c>
      <c r="O618" t="s">
        <v>658</v>
      </c>
      <c r="P618" t="s">
        <v>693</v>
      </c>
      <c r="Q618" t="s">
        <v>701</v>
      </c>
      <c r="R618" t="s">
        <v>707</v>
      </c>
      <c r="S618" t="s">
        <v>726</v>
      </c>
      <c r="T618" t="s">
        <v>732</v>
      </c>
      <c r="U618" t="s">
        <v>1348</v>
      </c>
      <c r="V618" s="8">
        <v>722.87</v>
      </c>
      <c r="W618" s="8">
        <v>33.659999999999997</v>
      </c>
      <c r="X618" s="8">
        <f t="shared" si="32"/>
        <v>815.10700000000008</v>
      </c>
      <c r="Y618" s="8">
        <f t="shared" si="33"/>
        <v>1620.05</v>
      </c>
      <c r="Z618" s="8" t="str">
        <f>IF(W617 &lt;= X616, "Low",IF(W617 &lt;= Y617, "Medium", "High"))</f>
        <v>Medium</v>
      </c>
      <c r="AA618">
        <v>0.10199999999999999</v>
      </c>
      <c r="AB618">
        <f>IF(Table1[[#This Row],[DiscountPct]]&gt;0.2,1,0)</f>
        <v>0</v>
      </c>
      <c r="AC618" s="6">
        <v>28</v>
      </c>
      <c r="AD618" s="8">
        <f>Table1[[#This Row],[UnitPrice]]*Table1[[#This Row],[Quantity]]</f>
        <v>942.4799999999999</v>
      </c>
      <c r="AE618" s="8">
        <f>Table1[[#This Row],[UnitCost]]*Table1[[#This Row],[Quantity]]</f>
        <v>20240.36</v>
      </c>
      <c r="AF618" s="8">
        <f>Table1[[#This Row],[GrossRevenue]]-Table1[[#This Row],[CostOfGoods]]</f>
        <v>-19297.88</v>
      </c>
      <c r="AG618" s="9">
        <f>IF(Table1[[#This Row],[GrossRevenue]]=0,0,Table1[[#This Row],[GrossProfit]]/Table1[[#This Row],[GrossRevenue]])</f>
        <v>-20.475638740344625</v>
      </c>
    </row>
    <row r="619" spans="1:33" x14ac:dyDescent="0.45">
      <c r="A619" t="s">
        <v>632</v>
      </c>
      <c r="B619">
        <v>1</v>
      </c>
      <c r="C619" s="3">
        <v>45849</v>
      </c>
      <c r="D619" s="6">
        <f>YEAR(Table1[[#This Row],[OrderDate]]) * 100 + MONTH(Table1[[#This Row],[OrderDate]])</f>
        <v>202507</v>
      </c>
      <c r="E619" s="6">
        <f>_xlfn.MINIFS(Table1[OrderMonthKey],Table1[Country],Table1[[#This Row],[Country]])</f>
        <v>202301</v>
      </c>
      <c r="F619" s="6">
        <f>Table1[[#This Row],[CountryFirstMonthKey]]</f>
        <v>202301</v>
      </c>
      <c r="G619" s="6">
        <f>12*(INT(Table1[[#This Row],[OrderMonthKey]]/100)-INT(Table1[[#This Row],[CohortMonthKey]]/100)) + (MOD(Table1[[#This Row],[OrderMonthKey]],100)-MOD(Table1[[#This Row],[CohortMonthKey]],100))</f>
        <v>30</v>
      </c>
      <c r="H619" s="3" t="str">
        <f>TEXT(Table1[[#This Row],[OrderDate]],"MMM-YYYY")</f>
        <v>Jul-2025</v>
      </c>
      <c r="I619" s="3" t="str">
        <f t="shared" si="31"/>
        <v>Q4-2024</v>
      </c>
      <c r="J619" s="26" t="str">
        <f>IF(Table1[[#This Row],[LeadTimeDays]]&lt;=7,"Yes","No")</f>
        <v>Yes</v>
      </c>
      <c r="K619" s="6">
        <f>_xlfn.DAYS(Table1[[#This Row],[CorrectedRequiredDate]],Table1[[#This Row],[OrderDate]])</f>
        <v>5</v>
      </c>
      <c r="L619" s="3">
        <f>IF(Table1[[#This Row],[RequiredDate]]&lt;Table1[[#This Row],[OrderDate]],Table1[[#This Row],[OrderDate]],Table1[[#This Row],[RequiredDate]])</f>
        <v>45854</v>
      </c>
      <c r="M619" s="3">
        <v>45854</v>
      </c>
      <c r="N619" t="s">
        <v>649</v>
      </c>
      <c r="O619" t="s">
        <v>658</v>
      </c>
      <c r="P619" t="s">
        <v>683</v>
      </c>
      <c r="Q619" t="s">
        <v>706</v>
      </c>
      <c r="R619" t="s">
        <v>708</v>
      </c>
      <c r="S619" t="s">
        <v>723</v>
      </c>
      <c r="T619" t="s">
        <v>728</v>
      </c>
      <c r="U619" t="s">
        <v>1349</v>
      </c>
      <c r="V619" s="8">
        <v>930.03</v>
      </c>
      <c r="W619" s="8">
        <v>1086.68</v>
      </c>
      <c r="X619" s="8">
        <f t="shared" si="32"/>
        <v>815.10700000000008</v>
      </c>
      <c r="Y619" s="8">
        <f t="shared" si="33"/>
        <v>1620.05</v>
      </c>
      <c r="Z619" s="8" t="str">
        <f>IF(W618 &lt;= X617, "Low",IF(W618 &lt;= Y618, "Medium", "High"))</f>
        <v>Low</v>
      </c>
      <c r="AA619">
        <v>0.109</v>
      </c>
      <c r="AB619">
        <f>IF(Table1[[#This Row],[DiscountPct]]&gt;0.2,1,0)</f>
        <v>0</v>
      </c>
      <c r="AC619" s="6">
        <v>26</v>
      </c>
      <c r="AD619" s="8">
        <f>Table1[[#This Row],[UnitPrice]]*Table1[[#This Row],[Quantity]]</f>
        <v>28253.68</v>
      </c>
      <c r="AE619" s="8">
        <f>Table1[[#This Row],[UnitCost]]*Table1[[#This Row],[Quantity]]</f>
        <v>24180.78</v>
      </c>
      <c r="AF619" s="8">
        <f>Table1[[#This Row],[GrossRevenue]]-Table1[[#This Row],[CostOfGoods]]</f>
        <v>4072.9000000000015</v>
      </c>
      <c r="AG619" s="9">
        <f>IF(Table1[[#This Row],[GrossRevenue]]=0,0,Table1[[#This Row],[GrossProfit]]/Table1[[#This Row],[GrossRevenue]])</f>
        <v>0.14415467294879822</v>
      </c>
    </row>
    <row r="620" spans="1:33" hidden="1" x14ac:dyDescent="0.45">
      <c r="A620" t="s">
        <v>633</v>
      </c>
      <c r="C620" s="3">
        <v>45578</v>
      </c>
      <c r="D620" s="3">
        <f>YEAR(Table1[[#This Row],[OrderDate]]) * 100 + MONTH(Table1[[#This Row],[OrderDate]])</f>
        <v>202410</v>
      </c>
      <c r="E620" s="3">
        <f>_xlfn.MINIFS(Table1[OrderMonthKey],Table1[Country],Table1[[#This Row],[Country]])</f>
        <v>202301</v>
      </c>
      <c r="F620" s="3">
        <f>Table1[[#This Row],[CountryFirstMonthKey]]</f>
        <v>202301</v>
      </c>
      <c r="G620" s="3">
        <f>12*(INT(Table1[[#This Row],[OrderMonthKey]]/100)-INT(Table1[[#This Row],[CohortMonthKey]]/100)) + (MOD(Table1[[#This Row],[OrderMonthKey]],100)-MOD(Table1[[#This Row],[CohortMonthKey]],100))</f>
        <v>21</v>
      </c>
      <c r="H620" s="3" t="str">
        <f>TEXT(Table1[[#This Row],[OrderDate]],"MMM-YYYY")</f>
        <v>Oct-2024</v>
      </c>
      <c r="I620" s="3" t="str">
        <f t="shared" si="31"/>
        <v>Q3-2025</v>
      </c>
      <c r="J620" s="3" t="str">
        <f>IF(Table1[[#This Row],[LeadTimeDays]]&lt;=7,"Yes","No")</f>
        <v>No</v>
      </c>
      <c r="K620" s="3">
        <f>_xlfn.DAYS(Table1[[#This Row],[CorrectedRequiredDate]],Table1[[#This Row],[OrderDate]])</f>
        <v>11</v>
      </c>
      <c r="L620" s="3">
        <f>IF(Table1[[#This Row],[RequiredDate]]&lt;Table1[[#This Row],[OrderDate]],Table1[[#This Row],[OrderDate]],Table1[[#This Row],[RequiredDate]])</f>
        <v>45589</v>
      </c>
      <c r="M620" s="3">
        <v>45589</v>
      </c>
      <c r="N620" t="s">
        <v>649</v>
      </c>
      <c r="O620" t="s">
        <v>657</v>
      </c>
      <c r="P620" t="s">
        <v>690</v>
      </c>
      <c r="Q620" t="s">
        <v>702</v>
      </c>
      <c r="R620" t="s">
        <v>710</v>
      </c>
      <c r="S620" t="s">
        <v>721</v>
      </c>
      <c r="T620" t="s">
        <v>727</v>
      </c>
      <c r="U620" t="s">
        <v>1350</v>
      </c>
      <c r="V620" s="8">
        <v>816.7</v>
      </c>
      <c r="W620" s="8">
        <v>1010.75</v>
      </c>
      <c r="X620" s="8">
        <f t="shared" si="32"/>
        <v>815.10700000000008</v>
      </c>
      <c r="Y620" s="8">
        <f t="shared" si="33"/>
        <v>1620.05</v>
      </c>
      <c r="AA620">
        <v>4.7E-2</v>
      </c>
      <c r="AB620">
        <f>IF(Table1[[#This Row],[DiscountPct]]&gt;0.2,1,0)</f>
        <v>0</v>
      </c>
      <c r="AC620" s="6">
        <v>43</v>
      </c>
      <c r="AD620" s="8">
        <f>Table1[[#This Row],[UnitPrice]]*Table1[[#This Row],[Quantity]]</f>
        <v>43462.25</v>
      </c>
      <c r="AE620" s="8">
        <f>Table1[[#This Row],[UnitCost]]*Table1[[#This Row],[Quantity]]</f>
        <v>35118.1</v>
      </c>
      <c r="AF620" s="8">
        <f>Table1[[#This Row],[GrossRevenue]]-Table1[[#This Row],[CostOfGoods]]</f>
        <v>8344.1500000000015</v>
      </c>
      <c r="AG620" s="8">
        <f>IF(Table1[[#This Row],[GrossRevenue]]=0,0,Table1[[#This Row],[GrossProfit]]/Table1[[#This Row],[GrossRevenue]])</f>
        <v>0.19198614889933222</v>
      </c>
    </row>
    <row r="621" spans="1:33" hidden="1" x14ac:dyDescent="0.45">
      <c r="A621" t="s">
        <v>634</v>
      </c>
      <c r="C621" s="3">
        <v>45177</v>
      </c>
      <c r="D621" s="3">
        <f>YEAR(Table1[[#This Row],[OrderDate]]) * 100 + MONTH(Table1[[#This Row],[OrderDate]])</f>
        <v>202309</v>
      </c>
      <c r="E621" s="3">
        <f>_xlfn.MINIFS(Table1[OrderMonthKey],Table1[Country],Table1[[#This Row],[Country]])</f>
        <v>202301</v>
      </c>
      <c r="F621" s="3">
        <f>Table1[[#This Row],[CountryFirstMonthKey]]</f>
        <v>202301</v>
      </c>
      <c r="G621" s="3">
        <f>12*(INT(Table1[[#This Row],[OrderMonthKey]]/100)-INT(Table1[[#This Row],[CohortMonthKey]]/100)) + (MOD(Table1[[#This Row],[OrderMonthKey]],100)-MOD(Table1[[#This Row],[CohortMonthKey]],100))</f>
        <v>8</v>
      </c>
      <c r="H621" s="3" t="str">
        <f>TEXT(Table1[[#This Row],[OrderDate]],"MMM-YYYY")</f>
        <v>Sep-2023</v>
      </c>
      <c r="I621" s="3" t="str">
        <f t="shared" si="31"/>
        <v>Q4-2024</v>
      </c>
      <c r="J621" s="3" t="str">
        <f>IF(Table1[[#This Row],[LeadTimeDays]]&lt;=7,"Yes","No")</f>
        <v>Yes</v>
      </c>
      <c r="K621" s="3">
        <f>_xlfn.DAYS(Table1[[#This Row],[CorrectedRequiredDate]],Table1[[#This Row],[OrderDate]])</f>
        <v>6</v>
      </c>
      <c r="L621" s="3">
        <f>IF(Table1[[#This Row],[RequiredDate]]&lt;Table1[[#This Row],[OrderDate]],Table1[[#This Row],[OrderDate]],Table1[[#This Row],[RequiredDate]])</f>
        <v>45183</v>
      </c>
      <c r="M621" s="3">
        <v>45183</v>
      </c>
      <c r="N621" t="s">
        <v>646</v>
      </c>
      <c r="O621" t="s">
        <v>650</v>
      </c>
      <c r="P621" t="s">
        <v>678</v>
      </c>
      <c r="Q621" t="s">
        <v>702</v>
      </c>
      <c r="R621" t="s">
        <v>711</v>
      </c>
      <c r="S621" t="s">
        <v>714</v>
      </c>
      <c r="T621" t="s">
        <v>733</v>
      </c>
      <c r="U621" t="s">
        <v>1351</v>
      </c>
      <c r="V621" s="8">
        <v>251.03</v>
      </c>
      <c r="W621" s="8">
        <v>411.48</v>
      </c>
      <c r="X621" s="8">
        <f t="shared" si="32"/>
        <v>815.10700000000008</v>
      </c>
      <c r="Y621" s="8">
        <f t="shared" si="33"/>
        <v>1620.05</v>
      </c>
      <c r="AA621">
        <v>0.16500000000000001</v>
      </c>
      <c r="AB621">
        <f>IF(Table1[[#This Row],[DiscountPct]]&gt;0.2,1,0)</f>
        <v>0</v>
      </c>
      <c r="AC621" s="6">
        <v>3</v>
      </c>
      <c r="AD621" s="8">
        <f>Table1[[#This Row],[UnitPrice]]*Table1[[#This Row],[Quantity]]</f>
        <v>1234.44</v>
      </c>
      <c r="AE621" s="8">
        <f>Table1[[#This Row],[UnitCost]]*Table1[[#This Row],[Quantity]]</f>
        <v>753.09</v>
      </c>
      <c r="AF621" s="8">
        <f>Table1[[#This Row],[GrossRevenue]]-Table1[[#This Row],[CostOfGoods]]</f>
        <v>481.35</v>
      </c>
      <c r="AG621" s="8">
        <f>IF(Table1[[#This Row],[GrossRevenue]]=0,0,Table1[[#This Row],[GrossProfit]]/Table1[[#This Row],[GrossRevenue]])</f>
        <v>0.38993389715174492</v>
      </c>
    </row>
    <row r="622" spans="1:33" x14ac:dyDescent="0.45">
      <c r="A622" t="s">
        <v>635</v>
      </c>
      <c r="B622">
        <v>1</v>
      </c>
      <c r="C622" s="3">
        <v>45764</v>
      </c>
      <c r="D622" s="6">
        <f>YEAR(Table1[[#This Row],[OrderDate]]) * 100 + MONTH(Table1[[#This Row],[OrderDate]])</f>
        <v>202504</v>
      </c>
      <c r="E622" s="6">
        <f>_xlfn.MINIFS(Table1[OrderMonthKey],Table1[Country],Table1[[#This Row],[Country]])</f>
        <v>202301</v>
      </c>
      <c r="F622" s="6">
        <f>Table1[[#This Row],[CountryFirstMonthKey]]</f>
        <v>202301</v>
      </c>
      <c r="G622" s="6">
        <f>12*(INT(Table1[[#This Row],[OrderMonthKey]]/100)-INT(Table1[[#This Row],[CohortMonthKey]]/100)) + (MOD(Table1[[#This Row],[OrderMonthKey]],100)-MOD(Table1[[#This Row],[CohortMonthKey]],100))</f>
        <v>27</v>
      </c>
      <c r="H622" s="3" t="str">
        <f>TEXT(Table1[[#This Row],[OrderDate]],"MMM-YYYY")</f>
        <v>Apr-2025</v>
      </c>
      <c r="I622" s="3" t="str">
        <f t="shared" si="31"/>
        <v>Q3-2023</v>
      </c>
      <c r="J622" s="26" t="str">
        <f>IF(Table1[[#This Row],[LeadTimeDays]]&lt;=7,"Yes","No")</f>
        <v>No</v>
      </c>
      <c r="K622" s="6">
        <f>_xlfn.DAYS(Table1[[#This Row],[CorrectedRequiredDate]],Table1[[#This Row],[OrderDate]])</f>
        <v>16</v>
      </c>
      <c r="L622" s="3">
        <f>IF(Table1[[#This Row],[RequiredDate]]&lt;Table1[[#This Row],[OrderDate]],Table1[[#This Row],[OrderDate]],Table1[[#This Row],[RequiredDate]])</f>
        <v>45780</v>
      </c>
      <c r="M622" s="3">
        <v>45780</v>
      </c>
      <c r="N622" t="s">
        <v>648</v>
      </c>
      <c r="O622" t="s">
        <v>655</v>
      </c>
      <c r="P622" t="s">
        <v>692</v>
      </c>
      <c r="Q622" t="s">
        <v>704</v>
      </c>
      <c r="R622" t="s">
        <v>709</v>
      </c>
      <c r="S622" t="s">
        <v>713</v>
      </c>
      <c r="T622" t="s">
        <v>729</v>
      </c>
      <c r="U622" t="s">
        <v>1352</v>
      </c>
      <c r="V622" s="8">
        <v>168.68</v>
      </c>
      <c r="W622" s="8">
        <v>413.34</v>
      </c>
      <c r="X622" s="8">
        <f t="shared" si="32"/>
        <v>815.10700000000008</v>
      </c>
      <c r="Y622" s="8">
        <f t="shared" si="33"/>
        <v>1620.05</v>
      </c>
      <c r="Z622" s="8" t="str">
        <f>IF(W621 &lt;= X620, "Low",IF(W621 &lt;= Y621, "Medium", "High"))</f>
        <v>Low</v>
      </c>
      <c r="AA622">
        <v>0.186</v>
      </c>
      <c r="AB622">
        <f>IF(Table1[[#This Row],[DiscountPct]]&gt;0.2,1,0)</f>
        <v>0</v>
      </c>
      <c r="AC622" s="6">
        <v>7</v>
      </c>
      <c r="AD622" s="8">
        <f>Table1[[#This Row],[UnitPrice]]*Table1[[#This Row],[Quantity]]</f>
        <v>2893.3799999999997</v>
      </c>
      <c r="AE622" s="8">
        <f>Table1[[#This Row],[UnitCost]]*Table1[[#This Row],[Quantity]]</f>
        <v>1180.76</v>
      </c>
      <c r="AF622" s="8">
        <f>Table1[[#This Row],[GrossRevenue]]-Table1[[#This Row],[CostOfGoods]]</f>
        <v>1712.6199999999997</v>
      </c>
      <c r="AG622" s="9">
        <f>IF(Table1[[#This Row],[GrossRevenue]]=0,0,Table1[[#This Row],[GrossProfit]]/Table1[[#This Row],[GrossRevenue]])</f>
        <v>0.59190980790632408</v>
      </c>
    </row>
    <row r="623" spans="1:33" x14ac:dyDescent="0.45">
      <c r="A623" t="s">
        <v>636</v>
      </c>
      <c r="B623">
        <v>1</v>
      </c>
      <c r="C623" s="3">
        <v>45501</v>
      </c>
      <c r="D623" s="6">
        <f>YEAR(Table1[[#This Row],[OrderDate]]) * 100 + MONTH(Table1[[#This Row],[OrderDate]])</f>
        <v>202407</v>
      </c>
      <c r="E623" s="6">
        <f>_xlfn.MINIFS(Table1[OrderMonthKey],Table1[Country],Table1[[#This Row],[Country]])</f>
        <v>202302</v>
      </c>
      <c r="F623" s="6">
        <f>Table1[[#This Row],[CountryFirstMonthKey]]</f>
        <v>202302</v>
      </c>
      <c r="G623" s="6">
        <f>12*(INT(Table1[[#This Row],[OrderMonthKey]]/100)-INT(Table1[[#This Row],[CohortMonthKey]]/100)) + (MOD(Table1[[#This Row],[OrderMonthKey]],100)-MOD(Table1[[#This Row],[CohortMonthKey]],100))</f>
        <v>17</v>
      </c>
      <c r="H623" s="3" t="str">
        <f>TEXT(Table1[[#This Row],[OrderDate]],"MMM-YYYY")</f>
        <v>Jul-2024</v>
      </c>
      <c r="I623" s="3" t="str">
        <f t="shared" si="31"/>
        <v>Q2-2025</v>
      </c>
      <c r="J623" s="26" t="str">
        <f>IF(Table1[[#This Row],[LeadTimeDays]]&lt;=7,"Yes","No")</f>
        <v>No</v>
      </c>
      <c r="K623" s="6">
        <f>_xlfn.DAYS(Table1[[#This Row],[CorrectedRequiredDate]],Table1[[#This Row],[OrderDate]])</f>
        <v>26</v>
      </c>
      <c r="L623" s="3">
        <f>IF(Table1[[#This Row],[RequiredDate]]&lt;Table1[[#This Row],[OrderDate]],Table1[[#This Row],[OrderDate]],Table1[[#This Row],[RequiredDate]])</f>
        <v>45527</v>
      </c>
      <c r="M623" s="3">
        <v>45527</v>
      </c>
      <c r="N623" t="s">
        <v>647</v>
      </c>
      <c r="O623" t="s">
        <v>654</v>
      </c>
      <c r="P623" t="s">
        <v>696</v>
      </c>
      <c r="Q623" t="s">
        <v>701</v>
      </c>
      <c r="R623" t="s">
        <v>707</v>
      </c>
      <c r="S623" t="s">
        <v>713</v>
      </c>
      <c r="T623" t="s">
        <v>729</v>
      </c>
      <c r="U623" t="s">
        <v>1353</v>
      </c>
      <c r="V623" s="8">
        <v>1339.24</v>
      </c>
      <c r="W623" s="8">
        <v>1558.89</v>
      </c>
      <c r="X623" s="8">
        <f t="shared" si="32"/>
        <v>815.10700000000008</v>
      </c>
      <c r="Y623" s="8">
        <f t="shared" si="33"/>
        <v>1620.05</v>
      </c>
      <c r="Z623" s="8" t="str">
        <f>IF(W622 &lt;= X621, "Low",IF(W622 &lt;= Y622, "Medium", "High"))</f>
        <v>Low</v>
      </c>
      <c r="AA623">
        <v>0.192</v>
      </c>
      <c r="AB623">
        <f>IF(Table1[[#This Row],[DiscountPct]]&gt;0.2,1,0)</f>
        <v>0</v>
      </c>
      <c r="AC623" s="6">
        <v>24</v>
      </c>
      <c r="AD623" s="8">
        <f>Table1[[#This Row],[UnitPrice]]*Table1[[#This Row],[Quantity]]</f>
        <v>37413.360000000001</v>
      </c>
      <c r="AE623" s="8">
        <f>Table1[[#This Row],[UnitCost]]*Table1[[#This Row],[Quantity]]</f>
        <v>32141.760000000002</v>
      </c>
      <c r="AF623" s="8">
        <f>Table1[[#This Row],[GrossRevenue]]-Table1[[#This Row],[CostOfGoods]]</f>
        <v>5271.5999999999985</v>
      </c>
      <c r="AG623" s="9">
        <f>IF(Table1[[#This Row],[GrossRevenue]]=0,0,Table1[[#This Row],[GrossProfit]]/Table1[[#This Row],[GrossRevenue]])</f>
        <v>0.14090153891551035</v>
      </c>
    </row>
    <row r="624" spans="1:33" hidden="1" x14ac:dyDescent="0.45">
      <c r="A624" t="s">
        <v>637</v>
      </c>
      <c r="C624" s="3">
        <v>45857</v>
      </c>
      <c r="D624" s="3">
        <f>YEAR(Table1[[#This Row],[OrderDate]]) * 100 + MONTH(Table1[[#This Row],[OrderDate]])</f>
        <v>202507</v>
      </c>
      <c r="E624" s="3">
        <f>_xlfn.MINIFS(Table1[OrderMonthKey],Table1[Country],Table1[[#This Row],[Country]])</f>
        <v>202301</v>
      </c>
      <c r="F624" s="3">
        <f>Table1[[#This Row],[CountryFirstMonthKey]]</f>
        <v>202301</v>
      </c>
      <c r="G624" s="3">
        <f>12*(INT(Table1[[#This Row],[OrderMonthKey]]/100)-INT(Table1[[#This Row],[CohortMonthKey]]/100)) + (MOD(Table1[[#This Row],[OrderMonthKey]],100)-MOD(Table1[[#This Row],[CohortMonthKey]],100))</f>
        <v>30</v>
      </c>
      <c r="H624" s="3" t="str">
        <f>TEXT(Table1[[#This Row],[OrderDate]],"MMM-YYYY")</f>
        <v>Jul-2025</v>
      </c>
      <c r="I624" s="3" t="str">
        <f t="shared" si="31"/>
        <v>Q3-2024</v>
      </c>
      <c r="J624" s="3" t="str">
        <f>IF(Table1[[#This Row],[LeadTimeDays]]&lt;=7,"Yes","No")</f>
        <v>No</v>
      </c>
      <c r="K624" s="3">
        <f>_xlfn.DAYS(Table1[[#This Row],[CorrectedRequiredDate]],Table1[[#This Row],[OrderDate]])</f>
        <v>12</v>
      </c>
      <c r="L624" s="3">
        <f>IF(Table1[[#This Row],[RequiredDate]]&lt;Table1[[#This Row],[OrderDate]],Table1[[#This Row],[OrderDate]],Table1[[#This Row],[RequiredDate]])</f>
        <v>45869</v>
      </c>
      <c r="M624" s="3">
        <v>45869</v>
      </c>
      <c r="N624" t="s">
        <v>646</v>
      </c>
      <c r="O624" t="s">
        <v>650</v>
      </c>
      <c r="P624" t="s">
        <v>664</v>
      </c>
      <c r="Q624" t="s">
        <v>705</v>
      </c>
      <c r="R624" t="s">
        <v>709</v>
      </c>
      <c r="S624" t="s">
        <v>719</v>
      </c>
      <c r="T624" t="s">
        <v>733</v>
      </c>
      <c r="U624" t="s">
        <v>1354</v>
      </c>
      <c r="V624" s="8">
        <v>619.64</v>
      </c>
      <c r="W624" s="8">
        <v>861.16</v>
      </c>
      <c r="X624" s="8">
        <f t="shared" si="32"/>
        <v>815.10700000000008</v>
      </c>
      <c r="Y624" s="8">
        <f t="shared" si="33"/>
        <v>1620.05</v>
      </c>
      <c r="AA624">
        <v>0.113</v>
      </c>
      <c r="AB624">
        <f>IF(Table1[[#This Row],[DiscountPct]]&gt;0.2,1,0)</f>
        <v>0</v>
      </c>
      <c r="AC624" s="6">
        <v>14</v>
      </c>
      <c r="AD624" s="8">
        <f>Table1[[#This Row],[UnitPrice]]*Table1[[#This Row],[Quantity]]</f>
        <v>12056.24</v>
      </c>
      <c r="AE624" s="8">
        <f>Table1[[#This Row],[UnitCost]]*Table1[[#This Row],[Quantity]]</f>
        <v>8674.9599999999991</v>
      </c>
      <c r="AF624" s="8">
        <f>Table1[[#This Row],[GrossRevenue]]-Table1[[#This Row],[CostOfGoods]]</f>
        <v>3381.2800000000007</v>
      </c>
      <c r="AG624" s="8">
        <f>IF(Table1[[#This Row],[GrossRevenue]]=0,0,Table1[[#This Row],[GrossProfit]]/Table1[[#This Row],[GrossRevenue]])</f>
        <v>0.28045891588090488</v>
      </c>
    </row>
    <row r="625" spans="1:33" x14ac:dyDescent="0.45">
      <c r="A625" t="s">
        <v>638</v>
      </c>
      <c r="B625">
        <v>1</v>
      </c>
      <c r="C625" s="3">
        <v>45141</v>
      </c>
      <c r="D625" s="6">
        <f>YEAR(Table1[[#This Row],[OrderDate]]) * 100 + MONTH(Table1[[#This Row],[OrderDate]])</f>
        <v>202308</v>
      </c>
      <c r="E625" s="6">
        <f>_xlfn.MINIFS(Table1[OrderMonthKey],Table1[Country],Table1[[#This Row],[Country]])</f>
        <v>202301</v>
      </c>
      <c r="F625" s="6">
        <f>Table1[[#This Row],[CountryFirstMonthKey]]</f>
        <v>202301</v>
      </c>
      <c r="G625" s="6">
        <f>12*(INT(Table1[[#This Row],[OrderMonthKey]]/100)-INT(Table1[[#This Row],[CohortMonthKey]]/100)) + (MOD(Table1[[#This Row],[OrderMonthKey]],100)-MOD(Table1[[#This Row],[CohortMonthKey]],100))</f>
        <v>7</v>
      </c>
      <c r="H625" s="3" t="str">
        <f>TEXT(Table1[[#This Row],[OrderDate]],"MMM-YYYY")</f>
        <v>Aug-2023</v>
      </c>
      <c r="I625" s="3" t="str">
        <f t="shared" si="31"/>
        <v>Q3-2025</v>
      </c>
      <c r="J625" s="26" t="str">
        <f>IF(Table1[[#This Row],[LeadTimeDays]]&lt;=7,"Yes","No")</f>
        <v>Yes</v>
      </c>
      <c r="K625" s="6">
        <f>_xlfn.DAYS(Table1[[#This Row],[CorrectedRequiredDate]],Table1[[#This Row],[OrderDate]])</f>
        <v>0</v>
      </c>
      <c r="L625" s="3">
        <f>IF(Table1[[#This Row],[RequiredDate]]&lt;Table1[[#This Row],[OrderDate]],Table1[[#This Row],[OrderDate]],Table1[[#This Row],[RequiredDate]])</f>
        <v>45141</v>
      </c>
      <c r="M625" s="3">
        <v>45140</v>
      </c>
      <c r="N625" t="s">
        <v>647</v>
      </c>
      <c r="O625" t="s">
        <v>659</v>
      </c>
      <c r="P625" t="s">
        <v>685</v>
      </c>
      <c r="Q625" t="s">
        <v>703</v>
      </c>
      <c r="R625" t="s">
        <v>711</v>
      </c>
      <c r="S625" t="s">
        <v>713</v>
      </c>
      <c r="T625" t="s">
        <v>729</v>
      </c>
      <c r="U625" t="s">
        <v>1355</v>
      </c>
      <c r="V625" s="8">
        <v>1021.97</v>
      </c>
      <c r="W625" s="8">
        <v>2296.25</v>
      </c>
      <c r="X625" s="8">
        <f t="shared" si="32"/>
        <v>815.10700000000008</v>
      </c>
      <c r="Y625" s="8">
        <f t="shared" si="33"/>
        <v>1620.05</v>
      </c>
      <c r="Z625" s="8" t="str">
        <f>IF(W624 &lt;= X623, "Low",IF(W624 &lt;= Y624, "Medium", "High"))</f>
        <v>Medium</v>
      </c>
      <c r="AA625">
        <v>0.161</v>
      </c>
      <c r="AB625">
        <f>IF(Table1[[#This Row],[DiscountPct]]&gt;0.2,1,0)</f>
        <v>0</v>
      </c>
      <c r="AC625" s="6">
        <v>26</v>
      </c>
      <c r="AD625" s="8">
        <f>Table1[[#This Row],[UnitPrice]]*Table1[[#This Row],[Quantity]]</f>
        <v>59702.5</v>
      </c>
      <c r="AE625" s="8">
        <f>Table1[[#This Row],[UnitCost]]*Table1[[#This Row],[Quantity]]</f>
        <v>26571.22</v>
      </c>
      <c r="AF625" s="8">
        <f>Table1[[#This Row],[GrossRevenue]]-Table1[[#This Row],[CostOfGoods]]</f>
        <v>33131.279999999999</v>
      </c>
      <c r="AG625" s="9">
        <f>IF(Table1[[#This Row],[GrossRevenue]]=0,0,Table1[[#This Row],[GrossProfit]]/Table1[[#This Row],[GrossRevenue]])</f>
        <v>0.55493957539466521</v>
      </c>
    </row>
    <row r="626" spans="1:33" x14ac:dyDescent="0.45">
      <c r="A626" t="s">
        <v>639</v>
      </c>
      <c r="B626">
        <v>1</v>
      </c>
      <c r="C626" s="3">
        <v>45249</v>
      </c>
      <c r="D626" s="6">
        <f>YEAR(Table1[[#This Row],[OrderDate]]) * 100 + MONTH(Table1[[#This Row],[OrderDate]])</f>
        <v>202311</v>
      </c>
      <c r="E626" s="6">
        <f>_xlfn.MINIFS(Table1[OrderMonthKey],Table1[Country],Table1[[#This Row],[Country]])</f>
        <v>202302</v>
      </c>
      <c r="F626" s="6">
        <f>Table1[[#This Row],[CountryFirstMonthKey]]</f>
        <v>202302</v>
      </c>
      <c r="G626" s="6">
        <f>12*(INT(Table1[[#This Row],[OrderMonthKey]]/100)-INT(Table1[[#This Row],[CohortMonthKey]]/100)) + (MOD(Table1[[#This Row],[OrderMonthKey]],100)-MOD(Table1[[#This Row],[CohortMonthKey]],100))</f>
        <v>9</v>
      </c>
      <c r="H626" s="3" t="str">
        <f>TEXT(Table1[[#This Row],[OrderDate]],"MMM-YYYY")</f>
        <v>Nov-2023</v>
      </c>
      <c r="I626" s="3" t="str">
        <f t="shared" si="31"/>
        <v>Q3-2023</v>
      </c>
      <c r="J626" s="26" t="str">
        <f>IF(Table1[[#This Row],[LeadTimeDays]]&lt;=7,"Yes","No")</f>
        <v>No</v>
      </c>
      <c r="K626" s="6">
        <f>_xlfn.DAYS(Table1[[#This Row],[CorrectedRequiredDate]],Table1[[#This Row],[OrderDate]])</f>
        <v>23</v>
      </c>
      <c r="L626" s="3">
        <f>IF(Table1[[#This Row],[RequiredDate]]&lt;Table1[[#This Row],[OrderDate]],Table1[[#This Row],[OrderDate]],Table1[[#This Row],[RequiredDate]])</f>
        <v>45272</v>
      </c>
      <c r="M626" s="3">
        <v>45272</v>
      </c>
      <c r="N626" t="s">
        <v>647</v>
      </c>
      <c r="O626" t="s">
        <v>654</v>
      </c>
      <c r="P626" t="s">
        <v>680</v>
      </c>
      <c r="Q626" t="s">
        <v>705</v>
      </c>
      <c r="R626" t="s">
        <v>711</v>
      </c>
      <c r="S626" t="s">
        <v>712</v>
      </c>
      <c r="T626" t="s">
        <v>729</v>
      </c>
      <c r="U626" t="s">
        <v>1356</v>
      </c>
      <c r="V626" s="8">
        <v>1349.04</v>
      </c>
      <c r="W626" s="8">
        <v>2636.6</v>
      </c>
      <c r="X626" s="8">
        <f t="shared" si="32"/>
        <v>815.10700000000008</v>
      </c>
      <c r="Y626" s="8">
        <f t="shared" si="33"/>
        <v>1620.05</v>
      </c>
      <c r="Z626" s="8" t="str">
        <f>IF(W625 &lt;= X624, "Low",IF(W625 &lt;= Y625, "Medium", "High"))</f>
        <v>High</v>
      </c>
      <c r="AA626">
        <v>0.114</v>
      </c>
      <c r="AB626">
        <f>IF(Table1[[#This Row],[DiscountPct]]&gt;0.2,1,0)</f>
        <v>0</v>
      </c>
      <c r="AC626" s="6">
        <v>14</v>
      </c>
      <c r="AD626" s="8">
        <f>Table1[[#This Row],[UnitPrice]]*Table1[[#This Row],[Quantity]]</f>
        <v>36912.400000000001</v>
      </c>
      <c r="AE626" s="8">
        <f>Table1[[#This Row],[UnitCost]]*Table1[[#This Row],[Quantity]]</f>
        <v>18886.559999999998</v>
      </c>
      <c r="AF626" s="8">
        <f>Table1[[#This Row],[GrossRevenue]]-Table1[[#This Row],[CostOfGoods]]</f>
        <v>18025.840000000004</v>
      </c>
      <c r="AG626" s="9">
        <f>IF(Table1[[#This Row],[GrossRevenue]]=0,0,Table1[[#This Row],[GrossProfit]]/Table1[[#This Row],[GrossRevenue]])</f>
        <v>0.48834104528559519</v>
      </c>
    </row>
    <row r="627" spans="1:33" x14ac:dyDescent="0.45">
      <c r="A627" t="s">
        <v>640</v>
      </c>
      <c r="B627">
        <v>1</v>
      </c>
      <c r="C627" s="3">
        <v>45282</v>
      </c>
      <c r="D627" s="6">
        <f>YEAR(Table1[[#This Row],[OrderDate]]) * 100 + MONTH(Table1[[#This Row],[OrderDate]])</f>
        <v>202312</v>
      </c>
      <c r="E627" s="6">
        <f>_xlfn.MINIFS(Table1[OrderMonthKey],Table1[Country],Table1[[#This Row],[Country]])</f>
        <v>202302</v>
      </c>
      <c r="F627" s="6">
        <f>Table1[[#This Row],[CountryFirstMonthKey]]</f>
        <v>202302</v>
      </c>
      <c r="G627" s="6">
        <f>12*(INT(Table1[[#This Row],[OrderMonthKey]]/100)-INT(Table1[[#This Row],[CohortMonthKey]]/100)) + (MOD(Table1[[#This Row],[OrderMonthKey]],100)-MOD(Table1[[#This Row],[CohortMonthKey]],100))</f>
        <v>10</v>
      </c>
      <c r="H627" s="3" t="str">
        <f>TEXT(Table1[[#This Row],[OrderDate]],"MMM-YYYY")</f>
        <v>Dec-2023</v>
      </c>
      <c r="I627" s="3" t="str">
        <f t="shared" si="31"/>
        <v>Q4-2023</v>
      </c>
      <c r="J627" s="26" t="str">
        <f>IF(Table1[[#This Row],[LeadTimeDays]]&lt;=7,"Yes","No")</f>
        <v>No</v>
      </c>
      <c r="K627" s="6">
        <f>_xlfn.DAYS(Table1[[#This Row],[CorrectedRequiredDate]],Table1[[#This Row],[OrderDate]])</f>
        <v>25</v>
      </c>
      <c r="L627" s="3">
        <f>IF(Table1[[#This Row],[RequiredDate]]&lt;Table1[[#This Row],[OrderDate]],Table1[[#This Row],[OrderDate]],Table1[[#This Row],[RequiredDate]])</f>
        <v>45307</v>
      </c>
      <c r="M627" s="3">
        <v>45307</v>
      </c>
      <c r="N627" t="s">
        <v>647</v>
      </c>
      <c r="O627" t="s">
        <v>654</v>
      </c>
      <c r="P627" t="s">
        <v>696</v>
      </c>
      <c r="Q627" t="s">
        <v>705</v>
      </c>
      <c r="R627" t="s">
        <v>707</v>
      </c>
      <c r="S627" t="s">
        <v>720</v>
      </c>
      <c r="T627" t="s">
        <v>727</v>
      </c>
      <c r="U627" t="s">
        <v>1357</v>
      </c>
      <c r="V627" s="8">
        <v>1346.81</v>
      </c>
      <c r="W627" s="8">
        <v>978.09</v>
      </c>
      <c r="X627" s="8">
        <f t="shared" si="32"/>
        <v>815.10700000000008</v>
      </c>
      <c r="Y627" s="8">
        <f t="shared" si="33"/>
        <v>1620.05</v>
      </c>
      <c r="Z627" s="8" t="str">
        <f>IF(W626 &lt;= X625, "Low",IF(W626 &lt;= Y626, "Medium", "High"))</f>
        <v>High</v>
      </c>
      <c r="AA627">
        <v>0.159</v>
      </c>
      <c r="AB627">
        <f>IF(Table1[[#This Row],[DiscountPct]]&gt;0.2,1,0)</f>
        <v>0</v>
      </c>
      <c r="AC627" s="6">
        <v>17</v>
      </c>
      <c r="AD627" s="8">
        <f>Table1[[#This Row],[UnitPrice]]*Table1[[#This Row],[Quantity]]</f>
        <v>16627.53</v>
      </c>
      <c r="AE627" s="8">
        <f>Table1[[#This Row],[UnitCost]]*Table1[[#This Row],[Quantity]]</f>
        <v>22895.77</v>
      </c>
      <c r="AF627" s="8">
        <f>Table1[[#This Row],[GrossRevenue]]-Table1[[#This Row],[CostOfGoods]]</f>
        <v>-6268.2400000000016</v>
      </c>
      <c r="AG627" s="9">
        <f>IF(Table1[[#This Row],[GrossRevenue]]=0,0,Table1[[#This Row],[GrossProfit]]/Table1[[#This Row],[GrossRevenue]])</f>
        <v>-0.37697962355202497</v>
      </c>
    </row>
    <row r="628" spans="1:33" x14ac:dyDescent="0.45">
      <c r="A628" t="s">
        <v>641</v>
      </c>
      <c r="B628">
        <v>1</v>
      </c>
      <c r="C628" s="3">
        <v>45141</v>
      </c>
      <c r="D628" s="6">
        <f>YEAR(Table1[[#This Row],[OrderDate]]) * 100 + MONTH(Table1[[#This Row],[OrderDate]])</f>
        <v>202308</v>
      </c>
      <c r="E628" s="6">
        <f>_xlfn.MINIFS(Table1[OrderMonthKey],Table1[Country],Table1[[#This Row],[Country]])</f>
        <v>202301</v>
      </c>
      <c r="F628" s="6">
        <f>Table1[[#This Row],[CountryFirstMonthKey]]</f>
        <v>202301</v>
      </c>
      <c r="G628" s="6">
        <f>12*(INT(Table1[[#This Row],[OrderMonthKey]]/100)-INT(Table1[[#This Row],[CohortMonthKey]]/100)) + (MOD(Table1[[#This Row],[OrderMonthKey]],100)-MOD(Table1[[#This Row],[CohortMonthKey]],100))</f>
        <v>7</v>
      </c>
      <c r="H628" s="3" t="str">
        <f>TEXT(Table1[[#This Row],[OrderDate]],"MMM-YYYY")</f>
        <v>Aug-2023</v>
      </c>
      <c r="I628" s="3" t="str">
        <f t="shared" si="31"/>
        <v>Q4-2023</v>
      </c>
      <c r="J628" s="26" t="str">
        <f>IF(Table1[[#This Row],[LeadTimeDays]]&lt;=7,"Yes","No")</f>
        <v>No</v>
      </c>
      <c r="K628" s="6">
        <f>_xlfn.DAYS(Table1[[#This Row],[CorrectedRequiredDate]],Table1[[#This Row],[OrderDate]])</f>
        <v>27</v>
      </c>
      <c r="L628" s="3">
        <f>IF(Table1[[#This Row],[RequiredDate]]&lt;Table1[[#This Row],[OrderDate]],Table1[[#This Row],[OrderDate]],Table1[[#This Row],[RequiredDate]])</f>
        <v>45168</v>
      </c>
      <c r="M628" s="3">
        <v>45168</v>
      </c>
      <c r="N628" t="s">
        <v>647</v>
      </c>
      <c r="O628" t="s">
        <v>659</v>
      </c>
      <c r="P628" t="s">
        <v>685</v>
      </c>
      <c r="Q628" t="s">
        <v>704</v>
      </c>
      <c r="R628" t="s">
        <v>710</v>
      </c>
      <c r="S628" t="s">
        <v>725</v>
      </c>
      <c r="T628" t="s">
        <v>732</v>
      </c>
      <c r="U628" t="s">
        <v>1358</v>
      </c>
      <c r="V628" s="8">
        <v>226.04</v>
      </c>
      <c r="W628" s="8">
        <v>545.72</v>
      </c>
      <c r="X628" s="8">
        <f t="shared" si="32"/>
        <v>815.10700000000008</v>
      </c>
      <c r="Y628" s="8">
        <f t="shared" si="33"/>
        <v>1620.05</v>
      </c>
      <c r="Z628" s="8" t="str">
        <f>IF(W627 &lt;= X626, "Low",IF(W627 &lt;= Y627, "Medium", "High"))</f>
        <v>Medium</v>
      </c>
      <c r="AA628">
        <v>0.151</v>
      </c>
      <c r="AB628">
        <f>IF(Table1[[#This Row],[DiscountPct]]&gt;0.2,1,0)</f>
        <v>0</v>
      </c>
      <c r="AC628" s="6">
        <v>11</v>
      </c>
      <c r="AD628" s="8">
        <f>Table1[[#This Row],[UnitPrice]]*Table1[[#This Row],[Quantity]]</f>
        <v>6002.92</v>
      </c>
      <c r="AE628" s="8">
        <f>Table1[[#This Row],[UnitCost]]*Table1[[#This Row],[Quantity]]</f>
        <v>2486.44</v>
      </c>
      <c r="AF628" s="8">
        <f>Table1[[#This Row],[GrossRevenue]]-Table1[[#This Row],[CostOfGoods]]</f>
        <v>3516.48</v>
      </c>
      <c r="AG628" s="9">
        <f>IF(Table1[[#This Row],[GrossRevenue]]=0,0,Table1[[#This Row],[GrossProfit]]/Table1[[#This Row],[GrossRevenue]])</f>
        <v>0.58579491314227072</v>
      </c>
    </row>
    <row r="629" spans="1:33" x14ac:dyDescent="0.45">
      <c r="A629" t="s">
        <v>642</v>
      </c>
      <c r="B629">
        <v>1</v>
      </c>
      <c r="C629" s="3">
        <v>45100</v>
      </c>
      <c r="D629" s="6">
        <f>YEAR(Table1[[#This Row],[OrderDate]]) * 100 + MONTH(Table1[[#This Row],[OrderDate]])</f>
        <v>202306</v>
      </c>
      <c r="E629" s="6">
        <f>_xlfn.MINIFS(Table1[OrderMonthKey],Table1[Country],Table1[[#This Row],[Country]])</f>
        <v>202301</v>
      </c>
      <c r="F629" s="6">
        <f>Table1[[#This Row],[CountryFirstMonthKey]]</f>
        <v>202301</v>
      </c>
      <c r="G629" s="6">
        <f>12*(INT(Table1[[#This Row],[OrderMonthKey]]/100)-INT(Table1[[#This Row],[CohortMonthKey]]/100)) + (MOD(Table1[[#This Row],[OrderMonthKey]],100)-MOD(Table1[[#This Row],[CohortMonthKey]],100))</f>
        <v>5</v>
      </c>
      <c r="H629" s="3" t="str">
        <f>TEXT(Table1[[#This Row],[OrderDate]],"MMM-YYYY")</f>
        <v>Jun-2023</v>
      </c>
      <c r="I629" s="3" t="str">
        <f t="shared" si="31"/>
        <v>Q3-2023</v>
      </c>
      <c r="J629" s="26" t="str">
        <f>IF(Table1[[#This Row],[LeadTimeDays]]&lt;=7,"Yes","No")</f>
        <v>No</v>
      </c>
      <c r="K629" s="6">
        <f>_xlfn.DAYS(Table1[[#This Row],[CorrectedRequiredDate]],Table1[[#This Row],[OrderDate]])</f>
        <v>25</v>
      </c>
      <c r="L629" s="3">
        <f>IF(Table1[[#This Row],[RequiredDate]]&lt;Table1[[#This Row],[OrderDate]],Table1[[#This Row],[OrderDate]],Table1[[#This Row],[RequiredDate]])</f>
        <v>45125</v>
      </c>
      <c r="M629" s="3">
        <v>45125</v>
      </c>
      <c r="N629" t="s">
        <v>648</v>
      </c>
      <c r="O629" t="s">
        <v>653</v>
      </c>
      <c r="P629" t="s">
        <v>688</v>
      </c>
      <c r="Q629" t="s">
        <v>706</v>
      </c>
      <c r="R629" t="s">
        <v>708</v>
      </c>
      <c r="S629" t="s">
        <v>725</v>
      </c>
      <c r="T629" t="s">
        <v>730</v>
      </c>
      <c r="U629" t="s">
        <v>1359</v>
      </c>
      <c r="V629" s="8">
        <v>807.02</v>
      </c>
      <c r="W629" s="8">
        <v>1435.54</v>
      </c>
      <c r="X629" s="8">
        <f t="shared" si="32"/>
        <v>815.10700000000008</v>
      </c>
      <c r="Y629" s="8">
        <f t="shared" si="33"/>
        <v>1620.05</v>
      </c>
      <c r="Z629" s="8" t="str">
        <f>IF(W628 &lt;= X627, "Low",IF(W628 &lt;= Y628, "Medium", "High"))</f>
        <v>Low</v>
      </c>
      <c r="AA629">
        <v>0</v>
      </c>
      <c r="AB629">
        <f>IF(Table1[[#This Row],[DiscountPct]]&gt;0.2,1,0)</f>
        <v>0</v>
      </c>
      <c r="AC629" s="6">
        <v>23</v>
      </c>
      <c r="AD629" s="8">
        <f>Table1[[#This Row],[UnitPrice]]*Table1[[#This Row],[Quantity]]</f>
        <v>33017.42</v>
      </c>
      <c r="AE629" s="8">
        <f>Table1[[#This Row],[UnitCost]]*Table1[[#This Row],[Quantity]]</f>
        <v>18561.46</v>
      </c>
      <c r="AF629" s="8">
        <f>Table1[[#This Row],[GrossRevenue]]-Table1[[#This Row],[CostOfGoods]]</f>
        <v>14455.96</v>
      </c>
      <c r="AG629" s="9">
        <f>IF(Table1[[#This Row],[GrossRevenue]]=0,0,Table1[[#This Row],[GrossProfit]]/Table1[[#This Row],[GrossRevenue]])</f>
        <v>0.43782827368098415</v>
      </c>
    </row>
    <row r="630" spans="1:33" x14ac:dyDescent="0.45">
      <c r="A630" t="s">
        <v>643</v>
      </c>
      <c r="B630">
        <v>1</v>
      </c>
      <c r="C630" s="3">
        <v>45267</v>
      </c>
      <c r="D630" s="6">
        <f>YEAR(Table1[[#This Row],[OrderDate]]) * 100 + MONTH(Table1[[#This Row],[OrderDate]])</f>
        <v>202312</v>
      </c>
      <c r="E630" s="6">
        <f>_xlfn.MINIFS(Table1[OrderMonthKey],Table1[Country],Table1[[#This Row],[Country]])</f>
        <v>202301</v>
      </c>
      <c r="F630" s="6">
        <f>Table1[[#This Row],[CountryFirstMonthKey]]</f>
        <v>202301</v>
      </c>
      <c r="G630" s="6">
        <f>12*(INT(Table1[[#This Row],[OrderMonthKey]]/100)-INT(Table1[[#This Row],[CohortMonthKey]]/100)) + (MOD(Table1[[#This Row],[OrderMonthKey]],100)-MOD(Table1[[#This Row],[CohortMonthKey]],100))</f>
        <v>11</v>
      </c>
      <c r="H630" s="3" t="str">
        <f>TEXT(Table1[[#This Row],[OrderDate]],"MMM-YYYY")</f>
        <v>Dec-2023</v>
      </c>
      <c r="I630" s="3" t="str">
        <f t="shared" si="31"/>
        <v>Q2-2023</v>
      </c>
      <c r="J630" s="3" t="str">
        <f>IF(Table1[[#This Row],[LeadTimeDays]]&lt;=7,"Yes","No")</f>
        <v>No</v>
      </c>
      <c r="K630" s="6">
        <f>_xlfn.DAYS(Table1[[#This Row],[CorrectedRequiredDate]],Table1[[#This Row],[OrderDate]])</f>
        <v>26</v>
      </c>
      <c r="L630" s="3">
        <f>IF(Table1[[#This Row],[RequiredDate]]&lt;Table1[[#This Row],[OrderDate]],Table1[[#This Row],[OrderDate]],Table1[[#This Row],[RequiredDate]])</f>
        <v>45293</v>
      </c>
      <c r="M630" s="3">
        <v>45293</v>
      </c>
      <c r="N630" t="s">
        <v>649</v>
      </c>
      <c r="O630" t="s">
        <v>656</v>
      </c>
      <c r="P630" t="s">
        <v>698</v>
      </c>
      <c r="Q630" t="s">
        <v>706</v>
      </c>
      <c r="R630" t="s">
        <v>710</v>
      </c>
      <c r="S630" t="s">
        <v>718</v>
      </c>
      <c r="T630" t="s">
        <v>727</v>
      </c>
      <c r="U630" t="s">
        <v>1360</v>
      </c>
      <c r="V630" s="8">
        <v>1071.99</v>
      </c>
      <c r="W630" s="8">
        <v>2397.3000000000002</v>
      </c>
      <c r="X630" s="8">
        <f t="shared" si="32"/>
        <v>815.10700000000008</v>
      </c>
      <c r="Y630" s="8">
        <f t="shared" si="33"/>
        <v>1620.05</v>
      </c>
      <c r="Z630" s="8" t="str">
        <f t="shared" ref="Z630:Z632" si="34">IF(W629 &lt;= X628, "Low",IF(W629 &lt;= Y629, "Medium", "High"))</f>
        <v>Medium</v>
      </c>
      <c r="AA630">
        <v>6.2E-2</v>
      </c>
      <c r="AB630">
        <f>IF(Table1[[#This Row],[DiscountPct]]&gt;0.2,1,0)</f>
        <v>0</v>
      </c>
      <c r="AC630" s="6">
        <v>18</v>
      </c>
      <c r="AD630" s="8">
        <f>Table1[[#This Row],[UnitPrice]]*Table1[[#This Row],[Quantity]]</f>
        <v>43151.4</v>
      </c>
      <c r="AE630" s="8">
        <f>Table1[[#This Row],[UnitCost]]*Table1[[#This Row],[Quantity]]</f>
        <v>19295.82</v>
      </c>
      <c r="AF630" s="8">
        <f>Table1[[#This Row],[GrossRevenue]]-Table1[[#This Row],[CostOfGoods]]</f>
        <v>23855.58</v>
      </c>
      <c r="AG630" s="9">
        <f>IF(Table1[[#This Row],[GrossRevenue]]=0,0,Table1[[#This Row],[GrossProfit]]/Table1[[#This Row],[GrossRevenue]])</f>
        <v>0.55283443874358651</v>
      </c>
    </row>
    <row r="631" spans="1:33" x14ac:dyDescent="0.45">
      <c r="A631" t="s">
        <v>644</v>
      </c>
      <c r="B631">
        <v>1</v>
      </c>
      <c r="C631" s="3">
        <v>45249</v>
      </c>
      <c r="D631" s="6">
        <f>YEAR(Table1[[#This Row],[OrderDate]]) * 100 + MONTH(Table1[[#This Row],[OrderDate]])</f>
        <v>202311</v>
      </c>
      <c r="E631" s="6">
        <f>_xlfn.MINIFS(Table1[OrderMonthKey],Table1[Country],Table1[[#This Row],[Country]])</f>
        <v>202303</v>
      </c>
      <c r="F631" s="6">
        <f>Table1[[#This Row],[CountryFirstMonthKey]]</f>
        <v>202303</v>
      </c>
      <c r="G631" s="6">
        <f>12*(INT(Table1[[#This Row],[OrderMonthKey]]/100)-INT(Table1[[#This Row],[CohortMonthKey]]/100)) + (MOD(Table1[[#This Row],[OrderMonthKey]],100)-MOD(Table1[[#This Row],[CohortMonthKey]],100))</f>
        <v>8</v>
      </c>
      <c r="H631" s="3" t="str">
        <f>TEXT(Table1[[#This Row],[OrderDate]],"MMM-YYYY")</f>
        <v>Nov-2023</v>
      </c>
      <c r="I631" s="3" t="str">
        <f t="shared" si="31"/>
        <v>Q4-2023</v>
      </c>
      <c r="J631" s="3" t="str">
        <f>IF(Table1[[#This Row],[LeadTimeDays]]&lt;=7,"Yes","No")</f>
        <v>No</v>
      </c>
      <c r="K631" s="6">
        <f>_xlfn.DAYS(Table1[[#This Row],[CorrectedRequiredDate]],Table1[[#This Row],[OrderDate]])</f>
        <v>30</v>
      </c>
      <c r="L631" s="3">
        <f>IF(Table1[[#This Row],[RequiredDate]]&lt;Table1[[#This Row],[OrderDate]],Table1[[#This Row],[OrderDate]],Table1[[#This Row],[RequiredDate]])</f>
        <v>45279</v>
      </c>
      <c r="M631" s="3">
        <v>45279</v>
      </c>
      <c r="N631" t="s">
        <v>647</v>
      </c>
      <c r="O631" t="s">
        <v>652</v>
      </c>
      <c r="P631" t="s">
        <v>694</v>
      </c>
      <c r="Q631" t="s">
        <v>704</v>
      </c>
      <c r="R631" t="s">
        <v>707</v>
      </c>
      <c r="T631" t="s">
        <v>730</v>
      </c>
      <c r="U631" t="s">
        <v>1361</v>
      </c>
      <c r="V631" s="8">
        <v>807.11</v>
      </c>
      <c r="W631" s="8">
        <v>1853.86</v>
      </c>
      <c r="X631" s="8">
        <f t="shared" si="32"/>
        <v>815.10700000000008</v>
      </c>
      <c r="Y631" s="8">
        <f t="shared" si="33"/>
        <v>1620.05</v>
      </c>
      <c r="Z631" s="8" t="str">
        <f t="shared" si="34"/>
        <v>High</v>
      </c>
      <c r="AA631">
        <v>0.13900000000000001</v>
      </c>
      <c r="AB631">
        <f>IF(Table1[[#This Row],[DiscountPct]]&gt;0.2,1,0)</f>
        <v>0</v>
      </c>
      <c r="AC631" s="6">
        <v>8</v>
      </c>
      <c r="AD631" s="8">
        <f>Table1[[#This Row],[UnitPrice]]*Table1[[#This Row],[Quantity]]</f>
        <v>14830.88</v>
      </c>
      <c r="AE631" s="8">
        <f>Table1[[#This Row],[UnitCost]]*Table1[[#This Row],[Quantity]]</f>
        <v>6456.88</v>
      </c>
      <c r="AF631" s="8">
        <f>Table1[[#This Row],[GrossRevenue]]-Table1[[#This Row],[CostOfGoods]]</f>
        <v>8374</v>
      </c>
      <c r="AG631" s="9">
        <f>IF(Table1[[#This Row],[GrossRevenue]]=0,0,Table1[[#This Row],[GrossProfit]]/Table1[[#This Row],[GrossRevenue]])</f>
        <v>0.56463271228679623</v>
      </c>
    </row>
    <row r="632" spans="1:33" x14ac:dyDescent="0.45">
      <c r="A632" t="s">
        <v>645</v>
      </c>
      <c r="B632">
        <v>1</v>
      </c>
      <c r="C632" s="3">
        <v>45716</v>
      </c>
      <c r="D632" s="6">
        <f>YEAR(Table1[[#This Row],[OrderDate]]) * 100 + MONTH(Table1[[#This Row],[OrderDate]])</f>
        <v>202502</v>
      </c>
      <c r="E632" s="6">
        <f>_xlfn.MINIFS(Table1[OrderMonthKey],Table1[Country],Table1[[#This Row],[Country]])</f>
        <v>202303</v>
      </c>
      <c r="F632" s="6">
        <f>Table1[[#This Row],[CountryFirstMonthKey]]</f>
        <v>202303</v>
      </c>
      <c r="G632" s="6">
        <f>12*(INT(Table1[[#This Row],[OrderMonthKey]]/100)-INT(Table1[[#This Row],[CohortMonthKey]]/100)) + (MOD(Table1[[#This Row],[OrderMonthKey]],100)-MOD(Table1[[#This Row],[CohortMonthKey]],100))</f>
        <v>23</v>
      </c>
      <c r="H632" s="3" t="str">
        <f>TEXT(Table1[[#This Row],[OrderDate]],"MMM-YYYY")</f>
        <v>Feb-2025</v>
      </c>
      <c r="I632" s="3" t="str">
        <f t="shared" si="31"/>
        <v>Q4-2023</v>
      </c>
      <c r="J632" s="3" t="str">
        <f>IF(Table1[[#This Row],[LeadTimeDays]]&lt;=7,"Yes","No")</f>
        <v>No</v>
      </c>
      <c r="K632" s="6">
        <f>_xlfn.DAYS(Table1[[#This Row],[CorrectedRequiredDate]],Table1[[#This Row],[OrderDate]])</f>
        <v>10</v>
      </c>
      <c r="L632" s="3">
        <f>IF(Table1[[#This Row],[RequiredDate]]&lt;Table1[[#This Row],[OrderDate]],Table1[[#This Row],[OrderDate]],Table1[[#This Row],[RequiredDate]])</f>
        <v>45726</v>
      </c>
      <c r="M632" s="3">
        <v>45726</v>
      </c>
      <c r="N632" t="s">
        <v>647</v>
      </c>
      <c r="O632" t="s">
        <v>652</v>
      </c>
      <c r="P632" t="s">
        <v>666</v>
      </c>
      <c r="Q632" t="s">
        <v>702</v>
      </c>
      <c r="R632" t="s">
        <v>710</v>
      </c>
      <c r="S632" t="s">
        <v>725</v>
      </c>
      <c r="T632" t="s">
        <v>731</v>
      </c>
      <c r="U632" t="s">
        <v>1362</v>
      </c>
      <c r="V632" s="8">
        <v>51.86</v>
      </c>
      <c r="W632" s="8">
        <v>45.98</v>
      </c>
      <c r="X632" s="8">
        <f t="shared" si="32"/>
        <v>815.10700000000008</v>
      </c>
      <c r="Y632" s="8">
        <f t="shared" si="33"/>
        <v>1620.05</v>
      </c>
      <c r="Z632" s="8" t="str">
        <f t="shared" si="34"/>
        <v>High</v>
      </c>
      <c r="AA632">
        <v>0.17299999999999999</v>
      </c>
      <c r="AB632">
        <f>IF(Table1[[#This Row],[DiscountPct]]&gt;0.2,1,0)</f>
        <v>0</v>
      </c>
      <c r="AC632" s="6">
        <v>7</v>
      </c>
      <c r="AD632" s="8">
        <f>Table1[[#This Row],[UnitPrice]]*Table1[[#This Row],[Quantity]]</f>
        <v>321.85999999999996</v>
      </c>
      <c r="AE632" s="8">
        <f>Table1[[#This Row],[UnitCost]]*Table1[[#This Row],[Quantity]]</f>
        <v>363.02</v>
      </c>
      <c r="AF632" s="8">
        <f>Table1[[#This Row],[GrossRevenue]]-Table1[[#This Row],[CostOfGoods]]</f>
        <v>-41.160000000000025</v>
      </c>
      <c r="AG632" s="9">
        <f>IF(Table1[[#This Row],[GrossRevenue]]=0,0,Table1[[#This Row],[GrossProfit]]/Table1[[#This Row],[GrossRevenue]])</f>
        <v>-0.12788168769030023</v>
      </c>
    </row>
    <row r="633" spans="1:33" x14ac:dyDescent="0.45">
      <c r="A633" t="s">
        <v>1491</v>
      </c>
      <c r="C633"/>
      <c r="D633"/>
      <c r="E633"/>
      <c r="F633"/>
      <c r="G633"/>
      <c r="H633"/>
      <c r="I633"/>
      <c r="J633"/>
      <c r="K633"/>
      <c r="L633"/>
      <c r="M633"/>
      <c r="V633" s="8">
        <f>SUBTOTAL(101,Table1[UnitCost])</f>
        <v>796.48154088050228</v>
      </c>
      <c r="W633"/>
      <c r="X633"/>
      <c r="Y633"/>
      <c r="Z633"/>
      <c r="AC633"/>
      <c r="AD633" s="8">
        <f>SUBTOTAL(109,Table1[GrossRevenue])</f>
        <v>6761585.4000000013</v>
      </c>
      <c r="AF633" s="8">
        <f>SUBTOTAL(109,Table1[GrossProfit])</f>
        <v>2729976.0700000003</v>
      </c>
      <c r="AG633" s="9">
        <f>SUBTOTAL(101,Table1[MarginPct])</f>
        <v>0.26967555816054506</v>
      </c>
    </row>
    <row r="634" spans="1:33" x14ac:dyDescent="0.45">
      <c r="AD634" s="8"/>
      <c r="AF634" s="8"/>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E50C-1E7E-444C-9E87-41590C636103}">
  <dimension ref="A1:J81"/>
  <sheetViews>
    <sheetView topLeftCell="D1" workbookViewId="0">
      <selection activeCell="E2" sqref="E2"/>
    </sheetView>
  </sheetViews>
  <sheetFormatPr defaultRowHeight="14.25" x14ac:dyDescent="0.45"/>
  <cols>
    <col min="1" max="1" width="12.33203125" bestFit="1" customWidth="1"/>
    <col min="2" max="2" width="17" bestFit="1" customWidth="1"/>
    <col min="3" max="3" width="17.265625" bestFit="1" customWidth="1"/>
    <col min="4" max="4" width="13.19921875" bestFit="1" customWidth="1"/>
    <col min="5" max="5" width="14.6640625" bestFit="1" customWidth="1"/>
    <col min="6" max="6" width="13.19921875" bestFit="1" customWidth="1"/>
    <col min="7" max="7" width="14.6640625" bestFit="1" customWidth="1"/>
  </cols>
  <sheetData>
    <row r="1" spans="1:5" ht="14.65" thickBot="1" x14ac:dyDescent="0.5"/>
    <row r="2" spans="1:5" ht="15" thickTop="1" thickBot="1" x14ac:dyDescent="0.5">
      <c r="C2" t="s">
        <v>1492</v>
      </c>
      <c r="E2" s="28">
        <f>SUBTOTAL(109,Table1[GrossRevenue])</f>
        <v>6761585.4000000013</v>
      </c>
    </row>
    <row r="3" spans="1:5" ht="15" thickTop="1" thickBot="1" x14ac:dyDescent="0.5">
      <c r="C3" t="s">
        <v>1493</v>
      </c>
      <c r="E3" s="28">
        <f>SUBTOTAL(109,Table1[GrossProfit])</f>
        <v>2729976.0700000003</v>
      </c>
    </row>
    <row r="4" spans="1:5" ht="15" thickTop="1" thickBot="1" x14ac:dyDescent="0.5">
      <c r="C4" t="s">
        <v>1494</v>
      </c>
      <c r="E4" s="29">
        <f>SUBTOTAL(101,Table1[MarginPct])</f>
        <v>0.26967555816054506</v>
      </c>
    </row>
    <row r="5" spans="1:5" ht="14.65" thickTop="1" x14ac:dyDescent="0.45">
      <c r="C5" t="s">
        <v>1496</v>
      </c>
      <c r="E5" s="28">
        <f>SUBTOTAL(101,Table1[UnitCost])</f>
        <v>796.48154088050228</v>
      </c>
    </row>
    <row r="7" spans="1:5" x14ac:dyDescent="0.45">
      <c r="C7" t="s">
        <v>1495</v>
      </c>
      <c r="E7" s="30">
        <v>0.27258320126782887</v>
      </c>
    </row>
    <row r="12" spans="1:5" x14ac:dyDescent="0.45">
      <c r="A12" s="11" t="s">
        <v>1433</v>
      </c>
      <c r="B12" t="s">
        <v>1443</v>
      </c>
    </row>
    <row r="13" spans="1:5" x14ac:dyDescent="0.45">
      <c r="A13" s="12" t="s">
        <v>1497</v>
      </c>
      <c r="B13" s="8">
        <v>4182353.5999999992</v>
      </c>
    </row>
    <row r="14" spans="1:5" x14ac:dyDescent="0.45">
      <c r="A14" s="13" t="s">
        <v>1501</v>
      </c>
      <c r="B14" s="8">
        <v>922191.00999999989</v>
      </c>
    </row>
    <row r="15" spans="1:5" x14ac:dyDescent="0.45">
      <c r="A15" s="13" t="s">
        <v>1502</v>
      </c>
      <c r="B15" s="8">
        <v>1196802.2999999996</v>
      </c>
    </row>
    <row r="16" spans="1:5" x14ac:dyDescent="0.45">
      <c r="A16" s="13" t="s">
        <v>1503</v>
      </c>
      <c r="B16" s="8">
        <v>1195422.6899999995</v>
      </c>
    </row>
    <row r="17" spans="1:7" x14ac:dyDescent="0.45">
      <c r="A17" s="13" t="s">
        <v>1504</v>
      </c>
      <c r="B17" s="8">
        <v>867937.6</v>
      </c>
    </row>
    <row r="18" spans="1:7" x14ac:dyDescent="0.45">
      <c r="A18" s="12" t="s">
        <v>1498</v>
      </c>
      <c r="B18" s="8">
        <v>5099535.9700000007</v>
      </c>
    </row>
    <row r="19" spans="1:7" x14ac:dyDescent="0.45">
      <c r="A19" s="13" t="s">
        <v>1501</v>
      </c>
      <c r="B19" s="8">
        <v>1137407.3900000004</v>
      </c>
    </row>
    <row r="20" spans="1:7" x14ac:dyDescent="0.45">
      <c r="A20" s="13" t="s">
        <v>1502</v>
      </c>
      <c r="B20" s="8">
        <v>1426126.1500000001</v>
      </c>
    </row>
    <row r="21" spans="1:7" x14ac:dyDescent="0.45">
      <c r="A21" s="13" t="s">
        <v>1503</v>
      </c>
      <c r="B21" s="8">
        <v>1148793.8</v>
      </c>
    </row>
    <row r="22" spans="1:7" x14ac:dyDescent="0.45">
      <c r="A22" s="13" t="s">
        <v>1504</v>
      </c>
      <c r="B22" s="8">
        <v>1387208.6300000004</v>
      </c>
    </row>
    <row r="23" spans="1:7" x14ac:dyDescent="0.45">
      <c r="A23" s="12" t="s">
        <v>1499</v>
      </c>
      <c r="B23" s="8">
        <v>3174695.24</v>
      </c>
    </row>
    <row r="24" spans="1:7" x14ac:dyDescent="0.45">
      <c r="A24" s="13" t="s">
        <v>1501</v>
      </c>
      <c r="B24" s="8">
        <v>717608.75000000012</v>
      </c>
    </row>
    <row r="25" spans="1:7" x14ac:dyDescent="0.45">
      <c r="A25" s="13" t="s">
        <v>1502</v>
      </c>
      <c r="B25" s="8">
        <v>1270442.22</v>
      </c>
    </row>
    <row r="26" spans="1:7" x14ac:dyDescent="0.45">
      <c r="A26" s="13" t="s">
        <v>1503</v>
      </c>
      <c r="B26" s="8">
        <v>1186644.2699999998</v>
      </c>
    </row>
    <row r="27" spans="1:7" x14ac:dyDescent="0.45">
      <c r="A27" s="12" t="s">
        <v>1434</v>
      </c>
      <c r="B27" s="8">
        <v>12456584.810000001</v>
      </c>
    </row>
    <row r="30" spans="1:7" x14ac:dyDescent="0.45">
      <c r="A30" s="11" t="s">
        <v>1441</v>
      </c>
      <c r="B30" s="11" t="s">
        <v>1444</v>
      </c>
    </row>
    <row r="31" spans="1:7" x14ac:dyDescent="0.45">
      <c r="A31" s="11" t="s">
        <v>1433</v>
      </c>
      <c r="B31" t="s">
        <v>711</v>
      </c>
      <c r="C31" t="s">
        <v>710</v>
      </c>
      <c r="D31" t="s">
        <v>709</v>
      </c>
      <c r="E31" t="s">
        <v>708</v>
      </c>
      <c r="F31" t="s">
        <v>707</v>
      </c>
      <c r="G31" t="s">
        <v>1434</v>
      </c>
    </row>
    <row r="32" spans="1:7" x14ac:dyDescent="0.45">
      <c r="A32" s="12" t="s">
        <v>646</v>
      </c>
      <c r="B32" s="8">
        <v>238704.51999999996</v>
      </c>
      <c r="C32" s="8">
        <v>292819.84000000003</v>
      </c>
      <c r="D32" s="8">
        <v>248985.54999999996</v>
      </c>
      <c r="E32" s="8">
        <v>228858.88999999996</v>
      </c>
      <c r="F32" s="8">
        <v>204698.4599999999</v>
      </c>
      <c r="G32" s="8">
        <v>1214067.2599999998</v>
      </c>
    </row>
    <row r="33" spans="1:7" x14ac:dyDescent="0.45">
      <c r="A33" s="12" t="s">
        <v>648</v>
      </c>
      <c r="B33" s="8">
        <v>356195.83999999997</v>
      </c>
      <c r="C33" s="8">
        <v>261767.19</v>
      </c>
      <c r="D33" s="8">
        <v>147757.19999999998</v>
      </c>
      <c r="E33" s="8">
        <v>358998.64999999997</v>
      </c>
      <c r="F33" s="8">
        <v>120774.10999999999</v>
      </c>
      <c r="G33" s="8">
        <v>1245492.9899999998</v>
      </c>
    </row>
    <row r="34" spans="1:7" x14ac:dyDescent="0.45">
      <c r="A34" s="12" t="s">
        <v>647</v>
      </c>
      <c r="B34" s="8">
        <v>317811.53999999998</v>
      </c>
      <c r="C34" s="8">
        <v>235110.02</v>
      </c>
      <c r="D34" s="8">
        <v>247627.55</v>
      </c>
      <c r="E34" s="8">
        <v>223483.87999999995</v>
      </c>
      <c r="F34" s="8">
        <v>241597.17</v>
      </c>
      <c r="G34" s="8">
        <v>1265630.1599999997</v>
      </c>
    </row>
    <row r="35" spans="1:7" x14ac:dyDescent="0.45">
      <c r="A35" s="12" t="s">
        <v>649</v>
      </c>
      <c r="B35" s="8">
        <v>426111.95000000019</v>
      </c>
      <c r="C35" s="8">
        <v>139377.09999999998</v>
      </c>
      <c r="D35" s="8">
        <v>194418.66999999998</v>
      </c>
      <c r="E35" s="8">
        <v>289618.69</v>
      </c>
      <c r="F35" s="8">
        <v>185672.78</v>
      </c>
      <c r="G35" s="8">
        <v>1235199.1900000002</v>
      </c>
    </row>
    <row r="36" spans="1:7" x14ac:dyDescent="0.45">
      <c r="A36" s="12" t="s">
        <v>1434</v>
      </c>
      <c r="B36" s="8">
        <v>1338823.8500000001</v>
      </c>
      <c r="C36" s="8">
        <v>929074.15</v>
      </c>
      <c r="D36" s="8">
        <v>838788.97</v>
      </c>
      <c r="E36" s="8">
        <v>1100960.1099999999</v>
      </c>
      <c r="F36" s="8">
        <v>752742.5199999999</v>
      </c>
      <c r="G36" s="8">
        <v>4960389.5999999996</v>
      </c>
    </row>
    <row r="45" spans="1:7" x14ac:dyDescent="0.45">
      <c r="A45" s="11" t="s">
        <v>1433</v>
      </c>
      <c r="B45" t="s">
        <v>1443</v>
      </c>
    </row>
    <row r="46" spans="1:7" x14ac:dyDescent="0.45">
      <c r="A46" s="12" t="s">
        <v>970</v>
      </c>
      <c r="B46" s="8">
        <v>168209.94</v>
      </c>
    </row>
    <row r="47" spans="1:7" x14ac:dyDescent="0.45">
      <c r="A47" s="12" t="s">
        <v>909</v>
      </c>
      <c r="B47" s="8">
        <v>124450</v>
      </c>
    </row>
    <row r="48" spans="1:7" x14ac:dyDescent="0.45">
      <c r="A48" s="12" t="s">
        <v>1154</v>
      </c>
      <c r="B48" s="8">
        <v>121142.28</v>
      </c>
    </row>
    <row r="49" spans="1:10" x14ac:dyDescent="0.45">
      <c r="A49" s="12" t="s">
        <v>781</v>
      </c>
      <c r="B49" s="8">
        <v>109244</v>
      </c>
    </row>
    <row r="50" spans="1:10" x14ac:dyDescent="0.45">
      <c r="A50" s="12" t="s">
        <v>1197</v>
      </c>
      <c r="B50" s="8">
        <v>106636.4</v>
      </c>
    </row>
    <row r="51" spans="1:10" x14ac:dyDescent="0.45">
      <c r="A51" s="12" t="s">
        <v>874</v>
      </c>
      <c r="B51" s="8">
        <v>99098.559999999998</v>
      </c>
    </row>
    <row r="52" spans="1:10" x14ac:dyDescent="0.45">
      <c r="A52" s="12" t="s">
        <v>797</v>
      </c>
      <c r="B52" s="8">
        <v>97538.01</v>
      </c>
    </row>
    <row r="53" spans="1:10" x14ac:dyDescent="0.45">
      <c r="A53" s="12" t="s">
        <v>899</v>
      </c>
      <c r="B53" s="8">
        <v>90430.56</v>
      </c>
    </row>
    <row r="54" spans="1:10" x14ac:dyDescent="0.45">
      <c r="A54" s="12" t="s">
        <v>1009</v>
      </c>
      <c r="B54" s="8">
        <v>89885.599999999991</v>
      </c>
    </row>
    <row r="55" spans="1:10" x14ac:dyDescent="0.45">
      <c r="A55" s="12" t="s">
        <v>1079</v>
      </c>
      <c r="B55" s="8">
        <v>88163.33</v>
      </c>
    </row>
    <row r="56" spans="1:10" x14ac:dyDescent="0.45">
      <c r="A56" s="12" t="s">
        <v>1434</v>
      </c>
      <c r="B56" s="8">
        <v>1094798.6800000002</v>
      </c>
    </row>
    <row r="64" spans="1:10" x14ac:dyDescent="0.45">
      <c r="A64" s="11" t="s">
        <v>1433</v>
      </c>
      <c r="B64" t="s">
        <v>1500</v>
      </c>
      <c r="C64" t="s">
        <v>1488</v>
      </c>
      <c r="H64" t="s">
        <v>1433</v>
      </c>
      <c r="I64" t="s">
        <v>1500</v>
      </c>
      <c r="J64" t="s">
        <v>1488</v>
      </c>
    </row>
    <row r="65" spans="1:10" x14ac:dyDescent="0.45">
      <c r="A65" s="12" t="s">
        <v>720</v>
      </c>
      <c r="B65" s="32">
        <v>23</v>
      </c>
      <c r="C65" s="32">
        <v>9</v>
      </c>
      <c r="H65" t="s">
        <v>720</v>
      </c>
      <c r="I65">
        <v>23</v>
      </c>
      <c r="J65">
        <v>9</v>
      </c>
    </row>
    <row r="66" spans="1:10" x14ac:dyDescent="0.45">
      <c r="A66" s="12" t="s">
        <v>717</v>
      </c>
      <c r="B66" s="32">
        <v>20</v>
      </c>
      <c r="C66" s="32">
        <v>4</v>
      </c>
      <c r="H66" t="s">
        <v>717</v>
      </c>
      <c r="I66">
        <v>20</v>
      </c>
      <c r="J66">
        <v>4</v>
      </c>
    </row>
    <row r="67" spans="1:10" x14ac:dyDescent="0.45">
      <c r="A67" s="12" t="s">
        <v>712</v>
      </c>
      <c r="B67" s="32">
        <v>21</v>
      </c>
      <c r="C67" s="32">
        <v>8</v>
      </c>
      <c r="H67" t="s">
        <v>712</v>
      </c>
      <c r="I67">
        <v>21</v>
      </c>
      <c r="J67">
        <v>8</v>
      </c>
    </row>
    <row r="68" spans="1:10" x14ac:dyDescent="0.45">
      <c r="A68" s="12" t="s">
        <v>726</v>
      </c>
      <c r="B68" s="32">
        <v>18</v>
      </c>
      <c r="C68" s="32">
        <v>8</v>
      </c>
      <c r="H68" t="s">
        <v>726</v>
      </c>
      <c r="I68">
        <v>18</v>
      </c>
      <c r="J68">
        <v>8</v>
      </c>
    </row>
    <row r="69" spans="1:10" x14ac:dyDescent="0.45">
      <c r="A69" s="12" t="s">
        <v>718</v>
      </c>
      <c r="B69" s="32">
        <v>17</v>
      </c>
      <c r="C69" s="32">
        <v>3</v>
      </c>
      <c r="H69" t="s">
        <v>718</v>
      </c>
      <c r="I69">
        <v>17</v>
      </c>
      <c r="J69">
        <v>3</v>
      </c>
    </row>
    <row r="70" spans="1:10" x14ac:dyDescent="0.45">
      <c r="A70" s="12" t="s">
        <v>721</v>
      </c>
      <c r="B70" s="32">
        <v>24</v>
      </c>
      <c r="C70" s="32">
        <v>4</v>
      </c>
      <c r="H70" t="s">
        <v>721</v>
      </c>
      <c r="I70">
        <v>24</v>
      </c>
      <c r="J70">
        <v>4</v>
      </c>
    </row>
    <row r="71" spans="1:10" x14ac:dyDescent="0.45">
      <c r="A71" s="12" t="s">
        <v>715</v>
      </c>
      <c r="B71" s="32">
        <v>16</v>
      </c>
      <c r="C71" s="32">
        <v>3</v>
      </c>
      <c r="H71" t="s">
        <v>715</v>
      </c>
      <c r="I71">
        <v>16</v>
      </c>
      <c r="J71">
        <v>3</v>
      </c>
    </row>
    <row r="72" spans="1:10" x14ac:dyDescent="0.45">
      <c r="A72" s="12" t="s">
        <v>722</v>
      </c>
      <c r="B72" s="32">
        <v>15</v>
      </c>
      <c r="C72" s="32">
        <v>4</v>
      </c>
      <c r="H72" t="s">
        <v>722</v>
      </c>
      <c r="I72">
        <v>15</v>
      </c>
      <c r="J72">
        <v>4</v>
      </c>
    </row>
    <row r="73" spans="1:10" x14ac:dyDescent="0.45">
      <c r="A73" s="12" t="s">
        <v>714</v>
      </c>
      <c r="B73" s="32">
        <v>20</v>
      </c>
      <c r="C73" s="32">
        <v>9</v>
      </c>
      <c r="H73" t="s">
        <v>714</v>
      </c>
      <c r="I73">
        <v>20</v>
      </c>
      <c r="J73">
        <v>9</v>
      </c>
    </row>
    <row r="74" spans="1:10" x14ac:dyDescent="0.45">
      <c r="A74" s="12" t="s">
        <v>713</v>
      </c>
      <c r="B74" s="32">
        <v>30</v>
      </c>
      <c r="C74" s="32">
        <v>6</v>
      </c>
      <c r="H74" t="s">
        <v>713</v>
      </c>
      <c r="I74">
        <v>30</v>
      </c>
      <c r="J74">
        <v>6</v>
      </c>
    </row>
    <row r="75" spans="1:10" x14ac:dyDescent="0.45">
      <c r="A75" s="12" t="s">
        <v>723</v>
      </c>
      <c r="B75" s="32">
        <v>25</v>
      </c>
      <c r="C75" s="32">
        <v>4</v>
      </c>
      <c r="H75" t="s">
        <v>723</v>
      </c>
      <c r="I75">
        <v>25</v>
      </c>
      <c r="J75">
        <v>4</v>
      </c>
    </row>
    <row r="76" spans="1:10" x14ac:dyDescent="0.45">
      <c r="A76" s="12" t="s">
        <v>716</v>
      </c>
      <c r="B76" s="32">
        <v>25</v>
      </c>
      <c r="C76" s="32">
        <v>8</v>
      </c>
      <c r="H76" t="s">
        <v>716</v>
      </c>
      <c r="I76">
        <v>25</v>
      </c>
      <c r="J76">
        <v>8</v>
      </c>
    </row>
    <row r="77" spans="1:10" x14ac:dyDescent="0.45">
      <c r="A77" s="12" t="s">
        <v>724</v>
      </c>
      <c r="B77" s="32">
        <v>22</v>
      </c>
      <c r="C77" s="32">
        <v>8</v>
      </c>
      <c r="H77" t="s">
        <v>724</v>
      </c>
      <c r="I77">
        <v>22</v>
      </c>
      <c r="J77">
        <v>8</v>
      </c>
    </row>
    <row r="78" spans="1:10" x14ac:dyDescent="0.45">
      <c r="A78" s="12" t="s">
        <v>725</v>
      </c>
      <c r="B78" s="32">
        <v>15</v>
      </c>
      <c r="C78" s="32">
        <v>5</v>
      </c>
      <c r="H78" t="s">
        <v>725</v>
      </c>
      <c r="I78">
        <v>15</v>
      </c>
      <c r="J78">
        <v>5</v>
      </c>
    </row>
    <row r="79" spans="1:10" x14ac:dyDescent="0.45">
      <c r="A79" s="12" t="s">
        <v>719</v>
      </c>
      <c r="B79" s="32">
        <v>19</v>
      </c>
      <c r="C79" s="32">
        <v>4</v>
      </c>
      <c r="H79" t="s">
        <v>719</v>
      </c>
      <c r="I79">
        <v>19</v>
      </c>
      <c r="J79">
        <v>4</v>
      </c>
    </row>
    <row r="80" spans="1:10" x14ac:dyDescent="0.45">
      <c r="A80" s="12" t="s">
        <v>1440</v>
      </c>
      <c r="B80" s="32">
        <v>5</v>
      </c>
      <c r="C80" s="32">
        <v>2</v>
      </c>
    </row>
    <row r="81" spans="1:3" x14ac:dyDescent="0.45">
      <c r="A81" s="12" t="s">
        <v>1434</v>
      </c>
      <c r="B81" s="32">
        <v>315</v>
      </c>
      <c r="C81" s="32">
        <v>89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4A61-AB9B-4970-8102-C6ED5CA5222F}">
  <dimension ref="D43:D49"/>
  <sheetViews>
    <sheetView showGridLines="0" workbookViewId="0">
      <selection activeCell="E11" sqref="E11"/>
    </sheetView>
  </sheetViews>
  <sheetFormatPr defaultRowHeight="14.25" x14ac:dyDescent="0.45"/>
  <sheetData>
    <row r="43" spans="4:4" x14ac:dyDescent="0.45">
      <c r="D43" t="s">
        <v>1517</v>
      </c>
    </row>
    <row r="44" spans="4:4" x14ac:dyDescent="0.45">
      <c r="D44" t="s">
        <v>1518</v>
      </c>
    </row>
    <row r="45" spans="4:4" x14ac:dyDescent="0.45">
      <c r="D45" t="s">
        <v>1519</v>
      </c>
    </row>
    <row r="46" spans="4:4" x14ac:dyDescent="0.45">
      <c r="D46" t="s">
        <v>1520</v>
      </c>
    </row>
    <row r="47" spans="4:4" x14ac:dyDescent="0.45">
      <c r="D47" t="s">
        <v>1521</v>
      </c>
    </row>
    <row r="48" spans="4:4" x14ac:dyDescent="0.45">
      <c r="D48" t="s">
        <v>1522</v>
      </c>
    </row>
    <row r="49" spans="4:4" x14ac:dyDescent="0.45">
      <c r="D49" t="s">
        <v>1523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9FF1-EDC8-4D13-95C6-2E64FD204601}">
  <dimension ref="A1:G316"/>
  <sheetViews>
    <sheetView workbookViewId="0">
      <selection activeCell="C17" sqref="C17"/>
    </sheetView>
  </sheetViews>
  <sheetFormatPr defaultRowHeight="14.25" x14ac:dyDescent="0.45"/>
  <cols>
    <col min="2" max="2" width="16.53125" customWidth="1"/>
    <col min="3" max="3" width="15.73046875" customWidth="1"/>
    <col min="4" max="4" width="17.06640625" style="18" customWidth="1"/>
    <col min="5" max="5" width="18.33203125" style="19" customWidth="1"/>
    <col min="6" max="6" width="18.796875" customWidth="1"/>
    <col min="7" max="7" width="16.59765625" customWidth="1"/>
    <col min="8" max="8" width="14.796875" customWidth="1"/>
  </cols>
  <sheetData>
    <row r="1" spans="1:7" x14ac:dyDescent="0.45">
      <c r="A1" t="s">
        <v>10</v>
      </c>
      <c r="B1" t="s">
        <v>9</v>
      </c>
      <c r="C1" s="8" t="s">
        <v>1436</v>
      </c>
      <c r="D1" s="18" t="s">
        <v>1448</v>
      </c>
      <c r="E1" s="19" t="s">
        <v>1449</v>
      </c>
      <c r="F1" t="s">
        <v>1450</v>
      </c>
      <c r="G1" t="s">
        <v>1451</v>
      </c>
    </row>
    <row r="2" spans="1:7" x14ac:dyDescent="0.45">
      <c r="A2" t="s">
        <v>1079</v>
      </c>
      <c r="B2" t="s">
        <v>733</v>
      </c>
      <c r="C2" s="8">
        <v>88163.33</v>
      </c>
      <c r="D2" s="18">
        <f t="shared" ref="D2:D65" si="0">SUMIF($B$2:$B$1000, B2, $C$2:$C$1000)</f>
        <v>890918.11999999976</v>
      </c>
      <c r="E2" s="19">
        <f>Table2[[#This Row],[GrossRevenue]]/Table2[[#This Row],[CategoryTotalRevenue]]</f>
        <v>9.8957836888534739E-2</v>
      </c>
      <c r="F2">
        <f t="shared" ref="F2:F65" si="1">IF(B2=B1, F1+E2, E2)</f>
        <v>9.8957836888534739E-2</v>
      </c>
      <c r="G2" t="str">
        <f t="shared" ref="G2:G65" si="2">IF(F2&lt;=0.8, "A", IF(F2&lt;=0.95, "B", "C"))</f>
        <v>A</v>
      </c>
    </row>
    <row r="3" spans="1:7" x14ac:dyDescent="0.45">
      <c r="A3" t="s">
        <v>1039</v>
      </c>
      <c r="B3" t="s">
        <v>733</v>
      </c>
      <c r="C3" s="8">
        <v>47872.08</v>
      </c>
      <c r="D3" s="18">
        <f t="shared" si="0"/>
        <v>890918.11999999976</v>
      </c>
      <c r="E3" s="19">
        <f>Table2[[#This Row],[GrossRevenue]]/Table2[[#This Row],[CategoryTotalRevenue]]</f>
        <v>5.373342277514797E-2</v>
      </c>
      <c r="F3">
        <f t="shared" si="1"/>
        <v>0.15269125966368272</v>
      </c>
      <c r="G3" t="str">
        <f t="shared" si="2"/>
        <v>A</v>
      </c>
    </row>
    <row r="4" spans="1:7" x14ac:dyDescent="0.45">
      <c r="A4" t="s">
        <v>1287</v>
      </c>
      <c r="B4" t="s">
        <v>733</v>
      </c>
      <c r="C4" s="8">
        <v>46450.26</v>
      </c>
      <c r="D4" s="18">
        <f t="shared" si="0"/>
        <v>890918.11999999976</v>
      </c>
      <c r="E4" s="19">
        <f>Table2[[#This Row],[GrossRevenue]]/Table2[[#This Row],[CategoryTotalRevenue]]</f>
        <v>5.2137518540985577E-2</v>
      </c>
      <c r="F4">
        <f t="shared" si="1"/>
        <v>0.2048287782046683</v>
      </c>
      <c r="G4" t="str">
        <f t="shared" si="2"/>
        <v>A</v>
      </c>
    </row>
    <row r="5" spans="1:7" x14ac:dyDescent="0.45">
      <c r="A5" t="s">
        <v>752</v>
      </c>
      <c r="B5" t="s">
        <v>733</v>
      </c>
      <c r="C5" s="8">
        <v>42756.659999999996</v>
      </c>
      <c r="D5" s="18">
        <f t="shared" si="0"/>
        <v>890918.11999999976</v>
      </c>
      <c r="E5" s="19">
        <f>Table2[[#This Row],[GrossRevenue]]/Table2[[#This Row],[CategoryTotalRevenue]]</f>
        <v>4.7991683006739172E-2</v>
      </c>
      <c r="F5">
        <f t="shared" si="1"/>
        <v>0.25282046121140744</v>
      </c>
      <c r="G5" t="str">
        <f t="shared" si="2"/>
        <v>A</v>
      </c>
    </row>
    <row r="6" spans="1:7" x14ac:dyDescent="0.45">
      <c r="A6" t="s">
        <v>810</v>
      </c>
      <c r="B6" t="s">
        <v>733</v>
      </c>
      <c r="C6" s="8">
        <v>40873.299999999996</v>
      </c>
      <c r="D6" s="18">
        <f t="shared" si="0"/>
        <v>890918.11999999976</v>
      </c>
      <c r="E6" s="19">
        <f>Table2[[#This Row],[GrossRevenue]]/Table2[[#This Row],[CategoryTotalRevenue]]</f>
        <v>4.587772892081262E-2</v>
      </c>
      <c r="F6">
        <f t="shared" si="1"/>
        <v>0.29869819013222004</v>
      </c>
      <c r="G6" t="str">
        <f t="shared" si="2"/>
        <v>A</v>
      </c>
    </row>
    <row r="7" spans="1:7" x14ac:dyDescent="0.45">
      <c r="A7" t="s">
        <v>1093</v>
      </c>
      <c r="B7" t="s">
        <v>733</v>
      </c>
      <c r="C7" s="8">
        <v>39514.32</v>
      </c>
      <c r="D7" s="18">
        <f t="shared" si="0"/>
        <v>890918.11999999976</v>
      </c>
      <c r="E7" s="19">
        <f>Table2[[#This Row],[GrossRevenue]]/Table2[[#This Row],[CategoryTotalRevenue]]</f>
        <v>4.4352358665687493E-2</v>
      </c>
      <c r="F7">
        <f t="shared" si="1"/>
        <v>0.34305054879790753</v>
      </c>
      <c r="G7" t="str">
        <f t="shared" si="2"/>
        <v>A</v>
      </c>
    </row>
    <row r="8" spans="1:7" x14ac:dyDescent="0.45">
      <c r="A8" t="s">
        <v>1174</v>
      </c>
      <c r="B8" t="s">
        <v>733</v>
      </c>
      <c r="C8" s="8">
        <v>37382.07</v>
      </c>
      <c r="D8" s="18">
        <f t="shared" si="0"/>
        <v>890918.11999999976</v>
      </c>
      <c r="E8" s="19">
        <f>Table2[[#This Row],[GrossRevenue]]/Table2[[#This Row],[CategoryTotalRevenue]]</f>
        <v>4.1959041084493838E-2</v>
      </c>
      <c r="F8">
        <f t="shared" si="1"/>
        <v>0.38500958988240136</v>
      </c>
      <c r="G8" t="str">
        <f t="shared" si="2"/>
        <v>A</v>
      </c>
    </row>
    <row r="9" spans="1:7" x14ac:dyDescent="0.45">
      <c r="A9" t="s">
        <v>811</v>
      </c>
      <c r="B9" t="s">
        <v>733</v>
      </c>
      <c r="C9" s="8">
        <v>35627.410000000003</v>
      </c>
      <c r="D9" s="18">
        <f t="shared" si="0"/>
        <v>890918.11999999976</v>
      </c>
      <c r="E9" s="19">
        <f>Table2[[#This Row],[GrossRevenue]]/Table2[[#This Row],[CategoryTotalRevenue]]</f>
        <v>3.998954471820599E-2</v>
      </c>
      <c r="F9">
        <f t="shared" si="1"/>
        <v>0.42499913460060734</v>
      </c>
      <c r="G9" t="str">
        <f t="shared" si="2"/>
        <v>A</v>
      </c>
    </row>
    <row r="10" spans="1:7" x14ac:dyDescent="0.45">
      <c r="A10" t="s">
        <v>831</v>
      </c>
      <c r="B10" t="s">
        <v>733</v>
      </c>
      <c r="C10" s="8">
        <v>34139.159999999996</v>
      </c>
      <c r="D10" s="18">
        <f t="shared" si="0"/>
        <v>890918.11999999976</v>
      </c>
      <c r="E10" s="19">
        <f>Table2[[#This Row],[GrossRevenue]]/Table2[[#This Row],[CategoryTotalRevenue]]</f>
        <v>3.8319076954007852E-2</v>
      </c>
      <c r="F10">
        <f t="shared" si="1"/>
        <v>0.46331821155461517</v>
      </c>
      <c r="G10" t="str">
        <f t="shared" si="2"/>
        <v>A</v>
      </c>
    </row>
    <row r="11" spans="1:7" x14ac:dyDescent="0.45">
      <c r="A11" t="s">
        <v>1025</v>
      </c>
      <c r="B11" t="s">
        <v>733</v>
      </c>
      <c r="C11" s="8">
        <v>29477.420000000002</v>
      </c>
      <c r="D11" s="18">
        <f t="shared" si="0"/>
        <v>890918.11999999976</v>
      </c>
      <c r="E11" s="19">
        <f>Table2[[#This Row],[GrossRevenue]]/Table2[[#This Row],[CategoryTotalRevenue]]</f>
        <v>3.3086564677795541E-2</v>
      </c>
      <c r="F11">
        <f t="shared" si="1"/>
        <v>0.49640477623241069</v>
      </c>
      <c r="G11" t="str">
        <f t="shared" si="2"/>
        <v>A</v>
      </c>
    </row>
    <row r="12" spans="1:7" x14ac:dyDescent="0.45">
      <c r="A12" t="s">
        <v>1088</v>
      </c>
      <c r="B12" t="s">
        <v>733</v>
      </c>
      <c r="C12" s="8">
        <v>27845.16</v>
      </c>
      <c r="D12" s="18">
        <f t="shared" si="0"/>
        <v>890918.11999999976</v>
      </c>
      <c r="E12" s="19">
        <f>Table2[[#This Row],[GrossRevenue]]/Table2[[#This Row],[CategoryTotalRevenue]]</f>
        <v>3.1254454674241004E-2</v>
      </c>
      <c r="F12">
        <f t="shared" si="1"/>
        <v>0.52765923090665168</v>
      </c>
      <c r="G12" t="str">
        <f t="shared" si="2"/>
        <v>A</v>
      </c>
    </row>
    <row r="13" spans="1:7" x14ac:dyDescent="0.45">
      <c r="A13" t="s">
        <v>1085</v>
      </c>
      <c r="B13" t="s">
        <v>733</v>
      </c>
      <c r="C13" s="8">
        <v>27630.18</v>
      </c>
      <c r="D13" s="18">
        <f t="shared" si="0"/>
        <v>890918.11999999976</v>
      </c>
      <c r="E13" s="19">
        <f>Table2[[#This Row],[GrossRevenue]]/Table2[[#This Row],[CategoryTotalRevenue]]</f>
        <v>3.1013153038126566E-2</v>
      </c>
      <c r="F13">
        <f t="shared" si="1"/>
        <v>0.55867238394477825</v>
      </c>
      <c r="G13" t="str">
        <f t="shared" si="2"/>
        <v>A</v>
      </c>
    </row>
    <row r="14" spans="1:7" x14ac:dyDescent="0.45">
      <c r="A14" t="s">
        <v>1141</v>
      </c>
      <c r="B14" t="s">
        <v>733</v>
      </c>
      <c r="C14" s="8">
        <v>23668.560000000001</v>
      </c>
      <c r="D14" s="18">
        <f t="shared" si="0"/>
        <v>890918.11999999976</v>
      </c>
      <c r="E14" s="19">
        <f>Table2[[#This Row],[GrossRevenue]]/Table2[[#This Row],[CategoryTotalRevenue]]</f>
        <v>2.6566481777247956E-2</v>
      </c>
      <c r="F14">
        <f t="shared" si="1"/>
        <v>0.58523886572202621</v>
      </c>
      <c r="G14" t="str">
        <f t="shared" si="2"/>
        <v>A</v>
      </c>
    </row>
    <row r="15" spans="1:7" x14ac:dyDescent="0.45">
      <c r="A15" t="s">
        <v>1254</v>
      </c>
      <c r="B15" t="s">
        <v>733</v>
      </c>
      <c r="C15" s="8">
        <v>22526.66</v>
      </c>
      <c r="D15" s="18">
        <f t="shared" si="0"/>
        <v>890918.11999999976</v>
      </c>
      <c r="E15" s="19">
        <f>Table2[[#This Row],[GrossRevenue]]/Table2[[#This Row],[CategoryTotalRevenue]]</f>
        <v>2.5284770277205729E-2</v>
      </c>
      <c r="F15">
        <f t="shared" si="1"/>
        <v>0.61052363599923198</v>
      </c>
      <c r="G15" t="str">
        <f t="shared" si="2"/>
        <v>A</v>
      </c>
    </row>
    <row r="16" spans="1:7" x14ac:dyDescent="0.45">
      <c r="A16" t="s">
        <v>1023</v>
      </c>
      <c r="B16" t="s">
        <v>733</v>
      </c>
      <c r="C16" s="8">
        <v>22325.579999999998</v>
      </c>
      <c r="D16" s="18">
        <f t="shared" si="0"/>
        <v>890918.11999999976</v>
      </c>
      <c r="E16" s="19">
        <f>Table2[[#This Row],[GrossRevenue]]/Table2[[#This Row],[CategoryTotalRevenue]]</f>
        <v>2.5059070523787308E-2</v>
      </c>
      <c r="F16">
        <f t="shared" si="1"/>
        <v>0.63558270652301929</v>
      </c>
      <c r="G16" t="str">
        <f t="shared" si="2"/>
        <v>A</v>
      </c>
    </row>
    <row r="17" spans="1:7" x14ac:dyDescent="0.45">
      <c r="A17" t="s">
        <v>827</v>
      </c>
      <c r="B17" t="s">
        <v>733</v>
      </c>
      <c r="C17" s="8">
        <v>22285.620000000003</v>
      </c>
      <c r="D17" s="18">
        <f t="shared" si="0"/>
        <v>890918.11999999976</v>
      </c>
      <c r="E17" s="19">
        <f>Table2[[#This Row],[GrossRevenue]]/Table2[[#This Row],[CategoryTotalRevenue]]</f>
        <v>2.5014217917130262E-2</v>
      </c>
      <c r="F17">
        <f t="shared" si="1"/>
        <v>0.6605969244401495</v>
      </c>
      <c r="G17" t="str">
        <f t="shared" si="2"/>
        <v>A</v>
      </c>
    </row>
    <row r="18" spans="1:7" x14ac:dyDescent="0.45">
      <c r="A18" t="s">
        <v>784</v>
      </c>
      <c r="B18" t="s">
        <v>733</v>
      </c>
      <c r="C18" s="8">
        <v>21038</v>
      </c>
      <c r="D18" s="18">
        <f t="shared" si="0"/>
        <v>890918.11999999976</v>
      </c>
      <c r="E18" s="19">
        <f>Table2[[#This Row],[GrossRevenue]]/Table2[[#This Row],[CategoryTotalRevenue]]</f>
        <v>2.3613842313589945E-2</v>
      </c>
      <c r="F18">
        <f t="shared" si="1"/>
        <v>0.68421076675373949</v>
      </c>
      <c r="G18" t="str">
        <f t="shared" si="2"/>
        <v>A</v>
      </c>
    </row>
    <row r="19" spans="1:7" x14ac:dyDescent="0.45">
      <c r="A19" t="s">
        <v>1183</v>
      </c>
      <c r="B19" t="s">
        <v>733</v>
      </c>
      <c r="C19" s="8">
        <v>21015.5</v>
      </c>
      <c r="D19" s="18">
        <f t="shared" si="0"/>
        <v>890918.11999999976</v>
      </c>
      <c r="E19" s="19">
        <f>Table2[[#This Row],[GrossRevenue]]/Table2[[#This Row],[CategoryTotalRevenue]]</f>
        <v>2.3588587467499263E-2</v>
      </c>
      <c r="F19">
        <f t="shared" si="1"/>
        <v>0.70779935422123874</v>
      </c>
      <c r="G19" t="str">
        <f t="shared" si="2"/>
        <v>A</v>
      </c>
    </row>
    <row r="20" spans="1:7" x14ac:dyDescent="0.45">
      <c r="A20" t="s">
        <v>942</v>
      </c>
      <c r="B20" t="s">
        <v>733</v>
      </c>
      <c r="C20" s="8">
        <v>20657.3</v>
      </c>
      <c r="D20" s="18">
        <f t="shared" si="0"/>
        <v>890918.11999999976</v>
      </c>
      <c r="E20" s="19">
        <f>Table2[[#This Row],[GrossRevenue]]/Table2[[#This Row],[CategoryTotalRevenue]]</f>
        <v>2.3186530317735602E-2</v>
      </c>
      <c r="F20">
        <f t="shared" si="1"/>
        <v>0.7309858845389744</v>
      </c>
      <c r="G20" t="str">
        <f t="shared" si="2"/>
        <v>A</v>
      </c>
    </row>
    <row r="21" spans="1:7" x14ac:dyDescent="0.45">
      <c r="A21" t="s">
        <v>800</v>
      </c>
      <c r="B21" t="s">
        <v>733</v>
      </c>
      <c r="C21" s="8">
        <v>19745.599999999999</v>
      </c>
      <c r="D21" s="18">
        <f t="shared" si="0"/>
        <v>890918.11999999976</v>
      </c>
      <c r="E21" s="19">
        <f>Table2[[#This Row],[GrossRevenue]]/Table2[[#This Row],[CategoryTotalRevenue]]</f>
        <v>2.2163203954141154E-2</v>
      </c>
      <c r="F21">
        <f t="shared" si="1"/>
        <v>0.75314908849311557</v>
      </c>
      <c r="G21" t="str">
        <f t="shared" si="2"/>
        <v>A</v>
      </c>
    </row>
    <row r="22" spans="1:7" x14ac:dyDescent="0.45">
      <c r="A22" t="s">
        <v>1278</v>
      </c>
      <c r="B22" t="s">
        <v>733</v>
      </c>
      <c r="C22" s="8">
        <v>19609.759999999998</v>
      </c>
      <c r="D22" s="18">
        <f t="shared" si="0"/>
        <v>890918.11999999976</v>
      </c>
      <c r="E22" s="19">
        <f>Table2[[#This Row],[GrossRevenue]]/Table2[[#This Row],[CategoryTotalRevenue]]</f>
        <v>2.2010732030009677E-2</v>
      </c>
      <c r="F22">
        <f t="shared" si="1"/>
        <v>0.77515982052312526</v>
      </c>
      <c r="G22" t="str">
        <f t="shared" si="2"/>
        <v>A</v>
      </c>
    </row>
    <row r="23" spans="1:7" x14ac:dyDescent="0.45">
      <c r="A23" t="s">
        <v>1187</v>
      </c>
      <c r="B23" t="s">
        <v>733</v>
      </c>
      <c r="C23" s="8">
        <v>16594.72</v>
      </c>
      <c r="D23" s="18">
        <f t="shared" si="0"/>
        <v>890918.11999999976</v>
      </c>
      <c r="E23" s="19">
        <f>Table2[[#This Row],[GrossRevenue]]/Table2[[#This Row],[CategoryTotalRevenue]]</f>
        <v>1.8626537756354093E-2</v>
      </c>
      <c r="F23">
        <f t="shared" si="1"/>
        <v>0.79378635827947941</v>
      </c>
      <c r="G23" t="str">
        <f t="shared" si="2"/>
        <v>A</v>
      </c>
    </row>
    <row r="24" spans="1:7" x14ac:dyDescent="0.45">
      <c r="A24" t="s">
        <v>1148</v>
      </c>
      <c r="B24" t="s">
        <v>733</v>
      </c>
      <c r="C24" s="8">
        <v>14428.64</v>
      </c>
      <c r="D24" s="18">
        <f t="shared" si="0"/>
        <v>890918.11999999976</v>
      </c>
      <c r="E24" s="19">
        <f>Table2[[#This Row],[GrossRevenue]]/Table2[[#This Row],[CategoryTotalRevenue]]</f>
        <v>1.6195248111016088E-2</v>
      </c>
      <c r="F24">
        <f t="shared" si="1"/>
        <v>0.80998160639049555</v>
      </c>
      <c r="G24" t="str">
        <f t="shared" si="2"/>
        <v>B</v>
      </c>
    </row>
    <row r="25" spans="1:7" x14ac:dyDescent="0.45">
      <c r="A25" t="s">
        <v>756</v>
      </c>
      <c r="B25" t="s">
        <v>733</v>
      </c>
      <c r="C25" s="8">
        <v>12428.4</v>
      </c>
      <c r="D25" s="18">
        <f t="shared" si="0"/>
        <v>890918.11999999976</v>
      </c>
      <c r="E25" s="19">
        <f>Table2[[#This Row],[GrossRevenue]]/Table2[[#This Row],[CategoryTotalRevenue]]</f>
        <v>1.3950103517930473E-2</v>
      </c>
      <c r="F25">
        <f t="shared" si="1"/>
        <v>0.82393170990842601</v>
      </c>
      <c r="G25" t="str">
        <f t="shared" si="2"/>
        <v>B</v>
      </c>
    </row>
    <row r="26" spans="1:7" x14ac:dyDescent="0.45">
      <c r="A26" t="s">
        <v>1226</v>
      </c>
      <c r="B26" t="s">
        <v>733</v>
      </c>
      <c r="C26" s="8">
        <v>12379.64</v>
      </c>
      <c r="D26" s="18">
        <f t="shared" si="0"/>
        <v>890918.11999999976</v>
      </c>
      <c r="E26" s="19">
        <f>Table2[[#This Row],[GrossRevenue]]/Table2[[#This Row],[CategoryTotalRevenue]]</f>
        <v>1.3895373460357954E-2</v>
      </c>
      <c r="F26">
        <f t="shared" si="1"/>
        <v>0.83782708336878398</v>
      </c>
      <c r="G26" t="str">
        <f t="shared" si="2"/>
        <v>B</v>
      </c>
    </row>
    <row r="27" spans="1:7" x14ac:dyDescent="0.45">
      <c r="A27" t="s">
        <v>1045</v>
      </c>
      <c r="B27" t="s">
        <v>733</v>
      </c>
      <c r="C27" s="8">
        <v>12372.15</v>
      </c>
      <c r="D27" s="18">
        <f t="shared" si="0"/>
        <v>890918.11999999976</v>
      </c>
      <c r="E27" s="19">
        <f>Table2[[#This Row],[GrossRevenue]]/Table2[[#This Row],[CategoryTotalRevenue]]</f>
        <v>1.3886966402703767E-2</v>
      </c>
      <c r="F27">
        <f t="shared" si="1"/>
        <v>0.85171404977148779</v>
      </c>
      <c r="G27" t="str">
        <f t="shared" si="2"/>
        <v>B</v>
      </c>
    </row>
    <row r="28" spans="1:7" x14ac:dyDescent="0.45">
      <c r="A28" t="s">
        <v>759</v>
      </c>
      <c r="B28" t="s">
        <v>733</v>
      </c>
      <c r="C28" s="8">
        <v>10332.08</v>
      </c>
      <c r="D28" s="18">
        <f t="shared" si="0"/>
        <v>890918.11999999976</v>
      </c>
      <c r="E28" s="19">
        <f>Table2[[#This Row],[GrossRevenue]]/Table2[[#This Row],[CategoryTotalRevenue]]</f>
        <v>1.1597115119849625E-2</v>
      </c>
      <c r="F28">
        <f t="shared" si="1"/>
        <v>0.86331116489133741</v>
      </c>
      <c r="G28" t="str">
        <f t="shared" si="2"/>
        <v>B</v>
      </c>
    </row>
    <row r="29" spans="1:7" x14ac:dyDescent="0.45">
      <c r="A29" t="s">
        <v>1065</v>
      </c>
      <c r="B29" t="s">
        <v>733</v>
      </c>
      <c r="C29" s="8">
        <v>9733.36</v>
      </c>
      <c r="D29" s="18">
        <f t="shared" si="0"/>
        <v>890918.11999999976</v>
      </c>
      <c r="E29" s="19">
        <f>Table2[[#This Row],[GrossRevenue]]/Table2[[#This Row],[CategoryTotalRevenue]]</f>
        <v>1.092508927756459E-2</v>
      </c>
      <c r="F29">
        <f t="shared" si="1"/>
        <v>0.87423625416890205</v>
      </c>
      <c r="G29" t="str">
        <f t="shared" si="2"/>
        <v>B</v>
      </c>
    </row>
    <row r="30" spans="1:7" x14ac:dyDescent="0.45">
      <c r="A30" t="s">
        <v>947</v>
      </c>
      <c r="B30" t="s">
        <v>733</v>
      </c>
      <c r="C30" s="8">
        <v>9317.52</v>
      </c>
      <c r="D30" s="18">
        <f t="shared" si="0"/>
        <v>890918.11999999976</v>
      </c>
      <c r="E30" s="19">
        <f>Table2[[#This Row],[GrossRevenue]]/Table2[[#This Row],[CategoryTotalRevenue]]</f>
        <v>1.0458334824304621E-2</v>
      </c>
      <c r="F30">
        <f t="shared" si="1"/>
        <v>0.88469458899320663</v>
      </c>
      <c r="G30" t="str">
        <f t="shared" si="2"/>
        <v>B</v>
      </c>
    </row>
    <row r="31" spans="1:7" x14ac:dyDescent="0.45">
      <c r="A31" t="s">
        <v>1230</v>
      </c>
      <c r="B31" t="s">
        <v>733</v>
      </c>
      <c r="C31" s="8">
        <v>9167.2000000000007</v>
      </c>
      <c r="D31" s="18">
        <f t="shared" si="0"/>
        <v>890918.11999999976</v>
      </c>
      <c r="E31" s="19">
        <f>Table2[[#This Row],[GrossRevenue]]/Table2[[#This Row],[CategoryTotalRevenue]]</f>
        <v>1.0289610003666783E-2</v>
      </c>
      <c r="F31">
        <f t="shared" si="1"/>
        <v>0.89498419899687343</v>
      </c>
      <c r="G31" t="str">
        <f t="shared" si="2"/>
        <v>B</v>
      </c>
    </row>
    <row r="32" spans="1:7" x14ac:dyDescent="0.45">
      <c r="A32" t="s">
        <v>992</v>
      </c>
      <c r="B32" t="s">
        <v>733</v>
      </c>
      <c r="C32" s="8">
        <v>8801.1200000000008</v>
      </c>
      <c r="D32" s="18">
        <f t="shared" si="0"/>
        <v>890918.11999999976</v>
      </c>
      <c r="E32" s="19">
        <f>Table2[[#This Row],[GrossRevenue]]/Table2[[#This Row],[CategoryTotalRevenue]]</f>
        <v>9.8787080455833617E-3</v>
      </c>
      <c r="F32">
        <f t="shared" si="1"/>
        <v>0.90486290704245675</v>
      </c>
      <c r="G32" t="str">
        <f t="shared" si="2"/>
        <v>B</v>
      </c>
    </row>
    <row r="33" spans="1:7" x14ac:dyDescent="0.45">
      <c r="A33" t="s">
        <v>1149</v>
      </c>
      <c r="B33" t="s">
        <v>733</v>
      </c>
      <c r="C33" s="8">
        <v>8757.65</v>
      </c>
      <c r="D33" s="18">
        <f t="shared" si="0"/>
        <v>890918.11999999976</v>
      </c>
      <c r="E33" s="19">
        <f>Table2[[#This Row],[GrossRevenue]]/Table2[[#This Row],[CategoryTotalRevenue]]</f>
        <v>9.8299156829361623E-3</v>
      </c>
      <c r="F33">
        <f t="shared" si="1"/>
        <v>0.91469282272539287</v>
      </c>
      <c r="G33" t="str">
        <f t="shared" si="2"/>
        <v>B</v>
      </c>
    </row>
    <row r="34" spans="1:7" x14ac:dyDescent="0.45">
      <c r="A34" t="s">
        <v>1003</v>
      </c>
      <c r="B34" t="s">
        <v>733</v>
      </c>
      <c r="C34" s="8">
        <v>8354.75</v>
      </c>
      <c r="D34" s="18">
        <f t="shared" si="0"/>
        <v>890918.11999999976</v>
      </c>
      <c r="E34" s="19">
        <f>Table2[[#This Row],[GrossRevenue]]/Table2[[#This Row],[CategoryTotalRevenue]]</f>
        <v>9.377685572272346E-3</v>
      </c>
      <c r="F34">
        <f t="shared" si="1"/>
        <v>0.92407050829766524</v>
      </c>
      <c r="G34" t="str">
        <f t="shared" si="2"/>
        <v>B</v>
      </c>
    </row>
    <row r="35" spans="1:7" x14ac:dyDescent="0.45">
      <c r="A35" t="s">
        <v>1026</v>
      </c>
      <c r="B35" t="s">
        <v>733</v>
      </c>
      <c r="C35" s="8">
        <v>7845</v>
      </c>
      <c r="D35" s="18">
        <f t="shared" si="0"/>
        <v>890918.11999999976</v>
      </c>
      <c r="E35" s="19">
        <f>Table2[[#This Row],[GrossRevenue]]/Table2[[#This Row],[CategoryTotalRevenue]]</f>
        <v>8.8055230036178881E-3</v>
      </c>
      <c r="F35">
        <f t="shared" si="1"/>
        <v>0.93287603130128316</v>
      </c>
      <c r="G35" t="str">
        <f t="shared" si="2"/>
        <v>B</v>
      </c>
    </row>
    <row r="36" spans="1:7" x14ac:dyDescent="0.45">
      <c r="A36" t="s">
        <v>1309</v>
      </c>
      <c r="B36" t="s">
        <v>733</v>
      </c>
      <c r="C36" s="8">
        <v>7783.1600000000008</v>
      </c>
      <c r="D36" s="18">
        <f t="shared" si="0"/>
        <v>890918.11999999976</v>
      </c>
      <c r="E36" s="19">
        <f>Table2[[#This Row],[GrossRevenue]]/Table2[[#This Row],[CategoryTotalRevenue]]</f>
        <v>8.7361114621846529E-3</v>
      </c>
      <c r="F36">
        <f t="shared" si="1"/>
        <v>0.94161214276346783</v>
      </c>
      <c r="G36" t="str">
        <f t="shared" si="2"/>
        <v>B</v>
      </c>
    </row>
    <row r="37" spans="1:7" x14ac:dyDescent="0.45">
      <c r="A37" t="s">
        <v>748</v>
      </c>
      <c r="B37" t="s">
        <v>733</v>
      </c>
      <c r="C37" s="8">
        <v>7578.84</v>
      </c>
      <c r="D37" s="18">
        <f t="shared" si="0"/>
        <v>890918.11999999976</v>
      </c>
      <c r="E37" s="19">
        <f>Table2[[#This Row],[GrossRevenue]]/Table2[[#This Row],[CategoryTotalRevenue]]</f>
        <v>8.5067750109291771E-3</v>
      </c>
      <c r="F37">
        <f t="shared" si="1"/>
        <v>0.95011891777439705</v>
      </c>
      <c r="G37" t="str">
        <f t="shared" si="2"/>
        <v>C</v>
      </c>
    </row>
    <row r="38" spans="1:7" x14ac:dyDescent="0.45">
      <c r="A38" t="s">
        <v>837</v>
      </c>
      <c r="B38" t="s">
        <v>733</v>
      </c>
      <c r="C38" s="8">
        <v>7268.7</v>
      </c>
      <c r="D38" s="18">
        <f t="shared" si="0"/>
        <v>890918.11999999976</v>
      </c>
      <c r="E38" s="19">
        <f>Table2[[#This Row],[GrossRevenue]]/Table2[[#This Row],[CategoryTotalRevenue]]</f>
        <v>8.1586622124152127E-3</v>
      </c>
      <c r="F38">
        <f t="shared" si="1"/>
        <v>0.95827757998681229</v>
      </c>
      <c r="G38" t="str">
        <f t="shared" si="2"/>
        <v>C</v>
      </c>
    </row>
    <row r="39" spans="1:7" x14ac:dyDescent="0.45">
      <c r="A39" t="s">
        <v>1066</v>
      </c>
      <c r="B39" t="s">
        <v>733</v>
      </c>
      <c r="C39" s="8">
        <v>5771.7</v>
      </c>
      <c r="D39" s="18">
        <f t="shared" si="0"/>
        <v>890918.11999999976</v>
      </c>
      <c r="E39" s="19">
        <f>Table2[[#This Row],[GrossRevenue]]/Table2[[#This Row],[CategoryTotalRevenue]]</f>
        <v>6.478373119181818E-3</v>
      </c>
      <c r="F39">
        <f t="shared" si="1"/>
        <v>0.96475595310599416</v>
      </c>
      <c r="G39" t="str">
        <f t="shared" si="2"/>
        <v>C</v>
      </c>
    </row>
    <row r="40" spans="1:7" x14ac:dyDescent="0.45">
      <c r="A40" t="s">
        <v>865</v>
      </c>
      <c r="B40" t="s">
        <v>733</v>
      </c>
      <c r="C40" s="8">
        <v>5148.99</v>
      </c>
      <c r="D40" s="18">
        <f t="shared" si="0"/>
        <v>890918.11999999976</v>
      </c>
      <c r="E40" s="19">
        <f>Table2[[#This Row],[GrossRevenue]]/Table2[[#This Row],[CategoryTotalRevenue]]</f>
        <v>5.7794199987760957E-3</v>
      </c>
      <c r="F40">
        <f t="shared" si="1"/>
        <v>0.97053537310477023</v>
      </c>
      <c r="G40" t="str">
        <f t="shared" si="2"/>
        <v>C</v>
      </c>
    </row>
    <row r="41" spans="1:7" x14ac:dyDescent="0.45">
      <c r="A41" t="s">
        <v>1274</v>
      </c>
      <c r="B41" t="s">
        <v>733</v>
      </c>
      <c r="C41" s="8">
        <v>5034.24</v>
      </c>
      <c r="D41" s="18">
        <f t="shared" si="0"/>
        <v>890918.11999999976</v>
      </c>
      <c r="E41" s="19">
        <f>Table2[[#This Row],[GrossRevenue]]/Table2[[#This Row],[CategoryTotalRevenue]]</f>
        <v>5.6506202837136154E-3</v>
      </c>
      <c r="F41">
        <f t="shared" si="1"/>
        <v>0.97618599338848389</v>
      </c>
      <c r="G41" t="str">
        <f t="shared" si="2"/>
        <v>C</v>
      </c>
    </row>
    <row r="42" spans="1:7" x14ac:dyDescent="0.45">
      <c r="A42" t="s">
        <v>1302</v>
      </c>
      <c r="B42" t="s">
        <v>733</v>
      </c>
      <c r="C42" s="8">
        <v>4986</v>
      </c>
      <c r="D42" s="18">
        <f t="shared" si="0"/>
        <v>890918.11999999976</v>
      </c>
      <c r="E42" s="19">
        <f>Table2[[#This Row],[GrossRevenue]]/Table2[[#This Row],[CategoryTotalRevenue]]</f>
        <v>5.5964738936951927E-3</v>
      </c>
      <c r="F42">
        <f t="shared" si="1"/>
        <v>0.98178246728217911</v>
      </c>
      <c r="G42" t="str">
        <f t="shared" si="2"/>
        <v>C</v>
      </c>
    </row>
    <row r="43" spans="1:7" x14ac:dyDescent="0.45">
      <c r="A43" t="s">
        <v>1091</v>
      </c>
      <c r="B43" t="s">
        <v>733</v>
      </c>
      <c r="C43" s="8">
        <v>4071.8</v>
      </c>
      <c r="D43" s="18">
        <f t="shared" si="0"/>
        <v>890918.11999999976</v>
      </c>
      <c r="E43" s="19">
        <f>Table2[[#This Row],[GrossRevenue]]/Table2[[#This Row],[CategoryTotalRevenue]]</f>
        <v>4.5703414360906717E-3</v>
      </c>
      <c r="F43">
        <f t="shared" si="1"/>
        <v>0.9863528087182698</v>
      </c>
      <c r="G43" t="str">
        <f t="shared" si="2"/>
        <v>C</v>
      </c>
    </row>
    <row r="44" spans="1:7" x14ac:dyDescent="0.45">
      <c r="A44" t="s">
        <v>1071</v>
      </c>
      <c r="B44" t="s">
        <v>733</v>
      </c>
      <c r="C44" s="8">
        <v>3975.66</v>
      </c>
      <c r="D44" s="18">
        <f t="shared" si="0"/>
        <v>890918.11999999976</v>
      </c>
      <c r="E44" s="19">
        <f>Table2[[#This Row],[GrossRevenue]]/Table2[[#This Row],[CategoryTotalRevenue]]</f>
        <v>4.4624302848391955E-3</v>
      </c>
      <c r="F44">
        <f t="shared" si="1"/>
        <v>0.99081523900310897</v>
      </c>
      <c r="G44" t="str">
        <f t="shared" si="2"/>
        <v>C</v>
      </c>
    </row>
    <row r="45" spans="1:7" x14ac:dyDescent="0.45">
      <c r="A45" t="s">
        <v>1198</v>
      </c>
      <c r="B45" t="s">
        <v>733</v>
      </c>
      <c r="C45" s="8">
        <v>3527.7000000000003</v>
      </c>
      <c r="D45" s="18">
        <f t="shared" si="0"/>
        <v>890918.11999999976</v>
      </c>
      <c r="E45" s="19">
        <f>Table2[[#This Row],[GrossRevenue]]/Table2[[#This Row],[CategoryTotalRevenue]]</f>
        <v>3.9596231357377724E-3</v>
      </c>
      <c r="F45">
        <f t="shared" si="1"/>
        <v>0.99477486213884669</v>
      </c>
      <c r="G45" t="str">
        <f t="shared" si="2"/>
        <v>C</v>
      </c>
    </row>
    <row r="46" spans="1:7" x14ac:dyDescent="0.45">
      <c r="A46" t="s">
        <v>873</v>
      </c>
      <c r="B46" t="s">
        <v>733</v>
      </c>
      <c r="C46" s="8">
        <v>1952.7</v>
      </c>
      <c r="D46" s="18">
        <f t="shared" si="0"/>
        <v>890918.11999999976</v>
      </c>
      <c r="E46" s="19">
        <f>Table2[[#This Row],[GrossRevenue]]/Table2[[#This Row],[CategoryTotalRevenue]]</f>
        <v>2.1917839093900126E-3</v>
      </c>
      <c r="F46">
        <f t="shared" si="1"/>
        <v>0.9969666460482367</v>
      </c>
      <c r="G46" t="str">
        <f t="shared" si="2"/>
        <v>C</v>
      </c>
    </row>
    <row r="47" spans="1:7" x14ac:dyDescent="0.45">
      <c r="A47" t="s">
        <v>1222</v>
      </c>
      <c r="B47" t="s">
        <v>733</v>
      </c>
      <c r="C47" s="8">
        <v>1547.3500000000001</v>
      </c>
      <c r="D47" s="18">
        <f t="shared" si="0"/>
        <v>890918.11999999976</v>
      </c>
      <c r="E47" s="19">
        <f>Table2[[#This Row],[GrossRevenue]]/Table2[[#This Row],[CategoryTotalRevenue]]</f>
        <v>1.7368038265963212E-3</v>
      </c>
      <c r="F47">
        <f t="shared" si="1"/>
        <v>0.99870344987483306</v>
      </c>
      <c r="G47" t="str">
        <f t="shared" si="2"/>
        <v>C</v>
      </c>
    </row>
    <row r="48" spans="1:7" x14ac:dyDescent="0.45">
      <c r="A48" t="s">
        <v>1249</v>
      </c>
      <c r="B48" t="s">
        <v>733</v>
      </c>
      <c r="C48" s="8">
        <v>1131.44</v>
      </c>
      <c r="D48" s="18">
        <f t="shared" si="0"/>
        <v>890918.11999999976</v>
      </c>
      <c r="E48" s="19">
        <f>Table2[[#This Row],[GrossRevenue]]/Table2[[#This Row],[CategoryTotalRevenue]]</f>
        <v>1.2699708027040693E-3</v>
      </c>
      <c r="F48">
        <f t="shared" si="1"/>
        <v>0.99997342067753714</v>
      </c>
      <c r="G48" t="str">
        <f t="shared" si="2"/>
        <v>C</v>
      </c>
    </row>
    <row r="49" spans="1:7" x14ac:dyDescent="0.45">
      <c r="A49" t="s">
        <v>914</v>
      </c>
      <c r="B49" t="s">
        <v>733</v>
      </c>
      <c r="C49" s="8">
        <v>23.68</v>
      </c>
      <c r="D49" s="18">
        <f t="shared" si="0"/>
        <v>890918.11999999976</v>
      </c>
      <c r="E49" s="19">
        <f>Table2[[#This Row],[GrossRevenue]]/Table2[[#This Row],[CategoryTotalRevenue]]</f>
        <v>2.657932246343806E-5</v>
      </c>
      <c r="F49">
        <f t="shared" si="1"/>
        <v>1.0000000000000007</v>
      </c>
      <c r="G49" t="str">
        <f t="shared" si="2"/>
        <v>C</v>
      </c>
    </row>
    <row r="50" spans="1:7" x14ac:dyDescent="0.45">
      <c r="A50" t="s">
        <v>970</v>
      </c>
      <c r="B50" t="s">
        <v>727</v>
      </c>
      <c r="C50" s="8">
        <v>168209.94</v>
      </c>
      <c r="D50" s="18">
        <f t="shared" si="0"/>
        <v>1012412.1400000001</v>
      </c>
      <c r="E50" s="19">
        <f>Table2[[#This Row],[GrossRevenue]]/Table2[[#This Row],[CategoryTotalRevenue]]</f>
        <v>0.16614769159129203</v>
      </c>
      <c r="F50">
        <f t="shared" si="1"/>
        <v>0.16614769159129203</v>
      </c>
      <c r="G50" t="str">
        <f t="shared" si="2"/>
        <v>A</v>
      </c>
    </row>
    <row r="51" spans="1:7" x14ac:dyDescent="0.45">
      <c r="A51" t="s">
        <v>1124</v>
      </c>
      <c r="B51" t="s">
        <v>727</v>
      </c>
      <c r="C51" s="8">
        <v>74802.350000000006</v>
      </c>
      <c r="D51" s="18">
        <f t="shared" si="0"/>
        <v>1012412.1400000001</v>
      </c>
      <c r="E51" s="19">
        <f>Table2[[#This Row],[GrossRevenue]]/Table2[[#This Row],[CategoryTotalRevenue]]</f>
        <v>7.3885275615126464E-2</v>
      </c>
      <c r="F51">
        <f t="shared" si="1"/>
        <v>0.24003296720641848</v>
      </c>
      <c r="G51" t="str">
        <f t="shared" si="2"/>
        <v>A</v>
      </c>
    </row>
    <row r="52" spans="1:7" x14ac:dyDescent="0.45">
      <c r="A52" t="s">
        <v>743</v>
      </c>
      <c r="B52" t="s">
        <v>727</v>
      </c>
      <c r="C52" s="8">
        <v>71596.36</v>
      </c>
      <c r="D52" s="18">
        <f t="shared" si="0"/>
        <v>1012412.1400000001</v>
      </c>
      <c r="E52" s="19">
        <f>Table2[[#This Row],[GrossRevenue]]/Table2[[#This Row],[CategoryTotalRevenue]]</f>
        <v>7.0718590948543936E-2</v>
      </c>
      <c r="F52">
        <f t="shared" si="1"/>
        <v>0.31075155815496242</v>
      </c>
      <c r="G52" t="str">
        <f t="shared" si="2"/>
        <v>A</v>
      </c>
    </row>
    <row r="53" spans="1:7" x14ac:dyDescent="0.45">
      <c r="A53" t="s">
        <v>1244</v>
      </c>
      <c r="B53" t="s">
        <v>727</v>
      </c>
      <c r="C53" s="8">
        <v>58895.1</v>
      </c>
      <c r="D53" s="18">
        <f t="shared" si="0"/>
        <v>1012412.1400000001</v>
      </c>
      <c r="E53" s="19">
        <f>Table2[[#This Row],[GrossRevenue]]/Table2[[#This Row],[CategoryTotalRevenue]]</f>
        <v>5.8173047984193461E-2</v>
      </c>
      <c r="F53">
        <f t="shared" si="1"/>
        <v>0.3689246061391559</v>
      </c>
      <c r="G53" t="str">
        <f t="shared" si="2"/>
        <v>A</v>
      </c>
    </row>
    <row r="54" spans="1:7" x14ac:dyDescent="0.45">
      <c r="A54" t="s">
        <v>1237</v>
      </c>
      <c r="B54" t="s">
        <v>727</v>
      </c>
      <c r="C54" s="8">
        <v>36870.26</v>
      </c>
      <c r="D54" s="18">
        <f t="shared" si="0"/>
        <v>1012412.1400000001</v>
      </c>
      <c r="E54" s="19">
        <f>Table2[[#This Row],[GrossRevenue]]/Table2[[#This Row],[CategoryTotalRevenue]]</f>
        <v>3.6418231808243627E-2</v>
      </c>
      <c r="F54">
        <f t="shared" si="1"/>
        <v>0.4053428379473995</v>
      </c>
      <c r="G54" t="str">
        <f t="shared" si="2"/>
        <v>A</v>
      </c>
    </row>
    <row r="55" spans="1:7" x14ac:dyDescent="0.45">
      <c r="A55" t="s">
        <v>1246</v>
      </c>
      <c r="B55" t="s">
        <v>727</v>
      </c>
      <c r="C55" s="8">
        <v>33308.550000000003</v>
      </c>
      <c r="D55" s="18">
        <f t="shared" si="0"/>
        <v>1012412.1400000001</v>
      </c>
      <c r="E55" s="19">
        <f>Table2[[#This Row],[GrossRevenue]]/Table2[[#This Row],[CategoryTotalRevenue]]</f>
        <v>3.2900188257323743E-2</v>
      </c>
      <c r="F55">
        <f t="shared" si="1"/>
        <v>0.43824302620472322</v>
      </c>
      <c r="G55" t="str">
        <f t="shared" si="2"/>
        <v>A</v>
      </c>
    </row>
    <row r="56" spans="1:7" x14ac:dyDescent="0.45">
      <c r="A56" t="s">
        <v>1081</v>
      </c>
      <c r="B56" t="s">
        <v>727</v>
      </c>
      <c r="C56" s="8">
        <v>31727.68</v>
      </c>
      <c r="D56" s="18">
        <f t="shared" si="0"/>
        <v>1012412.1400000001</v>
      </c>
      <c r="E56" s="19">
        <f>Table2[[#This Row],[GrossRevenue]]/Table2[[#This Row],[CategoryTotalRevenue]]</f>
        <v>3.1338699672250073E-2</v>
      </c>
      <c r="F56">
        <f t="shared" si="1"/>
        <v>0.46958172587697328</v>
      </c>
      <c r="G56" t="str">
        <f t="shared" si="2"/>
        <v>A</v>
      </c>
    </row>
    <row r="57" spans="1:7" x14ac:dyDescent="0.45">
      <c r="A57" t="s">
        <v>1318</v>
      </c>
      <c r="B57" t="s">
        <v>727</v>
      </c>
      <c r="C57" s="8">
        <v>27708</v>
      </c>
      <c r="D57" s="18">
        <f t="shared" si="0"/>
        <v>1012412.1400000001</v>
      </c>
      <c r="E57" s="19">
        <f>Table2[[#This Row],[GrossRevenue]]/Table2[[#This Row],[CategoryTotalRevenue]]</f>
        <v>2.7368300818676469E-2</v>
      </c>
      <c r="F57">
        <f t="shared" si="1"/>
        <v>0.49695002669564975</v>
      </c>
      <c r="G57" t="str">
        <f t="shared" si="2"/>
        <v>A</v>
      </c>
    </row>
    <row r="58" spans="1:7" x14ac:dyDescent="0.45">
      <c r="A58" t="s">
        <v>844</v>
      </c>
      <c r="B58" t="s">
        <v>727</v>
      </c>
      <c r="C58" s="8">
        <v>27676.35</v>
      </c>
      <c r="D58" s="18">
        <f t="shared" si="0"/>
        <v>1012412.1400000001</v>
      </c>
      <c r="E58" s="19">
        <f>Table2[[#This Row],[GrossRevenue]]/Table2[[#This Row],[CategoryTotalRevenue]]</f>
        <v>2.7337038846649939E-2</v>
      </c>
      <c r="F58">
        <f t="shared" si="1"/>
        <v>0.52428706554229965</v>
      </c>
      <c r="G58" t="str">
        <f t="shared" si="2"/>
        <v>A</v>
      </c>
    </row>
    <row r="59" spans="1:7" x14ac:dyDescent="0.45">
      <c r="A59" t="s">
        <v>1057</v>
      </c>
      <c r="B59" t="s">
        <v>727</v>
      </c>
      <c r="C59" s="8">
        <v>27413.539999999997</v>
      </c>
      <c r="D59" s="18">
        <f t="shared" si="0"/>
        <v>1012412.1400000001</v>
      </c>
      <c r="E59" s="19">
        <f>Table2[[#This Row],[GrossRevenue]]/Table2[[#This Row],[CategoryTotalRevenue]]</f>
        <v>2.7077450888726002E-2</v>
      </c>
      <c r="F59">
        <f t="shared" si="1"/>
        <v>0.55136451643102569</v>
      </c>
      <c r="G59" t="str">
        <f t="shared" si="2"/>
        <v>A</v>
      </c>
    </row>
    <row r="60" spans="1:7" x14ac:dyDescent="0.45">
      <c r="A60" t="s">
        <v>1033</v>
      </c>
      <c r="B60" t="s">
        <v>727</v>
      </c>
      <c r="C60" s="8">
        <v>27094.57</v>
      </c>
      <c r="D60" s="18">
        <f t="shared" si="0"/>
        <v>1012412.1400000001</v>
      </c>
      <c r="E60" s="19">
        <f>Table2[[#This Row],[GrossRevenue]]/Table2[[#This Row],[CategoryTotalRevenue]]</f>
        <v>2.6762391450580587E-2</v>
      </c>
      <c r="F60">
        <f t="shared" si="1"/>
        <v>0.57812690788160626</v>
      </c>
      <c r="G60" t="str">
        <f t="shared" si="2"/>
        <v>A</v>
      </c>
    </row>
    <row r="61" spans="1:7" x14ac:dyDescent="0.45">
      <c r="A61" t="s">
        <v>1184</v>
      </c>
      <c r="B61" t="s">
        <v>727</v>
      </c>
      <c r="C61" s="8">
        <v>25505.279999999999</v>
      </c>
      <c r="D61" s="18">
        <f t="shared" si="0"/>
        <v>1012412.1400000001</v>
      </c>
      <c r="E61" s="19">
        <f>Table2[[#This Row],[GrossRevenue]]/Table2[[#This Row],[CategoryTotalRevenue]]</f>
        <v>2.5192586094433828E-2</v>
      </c>
      <c r="F61">
        <f t="shared" si="1"/>
        <v>0.60331949397604012</v>
      </c>
      <c r="G61" t="str">
        <f t="shared" si="2"/>
        <v>A</v>
      </c>
    </row>
    <row r="62" spans="1:7" x14ac:dyDescent="0.45">
      <c r="A62" t="s">
        <v>758</v>
      </c>
      <c r="B62" t="s">
        <v>727</v>
      </c>
      <c r="C62" s="8">
        <v>25069.919999999998</v>
      </c>
      <c r="D62" s="18">
        <f t="shared" si="0"/>
        <v>1012412.1400000001</v>
      </c>
      <c r="E62" s="19">
        <f>Table2[[#This Row],[GrossRevenue]]/Table2[[#This Row],[CategoryTotalRevenue]]</f>
        <v>2.4762563593913437E-2</v>
      </c>
      <c r="F62">
        <f t="shared" si="1"/>
        <v>0.62808205756995361</v>
      </c>
      <c r="G62" t="str">
        <f t="shared" si="2"/>
        <v>A</v>
      </c>
    </row>
    <row r="63" spans="1:7" x14ac:dyDescent="0.45">
      <c r="A63" t="s">
        <v>993</v>
      </c>
      <c r="B63" t="s">
        <v>727</v>
      </c>
      <c r="C63" s="8">
        <v>24818.52</v>
      </c>
      <c r="D63" s="18">
        <f t="shared" si="0"/>
        <v>1012412.1400000001</v>
      </c>
      <c r="E63" s="19">
        <f>Table2[[#This Row],[GrossRevenue]]/Table2[[#This Row],[CategoryTotalRevenue]]</f>
        <v>2.4514245749759578E-2</v>
      </c>
      <c r="F63">
        <f t="shared" si="1"/>
        <v>0.65259630331971319</v>
      </c>
      <c r="G63" t="str">
        <f t="shared" si="2"/>
        <v>A</v>
      </c>
    </row>
    <row r="64" spans="1:7" x14ac:dyDescent="0.45">
      <c r="A64" t="s">
        <v>891</v>
      </c>
      <c r="B64" t="s">
        <v>727</v>
      </c>
      <c r="C64" s="8">
        <v>24767.100000000002</v>
      </c>
      <c r="D64" s="18">
        <f t="shared" si="0"/>
        <v>1012412.1400000001</v>
      </c>
      <c r="E64" s="19">
        <f>Table2[[#This Row],[GrossRevenue]]/Table2[[#This Row],[CategoryTotalRevenue]]</f>
        <v>2.446345615729183E-2</v>
      </c>
      <c r="F64">
        <f t="shared" si="1"/>
        <v>0.67705975947700503</v>
      </c>
      <c r="G64" t="str">
        <f t="shared" si="2"/>
        <v>A</v>
      </c>
    </row>
    <row r="65" spans="1:7" x14ac:dyDescent="0.45">
      <c r="A65" t="s">
        <v>1126</v>
      </c>
      <c r="B65" t="s">
        <v>727</v>
      </c>
      <c r="C65" s="8">
        <v>23240.48</v>
      </c>
      <c r="D65" s="18">
        <f t="shared" si="0"/>
        <v>1012412.1400000001</v>
      </c>
      <c r="E65" s="19">
        <f>Table2[[#This Row],[GrossRevenue]]/Table2[[#This Row],[CategoryTotalRevenue]]</f>
        <v>2.2955552468977701E-2</v>
      </c>
      <c r="F65">
        <f t="shared" si="1"/>
        <v>0.70001531194598277</v>
      </c>
      <c r="G65" t="str">
        <f t="shared" si="2"/>
        <v>A</v>
      </c>
    </row>
    <row r="66" spans="1:7" x14ac:dyDescent="0.45">
      <c r="A66" t="s">
        <v>989</v>
      </c>
      <c r="B66" t="s">
        <v>727</v>
      </c>
      <c r="C66" s="8">
        <v>23062.95</v>
      </c>
      <c r="D66" s="18">
        <f t="shared" ref="D66:D129" si="3">SUMIF($B$2:$B$1000, B66, $C$2:$C$1000)</f>
        <v>1012412.1400000001</v>
      </c>
      <c r="E66" s="19">
        <f>Table2[[#This Row],[GrossRevenue]]/Table2[[#This Row],[CategoryTotalRevenue]]</f>
        <v>2.2780198981019725E-2</v>
      </c>
      <c r="F66">
        <f t="shared" ref="F66:F129" si="4">IF(B66=B65, F65+E66, E66)</f>
        <v>0.72279551092700245</v>
      </c>
      <c r="G66" t="str">
        <f t="shared" ref="G66:G129" si="5">IF(F66&lt;=0.8, "A", IF(F66&lt;=0.95, "B", "C"))</f>
        <v>A</v>
      </c>
    </row>
    <row r="67" spans="1:7" x14ac:dyDescent="0.45">
      <c r="A67" t="s">
        <v>778</v>
      </c>
      <c r="B67" t="s">
        <v>727</v>
      </c>
      <c r="C67" s="8">
        <v>21919.920000000002</v>
      </c>
      <c r="D67" s="18">
        <f t="shared" si="3"/>
        <v>1012412.1400000001</v>
      </c>
      <c r="E67" s="19">
        <f>Table2[[#This Row],[GrossRevenue]]/Table2[[#This Row],[CategoryTotalRevenue]]</f>
        <v>2.1651182491746888E-2</v>
      </c>
      <c r="F67">
        <f t="shared" si="4"/>
        <v>0.74444669341874936</v>
      </c>
      <c r="G67" t="str">
        <f t="shared" si="5"/>
        <v>A</v>
      </c>
    </row>
    <row r="68" spans="1:7" x14ac:dyDescent="0.45">
      <c r="A68" t="s">
        <v>1100</v>
      </c>
      <c r="B68" t="s">
        <v>727</v>
      </c>
      <c r="C68" s="8">
        <v>20731.14</v>
      </c>
      <c r="D68" s="18">
        <f t="shared" si="3"/>
        <v>1012412.1400000001</v>
      </c>
      <c r="E68" s="19">
        <f>Table2[[#This Row],[GrossRevenue]]/Table2[[#This Row],[CategoryTotalRevenue]]</f>
        <v>2.04769768959902E-2</v>
      </c>
      <c r="F68">
        <f t="shared" si="4"/>
        <v>0.76492367031473951</v>
      </c>
      <c r="G68" t="str">
        <f t="shared" si="5"/>
        <v>A</v>
      </c>
    </row>
    <row r="69" spans="1:7" x14ac:dyDescent="0.45">
      <c r="A69" t="s">
        <v>1000</v>
      </c>
      <c r="B69" t="s">
        <v>727</v>
      </c>
      <c r="C69" s="8">
        <v>19702.16</v>
      </c>
      <c r="D69" s="18">
        <f t="shared" si="3"/>
        <v>1012412.1400000001</v>
      </c>
      <c r="E69" s="19">
        <f>Table2[[#This Row],[GrossRevenue]]/Table2[[#This Row],[CategoryTotalRevenue]]</f>
        <v>1.9460612157416443E-2</v>
      </c>
      <c r="F69">
        <f t="shared" si="4"/>
        <v>0.78438428247215597</v>
      </c>
      <c r="G69" t="str">
        <f t="shared" si="5"/>
        <v>A</v>
      </c>
    </row>
    <row r="70" spans="1:7" x14ac:dyDescent="0.45">
      <c r="A70" t="s">
        <v>1134</v>
      </c>
      <c r="B70" t="s">
        <v>727</v>
      </c>
      <c r="C70" s="8">
        <v>18955.36</v>
      </c>
      <c r="D70" s="18">
        <f t="shared" si="3"/>
        <v>1012412.1400000001</v>
      </c>
      <c r="E70" s="19">
        <f>Table2[[#This Row],[GrossRevenue]]/Table2[[#This Row],[CategoryTotalRevenue]]</f>
        <v>1.8722967901194862E-2</v>
      </c>
      <c r="F70">
        <f t="shared" si="4"/>
        <v>0.80310725037335084</v>
      </c>
      <c r="G70" t="str">
        <f t="shared" si="5"/>
        <v>B</v>
      </c>
    </row>
    <row r="71" spans="1:7" x14ac:dyDescent="0.45">
      <c r="A71" t="s">
        <v>820</v>
      </c>
      <c r="B71" t="s">
        <v>727</v>
      </c>
      <c r="C71" s="8">
        <v>16781.400000000001</v>
      </c>
      <c r="D71" s="18">
        <f t="shared" si="3"/>
        <v>1012412.1400000001</v>
      </c>
      <c r="E71" s="19">
        <f>Table2[[#This Row],[GrossRevenue]]/Table2[[#This Row],[CategoryTotalRevenue]]</f>
        <v>1.657566058028502E-2</v>
      </c>
      <c r="F71">
        <f t="shared" si="4"/>
        <v>0.81968291095363588</v>
      </c>
      <c r="G71" t="str">
        <f t="shared" si="5"/>
        <v>B</v>
      </c>
    </row>
    <row r="72" spans="1:7" x14ac:dyDescent="0.45">
      <c r="A72" t="s">
        <v>1357</v>
      </c>
      <c r="B72" t="s">
        <v>727</v>
      </c>
      <c r="C72" s="8">
        <v>16627.53</v>
      </c>
      <c r="D72" s="18">
        <f t="shared" si="3"/>
        <v>1012412.1400000001</v>
      </c>
      <c r="E72" s="19">
        <f>Table2[[#This Row],[GrossRevenue]]/Table2[[#This Row],[CategoryTotalRevenue]]</f>
        <v>1.6423677021494425E-2</v>
      </c>
      <c r="F72">
        <f t="shared" si="4"/>
        <v>0.83610658797513027</v>
      </c>
      <c r="G72" t="str">
        <f t="shared" si="5"/>
        <v>B</v>
      </c>
    </row>
    <row r="73" spans="1:7" x14ac:dyDescent="0.45">
      <c r="A73" t="s">
        <v>1204</v>
      </c>
      <c r="B73" t="s">
        <v>727</v>
      </c>
      <c r="C73" s="8">
        <v>16603.199999999997</v>
      </c>
      <c r="D73" s="18">
        <f t="shared" si="3"/>
        <v>1012412.1400000001</v>
      </c>
      <c r="E73" s="19">
        <f>Table2[[#This Row],[GrossRevenue]]/Table2[[#This Row],[CategoryTotalRevenue]]</f>
        <v>1.6399645306505308E-2</v>
      </c>
      <c r="F73">
        <f t="shared" si="4"/>
        <v>0.85250623328163555</v>
      </c>
      <c r="G73" t="str">
        <f t="shared" si="5"/>
        <v>B</v>
      </c>
    </row>
    <row r="74" spans="1:7" x14ac:dyDescent="0.45">
      <c r="A74" t="s">
        <v>812</v>
      </c>
      <c r="B74" t="s">
        <v>727</v>
      </c>
      <c r="C74" s="8">
        <v>14072.4</v>
      </c>
      <c r="D74" s="18">
        <f t="shared" si="3"/>
        <v>1012412.1400000001</v>
      </c>
      <c r="E74" s="19">
        <f>Table2[[#This Row],[GrossRevenue]]/Table2[[#This Row],[CategoryTotalRevenue]]</f>
        <v>1.3899872832421781E-2</v>
      </c>
      <c r="F74">
        <f t="shared" si="4"/>
        <v>0.86640610611405733</v>
      </c>
      <c r="G74" t="str">
        <f t="shared" si="5"/>
        <v>B</v>
      </c>
    </row>
    <row r="75" spans="1:7" x14ac:dyDescent="0.45">
      <c r="A75" t="s">
        <v>771</v>
      </c>
      <c r="B75" t="s">
        <v>727</v>
      </c>
      <c r="C75" s="8">
        <v>13883.28</v>
      </c>
      <c r="D75" s="18">
        <f t="shared" si="3"/>
        <v>1012412.1400000001</v>
      </c>
      <c r="E75" s="19">
        <f>Table2[[#This Row],[GrossRevenue]]/Table2[[#This Row],[CategoryTotalRevenue]]</f>
        <v>1.3713071437487899E-2</v>
      </c>
      <c r="F75">
        <f t="shared" si="4"/>
        <v>0.88011917755154523</v>
      </c>
      <c r="G75" t="str">
        <f t="shared" si="5"/>
        <v>B</v>
      </c>
    </row>
    <row r="76" spans="1:7" x14ac:dyDescent="0.45">
      <c r="A76" t="s">
        <v>812</v>
      </c>
      <c r="B76" t="s">
        <v>727</v>
      </c>
      <c r="C76" s="8">
        <v>13538.999999999998</v>
      </c>
      <c r="D76" s="18">
        <f t="shared" si="3"/>
        <v>1012412.1400000001</v>
      </c>
      <c r="E76" s="19">
        <f>Table2[[#This Row],[GrossRevenue]]/Table2[[#This Row],[CategoryTotalRevenue]]</f>
        <v>1.3373012299121578E-2</v>
      </c>
      <c r="F76">
        <f t="shared" si="4"/>
        <v>0.89349218985066681</v>
      </c>
      <c r="G76" t="str">
        <f t="shared" si="5"/>
        <v>B</v>
      </c>
    </row>
    <row r="77" spans="1:7" x14ac:dyDescent="0.45">
      <c r="A77" t="s">
        <v>764</v>
      </c>
      <c r="B77" t="s">
        <v>727</v>
      </c>
      <c r="C77" s="8">
        <v>10740.26</v>
      </c>
      <c r="D77" s="18">
        <f t="shared" si="3"/>
        <v>1012412.1400000001</v>
      </c>
      <c r="E77" s="19">
        <f>Table2[[#This Row],[GrossRevenue]]/Table2[[#This Row],[CategoryTotalRevenue]]</f>
        <v>1.0608584760747731E-2</v>
      </c>
      <c r="F77">
        <f t="shared" si="4"/>
        <v>0.90410077461141458</v>
      </c>
      <c r="G77" t="str">
        <f t="shared" si="5"/>
        <v>B</v>
      </c>
    </row>
    <row r="78" spans="1:7" x14ac:dyDescent="0.45">
      <c r="A78" t="s">
        <v>870</v>
      </c>
      <c r="B78" t="s">
        <v>727</v>
      </c>
      <c r="C78" s="8">
        <v>9786.24</v>
      </c>
      <c r="D78" s="18">
        <f t="shared" si="3"/>
        <v>1012412.1400000001</v>
      </c>
      <c r="E78" s="19">
        <f>Table2[[#This Row],[GrossRevenue]]/Table2[[#This Row],[CategoryTotalRevenue]]</f>
        <v>9.6662610150052113E-3</v>
      </c>
      <c r="F78">
        <f t="shared" si="4"/>
        <v>0.91376703562641981</v>
      </c>
      <c r="G78" t="str">
        <f t="shared" si="5"/>
        <v>B</v>
      </c>
    </row>
    <row r="79" spans="1:7" x14ac:dyDescent="0.45">
      <c r="A79" t="s">
        <v>859</v>
      </c>
      <c r="B79" t="s">
        <v>727</v>
      </c>
      <c r="C79" s="8">
        <v>9726.92</v>
      </c>
      <c r="D79" s="18">
        <f t="shared" si="3"/>
        <v>1012412.1400000001</v>
      </c>
      <c r="E79" s="19">
        <f>Table2[[#This Row],[GrossRevenue]]/Table2[[#This Row],[CategoryTotalRevenue]]</f>
        <v>9.6076682762812372E-3</v>
      </c>
      <c r="F79">
        <f t="shared" si="4"/>
        <v>0.92337470390270104</v>
      </c>
      <c r="G79" t="str">
        <f t="shared" si="5"/>
        <v>B</v>
      </c>
    </row>
    <row r="80" spans="1:7" x14ac:dyDescent="0.45">
      <c r="A80" t="s">
        <v>803</v>
      </c>
      <c r="B80" t="s">
        <v>727</v>
      </c>
      <c r="C80" s="8">
        <v>9400.75</v>
      </c>
      <c r="D80" s="18">
        <f t="shared" si="3"/>
        <v>1012412.1400000001</v>
      </c>
      <c r="E80" s="19">
        <f>Table2[[#This Row],[GrossRevenue]]/Table2[[#This Row],[CategoryTotalRevenue]]</f>
        <v>9.2854971099022958E-3</v>
      </c>
      <c r="F80">
        <f t="shared" si="4"/>
        <v>0.93266020101260338</v>
      </c>
      <c r="G80" t="str">
        <f t="shared" si="5"/>
        <v>B</v>
      </c>
    </row>
    <row r="81" spans="1:7" x14ac:dyDescent="0.45">
      <c r="A81" t="s">
        <v>1136</v>
      </c>
      <c r="B81" t="s">
        <v>727</v>
      </c>
      <c r="C81" s="8">
        <v>8809.9</v>
      </c>
      <c r="D81" s="18">
        <f t="shared" si="3"/>
        <v>1012412.1400000001</v>
      </c>
      <c r="E81" s="19">
        <f>Table2[[#This Row],[GrossRevenue]]/Table2[[#This Row],[CategoryTotalRevenue]]</f>
        <v>8.7018909117387699E-3</v>
      </c>
      <c r="F81">
        <f t="shared" si="4"/>
        <v>0.94136209192434217</v>
      </c>
      <c r="G81" t="str">
        <f t="shared" si="5"/>
        <v>B</v>
      </c>
    </row>
    <row r="82" spans="1:7" x14ac:dyDescent="0.45">
      <c r="A82" t="s">
        <v>1327</v>
      </c>
      <c r="B82" t="s">
        <v>727</v>
      </c>
      <c r="C82" s="8">
        <v>8493.75</v>
      </c>
      <c r="D82" s="18">
        <f t="shared" si="3"/>
        <v>1012412.1400000001</v>
      </c>
      <c r="E82" s="19">
        <f>Table2[[#This Row],[GrossRevenue]]/Table2[[#This Row],[CategoryTotalRevenue]]</f>
        <v>8.389616900484816E-3</v>
      </c>
      <c r="F82">
        <f t="shared" si="4"/>
        <v>0.94975170882482696</v>
      </c>
      <c r="G82" t="str">
        <f t="shared" si="5"/>
        <v>B</v>
      </c>
    </row>
    <row r="83" spans="1:7" x14ac:dyDescent="0.45">
      <c r="A83" t="s">
        <v>809</v>
      </c>
      <c r="B83" t="s">
        <v>727</v>
      </c>
      <c r="C83" s="8">
        <v>7759.01</v>
      </c>
      <c r="D83" s="18">
        <f t="shared" si="3"/>
        <v>1012412.1400000001</v>
      </c>
      <c r="E83" s="19">
        <f>Table2[[#This Row],[GrossRevenue]]/Table2[[#This Row],[CategoryTotalRevenue]]</f>
        <v>7.6638847890543853E-3</v>
      </c>
      <c r="F83">
        <f t="shared" si="4"/>
        <v>0.95741559361388129</v>
      </c>
      <c r="G83" t="str">
        <f t="shared" si="5"/>
        <v>C</v>
      </c>
    </row>
    <row r="84" spans="1:7" x14ac:dyDescent="0.45">
      <c r="A84" t="s">
        <v>835</v>
      </c>
      <c r="B84" t="s">
        <v>727</v>
      </c>
      <c r="C84" s="8">
        <v>7354.16</v>
      </c>
      <c r="D84" s="18">
        <f t="shared" si="3"/>
        <v>1012412.1400000001</v>
      </c>
      <c r="E84" s="19">
        <f>Table2[[#This Row],[GrossRevenue]]/Table2[[#This Row],[CategoryTotalRevenue]]</f>
        <v>7.2639982369235509E-3</v>
      </c>
      <c r="F84">
        <f t="shared" si="4"/>
        <v>0.96467959185080487</v>
      </c>
      <c r="G84" t="str">
        <f t="shared" si="5"/>
        <v>C</v>
      </c>
    </row>
    <row r="85" spans="1:7" x14ac:dyDescent="0.45">
      <c r="A85" t="s">
        <v>939</v>
      </c>
      <c r="B85" t="s">
        <v>727</v>
      </c>
      <c r="C85" s="8">
        <v>6967.1</v>
      </c>
      <c r="D85" s="18">
        <f t="shared" si="3"/>
        <v>1012412.1400000001</v>
      </c>
      <c r="E85" s="19">
        <f>Table2[[#This Row],[GrossRevenue]]/Table2[[#This Row],[CategoryTotalRevenue]]</f>
        <v>6.8816835799697142E-3</v>
      </c>
      <c r="F85">
        <f t="shared" si="4"/>
        <v>0.97156127543077464</v>
      </c>
      <c r="G85" t="str">
        <f t="shared" si="5"/>
        <v>C</v>
      </c>
    </row>
    <row r="86" spans="1:7" x14ac:dyDescent="0.45">
      <c r="A86" t="s">
        <v>1312</v>
      </c>
      <c r="B86" t="s">
        <v>727</v>
      </c>
      <c r="C86" s="8">
        <v>6199.7999999999993</v>
      </c>
      <c r="D86" s="18">
        <f t="shared" si="3"/>
        <v>1012412.1400000001</v>
      </c>
      <c r="E86" s="19">
        <f>Table2[[#This Row],[GrossRevenue]]/Table2[[#This Row],[CategoryTotalRevenue]]</f>
        <v>6.1237906530832381E-3</v>
      </c>
      <c r="F86">
        <f t="shared" si="4"/>
        <v>0.97768506608385786</v>
      </c>
      <c r="G86" t="str">
        <f t="shared" si="5"/>
        <v>C</v>
      </c>
    </row>
    <row r="87" spans="1:7" x14ac:dyDescent="0.45">
      <c r="A87" t="s">
        <v>895</v>
      </c>
      <c r="B87" t="s">
        <v>727</v>
      </c>
      <c r="C87" s="8">
        <v>6088.55</v>
      </c>
      <c r="D87" s="18">
        <f t="shared" si="3"/>
        <v>1012412.1400000001</v>
      </c>
      <c r="E87" s="19">
        <f>Table2[[#This Row],[GrossRevenue]]/Table2[[#This Row],[CategoryTotalRevenue]]</f>
        <v>6.0139045744749759E-3</v>
      </c>
      <c r="F87">
        <f t="shared" si="4"/>
        <v>0.98369897065833278</v>
      </c>
      <c r="G87" t="str">
        <f t="shared" si="5"/>
        <v>C</v>
      </c>
    </row>
    <row r="88" spans="1:7" x14ac:dyDescent="0.45">
      <c r="A88" t="s">
        <v>746</v>
      </c>
      <c r="B88" t="s">
        <v>727</v>
      </c>
      <c r="C88" s="8">
        <v>5484</v>
      </c>
      <c r="D88" s="18">
        <f t="shared" si="3"/>
        <v>1012412.1400000001</v>
      </c>
      <c r="E88" s="19">
        <f>Table2[[#This Row],[GrossRevenue]]/Table2[[#This Row],[CategoryTotalRevenue]]</f>
        <v>5.4167663378671058E-3</v>
      </c>
      <c r="F88">
        <f t="shared" si="4"/>
        <v>0.98911573699619992</v>
      </c>
      <c r="G88" t="str">
        <f t="shared" si="5"/>
        <v>C</v>
      </c>
    </row>
    <row r="89" spans="1:7" x14ac:dyDescent="0.45">
      <c r="A89" t="s">
        <v>903</v>
      </c>
      <c r="B89" t="s">
        <v>727</v>
      </c>
      <c r="C89" s="8">
        <v>2690.2</v>
      </c>
      <c r="D89" s="18">
        <f t="shared" si="3"/>
        <v>1012412.1400000001</v>
      </c>
      <c r="E89" s="19">
        <f>Table2[[#This Row],[GrossRevenue]]/Table2[[#This Row],[CategoryTotalRevenue]]</f>
        <v>2.6572182352534801E-3</v>
      </c>
      <c r="F89">
        <f t="shared" si="4"/>
        <v>0.99177295523145337</v>
      </c>
      <c r="G89" t="str">
        <f t="shared" si="5"/>
        <v>C</v>
      </c>
    </row>
    <row r="90" spans="1:7" x14ac:dyDescent="0.45">
      <c r="A90" t="s">
        <v>1059</v>
      </c>
      <c r="B90" t="s">
        <v>727</v>
      </c>
      <c r="C90" s="8">
        <v>2478.04</v>
      </c>
      <c r="D90" s="18">
        <f t="shared" si="3"/>
        <v>1012412.1400000001</v>
      </c>
      <c r="E90" s="19">
        <f>Table2[[#This Row],[GrossRevenue]]/Table2[[#This Row],[CategoryTotalRevenue]]</f>
        <v>2.44765930997232E-3</v>
      </c>
      <c r="F90">
        <f t="shared" si="4"/>
        <v>0.99422061454142574</v>
      </c>
      <c r="G90" t="str">
        <f t="shared" si="5"/>
        <v>C</v>
      </c>
    </row>
    <row r="91" spans="1:7" x14ac:dyDescent="0.45">
      <c r="A91" t="s">
        <v>858</v>
      </c>
      <c r="B91" t="s">
        <v>727</v>
      </c>
      <c r="C91" s="8">
        <v>2275.44</v>
      </c>
      <c r="D91" s="18">
        <f t="shared" si="3"/>
        <v>1012412.1400000001</v>
      </c>
      <c r="E91" s="19">
        <f>Table2[[#This Row],[GrossRevenue]]/Table2[[#This Row],[CategoryTotalRevenue]]</f>
        <v>2.2475431794012268E-3</v>
      </c>
      <c r="F91">
        <f t="shared" si="4"/>
        <v>0.99646815772082697</v>
      </c>
      <c r="G91" t="str">
        <f t="shared" si="5"/>
        <v>C</v>
      </c>
    </row>
    <row r="92" spans="1:7" x14ac:dyDescent="0.45">
      <c r="A92" t="s">
        <v>861</v>
      </c>
      <c r="B92" t="s">
        <v>727</v>
      </c>
      <c r="C92" s="8">
        <v>1039.3699999999999</v>
      </c>
      <c r="D92" s="18">
        <f t="shared" si="3"/>
        <v>1012412.1400000001</v>
      </c>
      <c r="E92" s="19">
        <f>Table2[[#This Row],[GrossRevenue]]/Table2[[#This Row],[CategoryTotalRevenue]]</f>
        <v>1.0266273575107463E-3</v>
      </c>
      <c r="F92">
        <f t="shared" si="4"/>
        <v>0.99749478507833778</v>
      </c>
      <c r="G92" t="str">
        <f t="shared" si="5"/>
        <v>C</v>
      </c>
    </row>
    <row r="93" spans="1:7" x14ac:dyDescent="0.45">
      <c r="A93" t="s">
        <v>1251</v>
      </c>
      <c r="B93" t="s">
        <v>727</v>
      </c>
      <c r="C93" s="8">
        <v>899.81999999999994</v>
      </c>
      <c r="D93" s="18">
        <f t="shared" si="3"/>
        <v>1012412.1400000001</v>
      </c>
      <c r="E93" s="19">
        <f>Table2[[#This Row],[GrossRevenue]]/Table2[[#This Row],[CategoryTotalRevenue]]</f>
        <v>8.8878823598460583E-4</v>
      </c>
      <c r="F93">
        <f t="shared" si="4"/>
        <v>0.99838357331432237</v>
      </c>
      <c r="G93" t="str">
        <f t="shared" si="5"/>
        <v>C</v>
      </c>
    </row>
    <row r="94" spans="1:7" x14ac:dyDescent="0.45">
      <c r="A94" t="s">
        <v>1056</v>
      </c>
      <c r="B94" t="s">
        <v>727</v>
      </c>
      <c r="C94" s="8">
        <v>853.45</v>
      </c>
      <c r="D94" s="18">
        <f t="shared" si="3"/>
        <v>1012412.1400000001</v>
      </c>
      <c r="E94" s="19">
        <f>Table2[[#This Row],[GrossRevenue]]/Table2[[#This Row],[CategoryTotalRevenue]]</f>
        <v>8.4298673068064944E-4</v>
      </c>
      <c r="F94">
        <f t="shared" si="4"/>
        <v>0.99922656004500299</v>
      </c>
      <c r="G94" t="str">
        <f t="shared" si="5"/>
        <v>C</v>
      </c>
    </row>
    <row r="95" spans="1:7" x14ac:dyDescent="0.45">
      <c r="A95" t="s">
        <v>963</v>
      </c>
      <c r="B95" t="s">
        <v>727</v>
      </c>
      <c r="C95" s="8">
        <v>783.04</v>
      </c>
      <c r="D95" s="18">
        <f t="shared" si="3"/>
        <v>1012412.1400000001</v>
      </c>
      <c r="E95" s="19">
        <f>Table2[[#This Row],[GrossRevenue]]/Table2[[#This Row],[CategoryTotalRevenue]]</f>
        <v>7.7343995499698363E-4</v>
      </c>
      <c r="F95">
        <f t="shared" si="4"/>
        <v>1</v>
      </c>
      <c r="G95" t="str">
        <f t="shared" si="5"/>
        <v>C</v>
      </c>
    </row>
    <row r="96" spans="1:7" x14ac:dyDescent="0.45">
      <c r="A96" t="s">
        <v>1154</v>
      </c>
      <c r="B96" t="s">
        <v>731</v>
      </c>
      <c r="C96" s="8">
        <v>121142.28</v>
      </c>
      <c r="D96" s="18">
        <f t="shared" si="3"/>
        <v>1054982.2500000002</v>
      </c>
      <c r="E96" s="19">
        <f>Table2[[#This Row],[GrossRevenue]]/Table2[[#This Row],[CategoryTotalRevenue]]</f>
        <v>0.11482873763989865</v>
      </c>
      <c r="F96">
        <f t="shared" si="4"/>
        <v>0.11482873763989865</v>
      </c>
      <c r="G96" t="str">
        <f t="shared" si="5"/>
        <v>A</v>
      </c>
    </row>
    <row r="97" spans="1:7" x14ac:dyDescent="0.45">
      <c r="A97" t="s">
        <v>1095</v>
      </c>
      <c r="B97" t="s">
        <v>731</v>
      </c>
      <c r="C97" s="8">
        <v>83686.319999999992</v>
      </c>
      <c r="D97" s="18">
        <f t="shared" si="3"/>
        <v>1054982.2500000002</v>
      </c>
      <c r="E97" s="19">
        <f>Table2[[#This Row],[GrossRevenue]]/Table2[[#This Row],[CategoryTotalRevenue]]</f>
        <v>7.9324860678935571E-2</v>
      </c>
      <c r="F97">
        <f t="shared" si="4"/>
        <v>0.19415359831883422</v>
      </c>
      <c r="G97" t="str">
        <f t="shared" si="5"/>
        <v>A</v>
      </c>
    </row>
    <row r="98" spans="1:7" x14ac:dyDescent="0.45">
      <c r="A98" t="s">
        <v>1253</v>
      </c>
      <c r="B98" t="s">
        <v>731</v>
      </c>
      <c r="C98" s="8">
        <v>71325.53</v>
      </c>
      <c r="D98" s="18">
        <f t="shared" si="3"/>
        <v>1054982.2500000002</v>
      </c>
      <c r="E98" s="19">
        <f>Table2[[#This Row],[GrossRevenue]]/Table2[[#This Row],[CategoryTotalRevenue]]</f>
        <v>6.7608274925952533E-2</v>
      </c>
      <c r="F98">
        <f t="shared" si="4"/>
        <v>0.26176187324478672</v>
      </c>
      <c r="G98" t="str">
        <f t="shared" si="5"/>
        <v>A</v>
      </c>
    </row>
    <row r="99" spans="1:7" x14ac:dyDescent="0.45">
      <c r="A99" t="s">
        <v>1163</v>
      </c>
      <c r="B99" t="s">
        <v>731</v>
      </c>
      <c r="C99" s="8">
        <v>58057.65</v>
      </c>
      <c r="D99" s="18">
        <f t="shared" si="3"/>
        <v>1054982.2500000002</v>
      </c>
      <c r="E99" s="19">
        <f>Table2[[#This Row],[GrossRevenue]]/Table2[[#This Row],[CategoryTotalRevenue]]</f>
        <v>5.5031873759013472E-2</v>
      </c>
      <c r="F99">
        <f t="shared" si="4"/>
        <v>0.3167937470038002</v>
      </c>
      <c r="G99" t="str">
        <f t="shared" si="5"/>
        <v>A</v>
      </c>
    </row>
    <row r="100" spans="1:7" x14ac:dyDescent="0.45">
      <c r="A100" t="s">
        <v>1210</v>
      </c>
      <c r="B100" t="s">
        <v>731</v>
      </c>
      <c r="C100" s="8">
        <v>53462.01</v>
      </c>
      <c r="D100" s="18">
        <f t="shared" si="3"/>
        <v>1054982.2500000002</v>
      </c>
      <c r="E100" s="19">
        <f>Table2[[#This Row],[GrossRevenue]]/Table2[[#This Row],[CategoryTotalRevenue]]</f>
        <v>5.067574359663396E-2</v>
      </c>
      <c r="F100">
        <f t="shared" si="4"/>
        <v>0.36746949060043416</v>
      </c>
      <c r="G100" t="str">
        <f t="shared" si="5"/>
        <v>A</v>
      </c>
    </row>
    <row r="101" spans="1:7" x14ac:dyDescent="0.45">
      <c r="A101" t="s">
        <v>1298</v>
      </c>
      <c r="B101" t="s">
        <v>731</v>
      </c>
      <c r="C101" s="8">
        <v>48649.37</v>
      </c>
      <c r="D101" s="18">
        <f t="shared" si="3"/>
        <v>1054982.2500000002</v>
      </c>
      <c r="E101" s="19">
        <f>Table2[[#This Row],[GrossRevenue]]/Table2[[#This Row],[CategoryTotalRevenue]]</f>
        <v>4.611392276979067E-2</v>
      </c>
      <c r="F101">
        <f t="shared" si="4"/>
        <v>0.41358341337022481</v>
      </c>
      <c r="G101" t="str">
        <f t="shared" si="5"/>
        <v>A</v>
      </c>
    </row>
    <row r="102" spans="1:7" x14ac:dyDescent="0.45">
      <c r="A102" t="s">
        <v>997</v>
      </c>
      <c r="B102" t="s">
        <v>731</v>
      </c>
      <c r="C102" s="8">
        <v>45926.63</v>
      </c>
      <c r="D102" s="18">
        <f t="shared" si="3"/>
        <v>1054982.2500000002</v>
      </c>
      <c r="E102" s="19">
        <f>Table2[[#This Row],[GrossRevenue]]/Table2[[#This Row],[CategoryTotalRevenue]]</f>
        <v>4.3533083139550441E-2</v>
      </c>
      <c r="F102">
        <f t="shared" si="4"/>
        <v>0.45711649650977526</v>
      </c>
      <c r="G102" t="str">
        <f t="shared" si="5"/>
        <v>A</v>
      </c>
    </row>
    <row r="103" spans="1:7" x14ac:dyDescent="0.45">
      <c r="A103" t="s">
        <v>753</v>
      </c>
      <c r="B103" t="s">
        <v>731</v>
      </c>
      <c r="C103" s="8">
        <v>40814.659999999996</v>
      </c>
      <c r="D103" s="18">
        <f t="shared" si="3"/>
        <v>1054982.2500000002</v>
      </c>
      <c r="E103" s="19">
        <f>Table2[[#This Row],[GrossRevenue]]/Table2[[#This Row],[CategoryTotalRevenue]]</f>
        <v>3.8687532420569146E-2</v>
      </c>
      <c r="F103">
        <f t="shared" si="4"/>
        <v>0.49580402893034442</v>
      </c>
      <c r="G103" t="str">
        <f t="shared" si="5"/>
        <v>A</v>
      </c>
    </row>
    <row r="104" spans="1:7" x14ac:dyDescent="0.45">
      <c r="A104" t="s">
        <v>1158</v>
      </c>
      <c r="B104" t="s">
        <v>731</v>
      </c>
      <c r="C104" s="8">
        <v>40580.82</v>
      </c>
      <c r="D104" s="18">
        <f t="shared" si="3"/>
        <v>1054982.2500000002</v>
      </c>
      <c r="E104" s="19">
        <f>Table2[[#This Row],[GrossRevenue]]/Table2[[#This Row],[CategoryTotalRevenue]]</f>
        <v>3.8465879402236378E-2</v>
      </c>
      <c r="F104">
        <f t="shared" si="4"/>
        <v>0.53426990833258081</v>
      </c>
      <c r="G104" t="str">
        <f t="shared" si="5"/>
        <v>A</v>
      </c>
    </row>
    <row r="105" spans="1:7" x14ac:dyDescent="0.45">
      <c r="A105" t="s">
        <v>1062</v>
      </c>
      <c r="B105" t="s">
        <v>731</v>
      </c>
      <c r="C105" s="8">
        <v>34695.54</v>
      </c>
      <c r="D105" s="18">
        <f t="shared" si="3"/>
        <v>1054982.2500000002</v>
      </c>
      <c r="E105" s="19">
        <f>Table2[[#This Row],[GrossRevenue]]/Table2[[#This Row],[CategoryTotalRevenue]]</f>
        <v>3.2887321089999373E-2</v>
      </c>
      <c r="F105">
        <f t="shared" si="4"/>
        <v>0.56715722942258018</v>
      </c>
      <c r="G105" t="str">
        <f t="shared" si="5"/>
        <v>A</v>
      </c>
    </row>
    <row r="106" spans="1:7" x14ac:dyDescent="0.45">
      <c r="A106" t="s">
        <v>1331</v>
      </c>
      <c r="B106" t="s">
        <v>731</v>
      </c>
      <c r="C106" s="8">
        <v>34246.36</v>
      </c>
      <c r="D106" s="18">
        <f t="shared" si="3"/>
        <v>1054982.2500000002</v>
      </c>
      <c r="E106" s="19">
        <f>Table2[[#This Row],[GrossRevenue]]/Table2[[#This Row],[CategoryTotalRevenue]]</f>
        <v>3.2461550893391804E-2</v>
      </c>
      <c r="F106">
        <f t="shared" si="4"/>
        <v>0.59961878031597193</v>
      </c>
      <c r="G106" t="str">
        <f t="shared" si="5"/>
        <v>A</v>
      </c>
    </row>
    <row r="107" spans="1:7" x14ac:dyDescent="0.45">
      <c r="A107" t="s">
        <v>790</v>
      </c>
      <c r="B107" t="s">
        <v>731</v>
      </c>
      <c r="C107" s="8">
        <v>30735.43</v>
      </c>
      <c r="D107" s="18">
        <f t="shared" si="3"/>
        <v>1054982.2500000002</v>
      </c>
      <c r="E107" s="19">
        <f>Table2[[#This Row],[GrossRevenue]]/Table2[[#This Row],[CategoryTotalRevenue]]</f>
        <v>2.9133599167189772E-2</v>
      </c>
      <c r="F107">
        <f t="shared" si="4"/>
        <v>0.62875237948316176</v>
      </c>
      <c r="G107" t="str">
        <f t="shared" si="5"/>
        <v>A</v>
      </c>
    </row>
    <row r="108" spans="1:7" x14ac:dyDescent="0.45">
      <c r="A108" t="s">
        <v>845</v>
      </c>
      <c r="B108" t="s">
        <v>731</v>
      </c>
      <c r="C108" s="8">
        <v>30517.89</v>
      </c>
      <c r="D108" s="18">
        <f t="shared" si="3"/>
        <v>1054982.2500000002</v>
      </c>
      <c r="E108" s="19">
        <f>Table2[[#This Row],[GrossRevenue]]/Table2[[#This Row],[CategoryTotalRevenue]]</f>
        <v>2.8927396645772943E-2</v>
      </c>
      <c r="F108">
        <f t="shared" si="4"/>
        <v>0.65767977612893469</v>
      </c>
      <c r="G108" t="str">
        <f t="shared" si="5"/>
        <v>A</v>
      </c>
    </row>
    <row r="109" spans="1:7" x14ac:dyDescent="0.45">
      <c r="A109" t="s">
        <v>1117</v>
      </c>
      <c r="B109" t="s">
        <v>731</v>
      </c>
      <c r="C109" s="8">
        <v>27240.63</v>
      </c>
      <c r="D109" s="18">
        <f t="shared" si="3"/>
        <v>1054982.2500000002</v>
      </c>
      <c r="E109" s="19">
        <f>Table2[[#This Row],[GrossRevenue]]/Table2[[#This Row],[CategoryTotalRevenue]]</f>
        <v>2.5820936797751805E-2</v>
      </c>
      <c r="F109">
        <f t="shared" si="4"/>
        <v>0.68350071292668646</v>
      </c>
      <c r="G109" t="str">
        <f t="shared" si="5"/>
        <v>A</v>
      </c>
    </row>
    <row r="110" spans="1:7" x14ac:dyDescent="0.45">
      <c r="A110" t="s">
        <v>923</v>
      </c>
      <c r="B110" t="s">
        <v>731</v>
      </c>
      <c r="C110" s="8">
        <v>24895.51</v>
      </c>
      <c r="D110" s="18">
        <f t="shared" si="3"/>
        <v>1054982.2500000002</v>
      </c>
      <c r="E110" s="19">
        <f>Table2[[#This Row],[GrossRevenue]]/Table2[[#This Row],[CategoryTotalRevenue]]</f>
        <v>2.3598036839008421E-2</v>
      </c>
      <c r="F110">
        <f t="shared" si="4"/>
        <v>0.70709874976569487</v>
      </c>
      <c r="G110" t="str">
        <f t="shared" si="5"/>
        <v>A</v>
      </c>
    </row>
    <row r="111" spans="1:7" x14ac:dyDescent="0.45">
      <c r="A111" t="s">
        <v>1304</v>
      </c>
      <c r="B111" t="s">
        <v>731</v>
      </c>
      <c r="C111" s="8">
        <v>24135.68</v>
      </c>
      <c r="D111" s="18">
        <f t="shared" si="3"/>
        <v>1054982.2500000002</v>
      </c>
      <c r="E111" s="19">
        <f>Table2[[#This Row],[GrossRevenue]]/Table2[[#This Row],[CategoryTotalRevenue]]</f>
        <v>2.2877806711913869E-2</v>
      </c>
      <c r="F111">
        <f t="shared" si="4"/>
        <v>0.72997655647760873</v>
      </c>
      <c r="G111" t="str">
        <f t="shared" si="5"/>
        <v>A</v>
      </c>
    </row>
    <row r="112" spans="1:7" x14ac:dyDescent="0.45">
      <c r="A112" t="s">
        <v>1119</v>
      </c>
      <c r="B112" t="s">
        <v>731</v>
      </c>
      <c r="C112" s="8">
        <v>22649.899999999998</v>
      </c>
      <c r="D112" s="18">
        <f t="shared" si="3"/>
        <v>1054982.2500000002</v>
      </c>
      <c r="E112" s="19">
        <f>Table2[[#This Row],[GrossRevenue]]/Table2[[#This Row],[CategoryTotalRevenue]]</f>
        <v>2.1469460742112007E-2</v>
      </c>
      <c r="F112">
        <f t="shared" si="4"/>
        <v>0.75144601721972071</v>
      </c>
      <c r="G112" t="str">
        <f t="shared" si="5"/>
        <v>A</v>
      </c>
    </row>
    <row r="113" spans="1:7" x14ac:dyDescent="0.45">
      <c r="A113" t="s">
        <v>984</v>
      </c>
      <c r="B113" t="s">
        <v>731</v>
      </c>
      <c r="C113" s="8">
        <v>21898.800000000003</v>
      </c>
      <c r="D113" s="18">
        <f t="shared" si="3"/>
        <v>1054982.2500000002</v>
      </c>
      <c r="E113" s="19">
        <f>Table2[[#This Row],[GrossRevenue]]/Table2[[#This Row],[CategoryTotalRevenue]]</f>
        <v>2.0757505635758323E-2</v>
      </c>
      <c r="F113">
        <f t="shared" si="4"/>
        <v>0.772203522855479</v>
      </c>
      <c r="G113" t="str">
        <f t="shared" si="5"/>
        <v>A</v>
      </c>
    </row>
    <row r="114" spans="1:7" x14ac:dyDescent="0.45">
      <c r="A114" t="s">
        <v>1267</v>
      </c>
      <c r="B114" t="s">
        <v>731</v>
      </c>
      <c r="C114" s="8">
        <v>18710.28</v>
      </c>
      <c r="D114" s="18">
        <f t="shared" si="3"/>
        <v>1054982.2500000002</v>
      </c>
      <c r="E114" s="19">
        <f>Table2[[#This Row],[GrossRevenue]]/Table2[[#This Row],[CategoryTotalRevenue]]</f>
        <v>1.7735160947020667E-2</v>
      </c>
      <c r="F114">
        <f t="shared" si="4"/>
        <v>0.78993868380249965</v>
      </c>
      <c r="G114" t="str">
        <f t="shared" si="5"/>
        <v>A</v>
      </c>
    </row>
    <row r="115" spans="1:7" x14ac:dyDescent="0.45">
      <c r="A115" t="s">
        <v>1157</v>
      </c>
      <c r="B115" t="s">
        <v>731</v>
      </c>
      <c r="C115" s="8">
        <v>18581.599999999999</v>
      </c>
      <c r="D115" s="18">
        <f t="shared" si="3"/>
        <v>1054982.2500000002</v>
      </c>
      <c r="E115" s="19">
        <f>Table2[[#This Row],[GrossRevenue]]/Table2[[#This Row],[CategoryTotalRevenue]]</f>
        <v>1.7613187330876887E-2</v>
      </c>
      <c r="F115">
        <f t="shared" si="4"/>
        <v>0.80755187113337656</v>
      </c>
      <c r="G115" t="str">
        <f t="shared" si="5"/>
        <v>B</v>
      </c>
    </row>
    <row r="116" spans="1:7" x14ac:dyDescent="0.45">
      <c r="A116" t="s">
        <v>900</v>
      </c>
      <c r="B116" t="s">
        <v>731</v>
      </c>
      <c r="C116" s="8">
        <v>17992.899999999998</v>
      </c>
      <c r="D116" s="18">
        <f t="shared" si="3"/>
        <v>1054982.2500000002</v>
      </c>
      <c r="E116" s="19">
        <f>Table2[[#This Row],[GrossRevenue]]/Table2[[#This Row],[CategoryTotalRevenue]]</f>
        <v>1.705516846373481E-2</v>
      </c>
      <c r="F116">
        <f t="shared" si="4"/>
        <v>0.82460703959711135</v>
      </c>
      <c r="G116" t="str">
        <f t="shared" si="5"/>
        <v>B</v>
      </c>
    </row>
    <row r="117" spans="1:7" x14ac:dyDescent="0.45">
      <c r="A117" t="s">
        <v>1120</v>
      </c>
      <c r="B117" t="s">
        <v>731</v>
      </c>
      <c r="C117" s="8">
        <v>16539.47</v>
      </c>
      <c r="D117" s="18">
        <f t="shared" si="3"/>
        <v>1054982.2500000002</v>
      </c>
      <c r="E117" s="19">
        <f>Table2[[#This Row],[GrossRevenue]]/Table2[[#This Row],[CategoryTotalRevenue]]</f>
        <v>1.5677486516953245E-2</v>
      </c>
      <c r="F117">
        <f t="shared" si="4"/>
        <v>0.84028452611406457</v>
      </c>
      <c r="G117" t="str">
        <f t="shared" si="5"/>
        <v>B</v>
      </c>
    </row>
    <row r="118" spans="1:7" x14ac:dyDescent="0.45">
      <c r="A118" t="s">
        <v>957</v>
      </c>
      <c r="B118" t="s">
        <v>731</v>
      </c>
      <c r="C118" s="8">
        <v>16323</v>
      </c>
      <c r="D118" s="18">
        <f t="shared" si="3"/>
        <v>1054982.2500000002</v>
      </c>
      <c r="E118" s="19">
        <f>Table2[[#This Row],[GrossRevenue]]/Table2[[#This Row],[CategoryTotalRevenue]]</f>
        <v>1.5472298230610037E-2</v>
      </c>
      <c r="F118">
        <f t="shared" si="4"/>
        <v>0.85575682434467459</v>
      </c>
      <c r="G118" t="str">
        <f t="shared" si="5"/>
        <v>B</v>
      </c>
    </row>
    <row r="119" spans="1:7" x14ac:dyDescent="0.45">
      <c r="A119" t="s">
        <v>838</v>
      </c>
      <c r="B119" t="s">
        <v>731</v>
      </c>
      <c r="C119" s="8">
        <v>14844.349999999999</v>
      </c>
      <c r="D119" s="18">
        <f t="shared" si="3"/>
        <v>1054982.2500000002</v>
      </c>
      <c r="E119" s="19">
        <f>Table2[[#This Row],[GrossRevenue]]/Table2[[#This Row],[CategoryTotalRevenue]]</f>
        <v>1.4070710668354842E-2</v>
      </c>
      <c r="F119">
        <f t="shared" si="4"/>
        <v>0.86982753501302945</v>
      </c>
      <c r="G119" t="str">
        <f t="shared" si="5"/>
        <v>B</v>
      </c>
    </row>
    <row r="120" spans="1:7" x14ac:dyDescent="0.45">
      <c r="A120" t="s">
        <v>1082</v>
      </c>
      <c r="B120" t="s">
        <v>731</v>
      </c>
      <c r="C120" s="8">
        <v>13795.800000000001</v>
      </c>
      <c r="D120" s="18">
        <f t="shared" si="3"/>
        <v>1054982.2500000002</v>
      </c>
      <c r="E120" s="19">
        <f>Table2[[#This Row],[GrossRevenue]]/Table2[[#This Row],[CategoryTotalRevenue]]</f>
        <v>1.3076807690366352E-2</v>
      </c>
      <c r="F120">
        <f t="shared" si="4"/>
        <v>0.88290434270339579</v>
      </c>
      <c r="G120" t="str">
        <f t="shared" si="5"/>
        <v>B</v>
      </c>
    </row>
    <row r="121" spans="1:7" x14ac:dyDescent="0.45">
      <c r="A121" t="s">
        <v>979</v>
      </c>
      <c r="B121" t="s">
        <v>731</v>
      </c>
      <c r="C121" s="8">
        <v>13262.400000000001</v>
      </c>
      <c r="D121" s="18">
        <f t="shared" si="3"/>
        <v>1054982.2500000002</v>
      </c>
      <c r="E121" s="19">
        <f>Table2[[#This Row],[GrossRevenue]]/Table2[[#This Row],[CategoryTotalRevenue]]</f>
        <v>1.2571206766748918E-2</v>
      </c>
      <c r="F121">
        <f t="shared" si="4"/>
        <v>0.89547554947014474</v>
      </c>
      <c r="G121" t="str">
        <f t="shared" si="5"/>
        <v>B</v>
      </c>
    </row>
    <row r="122" spans="1:7" x14ac:dyDescent="0.45">
      <c r="A122" t="s">
        <v>767</v>
      </c>
      <c r="B122" t="s">
        <v>731</v>
      </c>
      <c r="C122" s="8">
        <v>13218.5</v>
      </c>
      <c r="D122" s="18">
        <f t="shared" si="3"/>
        <v>1054982.2500000002</v>
      </c>
      <c r="E122" s="19">
        <f>Table2[[#This Row],[GrossRevenue]]/Table2[[#This Row],[CategoryTotalRevenue]]</f>
        <v>1.252959469223297E-2</v>
      </c>
      <c r="F122">
        <f t="shared" si="4"/>
        <v>0.90800514416237776</v>
      </c>
      <c r="G122" t="str">
        <f t="shared" si="5"/>
        <v>B</v>
      </c>
    </row>
    <row r="123" spans="1:7" x14ac:dyDescent="0.45">
      <c r="A123" t="s">
        <v>1016</v>
      </c>
      <c r="B123" t="s">
        <v>731</v>
      </c>
      <c r="C123" s="8">
        <v>13201.079999999998</v>
      </c>
      <c r="D123" s="18">
        <f t="shared" si="3"/>
        <v>1054982.2500000002</v>
      </c>
      <c r="E123" s="19">
        <f>Table2[[#This Row],[GrossRevenue]]/Table2[[#This Row],[CategoryTotalRevenue]]</f>
        <v>1.2513082566081083E-2</v>
      </c>
      <c r="F123">
        <f t="shared" si="4"/>
        <v>0.92051822672845884</v>
      </c>
      <c r="G123" t="str">
        <f t="shared" si="5"/>
        <v>B</v>
      </c>
    </row>
    <row r="124" spans="1:7" x14ac:dyDescent="0.45">
      <c r="A124" t="s">
        <v>1247</v>
      </c>
      <c r="B124" t="s">
        <v>731</v>
      </c>
      <c r="C124" s="8">
        <v>10859.64</v>
      </c>
      <c r="D124" s="18">
        <f t="shared" si="3"/>
        <v>1054982.2500000002</v>
      </c>
      <c r="E124" s="19">
        <f>Table2[[#This Row],[GrossRevenue]]/Table2[[#This Row],[CategoryTotalRevenue]]</f>
        <v>1.0293670817684371E-2</v>
      </c>
      <c r="F124">
        <f t="shared" si="4"/>
        <v>0.93081189754614324</v>
      </c>
      <c r="G124" t="str">
        <f t="shared" si="5"/>
        <v>B</v>
      </c>
    </row>
    <row r="125" spans="1:7" x14ac:dyDescent="0.45">
      <c r="A125" t="s">
        <v>866</v>
      </c>
      <c r="B125" t="s">
        <v>731</v>
      </c>
      <c r="C125" s="8">
        <v>10688.32</v>
      </c>
      <c r="D125" s="18">
        <f t="shared" si="3"/>
        <v>1054982.2500000002</v>
      </c>
      <c r="E125" s="19">
        <f>Table2[[#This Row],[GrossRevenue]]/Table2[[#This Row],[CategoryTotalRevenue]]</f>
        <v>1.0131279459915082E-2</v>
      </c>
      <c r="F125">
        <f t="shared" si="4"/>
        <v>0.94094317700605834</v>
      </c>
      <c r="G125" t="str">
        <f t="shared" si="5"/>
        <v>B</v>
      </c>
    </row>
    <row r="126" spans="1:7" x14ac:dyDescent="0.45">
      <c r="A126" t="s">
        <v>1012</v>
      </c>
      <c r="B126" t="s">
        <v>731</v>
      </c>
      <c r="C126" s="8">
        <v>10333.75</v>
      </c>
      <c r="D126" s="18">
        <f t="shared" si="3"/>
        <v>1054982.2500000002</v>
      </c>
      <c r="E126" s="19">
        <f>Table2[[#This Row],[GrossRevenue]]/Table2[[#This Row],[CategoryTotalRevenue]]</f>
        <v>9.7951884972472258E-3</v>
      </c>
      <c r="F126">
        <f t="shared" si="4"/>
        <v>0.95073836550330559</v>
      </c>
      <c r="G126" t="str">
        <f t="shared" si="5"/>
        <v>C</v>
      </c>
    </row>
    <row r="127" spans="1:7" x14ac:dyDescent="0.45">
      <c r="A127" t="s">
        <v>1008</v>
      </c>
      <c r="B127" t="s">
        <v>731</v>
      </c>
      <c r="C127" s="8">
        <v>9904.5</v>
      </c>
      <c r="D127" s="18">
        <f t="shared" si="3"/>
        <v>1054982.2500000002</v>
      </c>
      <c r="E127" s="19">
        <f>Table2[[#This Row],[GrossRevenue]]/Table2[[#This Row],[CategoryTotalRevenue]]</f>
        <v>9.3883096137399452E-3</v>
      </c>
      <c r="F127">
        <f t="shared" si="4"/>
        <v>0.96012667511704552</v>
      </c>
      <c r="G127" t="str">
        <f t="shared" si="5"/>
        <v>C</v>
      </c>
    </row>
    <row r="128" spans="1:7" x14ac:dyDescent="0.45">
      <c r="A128" t="s">
        <v>1241</v>
      </c>
      <c r="B128" t="s">
        <v>731</v>
      </c>
      <c r="C128" s="8">
        <v>9302.0500000000011</v>
      </c>
      <c r="D128" s="18">
        <f t="shared" si="3"/>
        <v>1054982.2500000002</v>
      </c>
      <c r="E128" s="19">
        <f>Table2[[#This Row],[GrossRevenue]]/Table2[[#This Row],[CategoryTotalRevenue]]</f>
        <v>8.8172573519601869E-3</v>
      </c>
      <c r="F128">
        <f t="shared" si="4"/>
        <v>0.96894393246900568</v>
      </c>
      <c r="G128" t="str">
        <f t="shared" si="5"/>
        <v>C</v>
      </c>
    </row>
    <row r="129" spans="1:7" x14ac:dyDescent="0.45">
      <c r="A129" t="s">
        <v>1336</v>
      </c>
      <c r="B129" t="s">
        <v>731</v>
      </c>
      <c r="C129" s="8">
        <v>8687.51</v>
      </c>
      <c r="D129" s="18">
        <f t="shared" si="3"/>
        <v>1054982.2500000002</v>
      </c>
      <c r="E129" s="19">
        <f>Table2[[#This Row],[GrossRevenue]]/Table2[[#This Row],[CategoryTotalRevenue]]</f>
        <v>8.2347451817317285E-3</v>
      </c>
      <c r="F129">
        <f t="shared" si="4"/>
        <v>0.9771786776507374</v>
      </c>
      <c r="G129" t="str">
        <f t="shared" si="5"/>
        <v>C</v>
      </c>
    </row>
    <row r="130" spans="1:7" x14ac:dyDescent="0.45">
      <c r="A130" t="s">
        <v>805</v>
      </c>
      <c r="B130" t="s">
        <v>731</v>
      </c>
      <c r="C130" s="8">
        <v>7451.16</v>
      </c>
      <c r="D130" s="18">
        <f t="shared" ref="D130:D193" si="6">SUMIF($B$2:$B$1000, B130, $C$2:$C$1000)</f>
        <v>1054982.2500000002</v>
      </c>
      <c r="E130" s="19">
        <f>Table2[[#This Row],[GrossRevenue]]/Table2[[#This Row],[CategoryTotalRevenue]]</f>
        <v>7.0628297300736557E-3</v>
      </c>
      <c r="F130">
        <f t="shared" ref="F130:F193" si="7">IF(B130=B129, F129+E130, E130)</f>
        <v>0.98424150738081106</v>
      </c>
      <c r="G130" t="str">
        <f t="shared" ref="G130:G193" si="8">IF(F130&lt;=0.8, "A", IF(F130&lt;=0.95, "B", "C"))</f>
        <v>C</v>
      </c>
    </row>
    <row r="131" spans="1:7" x14ac:dyDescent="0.45">
      <c r="A131" t="s">
        <v>1140</v>
      </c>
      <c r="B131" t="s">
        <v>731</v>
      </c>
      <c r="C131" s="8">
        <v>5820.54</v>
      </c>
      <c r="D131" s="18">
        <f t="shared" si="6"/>
        <v>1054982.2500000002</v>
      </c>
      <c r="E131" s="19">
        <f>Table2[[#This Row],[GrossRevenue]]/Table2[[#This Row],[CategoryTotalRevenue]]</f>
        <v>5.5171923508665656E-3</v>
      </c>
      <c r="F131">
        <f t="shared" si="7"/>
        <v>0.98975869973167763</v>
      </c>
      <c r="G131" t="str">
        <f t="shared" si="8"/>
        <v>C</v>
      </c>
    </row>
    <row r="132" spans="1:7" x14ac:dyDescent="0.45">
      <c r="A132" t="s">
        <v>1296</v>
      </c>
      <c r="B132" t="s">
        <v>731</v>
      </c>
      <c r="C132" s="8">
        <v>4935.16</v>
      </c>
      <c r="D132" s="18">
        <f t="shared" si="6"/>
        <v>1054982.2500000002</v>
      </c>
      <c r="E132" s="19">
        <f>Table2[[#This Row],[GrossRevenue]]/Table2[[#This Row],[CategoryTotalRevenue]]</f>
        <v>4.677955482189391E-3</v>
      </c>
      <c r="F132">
        <f t="shared" si="7"/>
        <v>0.99443665521386704</v>
      </c>
      <c r="G132" t="str">
        <f t="shared" si="8"/>
        <v>C</v>
      </c>
    </row>
    <row r="133" spans="1:7" x14ac:dyDescent="0.45">
      <c r="A133" t="s">
        <v>739</v>
      </c>
      <c r="B133" t="s">
        <v>731</v>
      </c>
      <c r="C133" s="8">
        <v>4141.7599999999993</v>
      </c>
      <c r="D133" s="18">
        <f t="shared" si="6"/>
        <v>1054982.2500000002</v>
      </c>
      <c r="E133" s="19">
        <f>Table2[[#This Row],[GrossRevenue]]/Table2[[#This Row],[CategoryTotalRevenue]]</f>
        <v>3.9259049145139628E-3</v>
      </c>
      <c r="F133">
        <f t="shared" si="7"/>
        <v>0.99836256012838098</v>
      </c>
      <c r="G133" t="str">
        <f t="shared" si="8"/>
        <v>C</v>
      </c>
    </row>
    <row r="134" spans="1:7" x14ac:dyDescent="0.45">
      <c r="A134" t="s">
        <v>1208</v>
      </c>
      <c r="B134" t="s">
        <v>731</v>
      </c>
      <c r="C134" s="8">
        <v>1107.9000000000001</v>
      </c>
      <c r="D134" s="18">
        <f t="shared" si="6"/>
        <v>1054982.2500000002</v>
      </c>
      <c r="E134" s="19">
        <f>Table2[[#This Row],[GrossRevenue]]/Table2[[#This Row],[CategoryTotalRevenue]]</f>
        <v>1.0501598486609607E-3</v>
      </c>
      <c r="F134">
        <f t="shared" si="7"/>
        <v>0.99941271997704195</v>
      </c>
      <c r="G134" t="str">
        <f t="shared" si="8"/>
        <v>C</v>
      </c>
    </row>
    <row r="135" spans="1:7" x14ac:dyDescent="0.45">
      <c r="A135" t="s">
        <v>853</v>
      </c>
      <c r="B135" t="s">
        <v>731</v>
      </c>
      <c r="C135" s="8">
        <v>619.57000000000005</v>
      </c>
      <c r="D135" s="18">
        <f t="shared" si="6"/>
        <v>1054982.2500000002</v>
      </c>
      <c r="E135" s="19">
        <f>Table2[[#This Row],[GrossRevenue]]/Table2[[#This Row],[CategoryTotalRevenue]]</f>
        <v>5.872800229577321E-4</v>
      </c>
      <c r="F135">
        <f t="shared" si="7"/>
        <v>0.99999999999999967</v>
      </c>
      <c r="G135" t="str">
        <f t="shared" si="8"/>
        <v>C</v>
      </c>
    </row>
    <row r="136" spans="1:7" x14ac:dyDescent="0.45">
      <c r="A136" t="s">
        <v>909</v>
      </c>
      <c r="B136" t="s">
        <v>732</v>
      </c>
      <c r="C136" s="8">
        <v>124450</v>
      </c>
      <c r="D136" s="18">
        <f t="shared" si="6"/>
        <v>1084973.7799999993</v>
      </c>
      <c r="E136" s="19">
        <f>Table2[[#This Row],[GrossRevenue]]/Table2[[#This Row],[CategoryTotalRevenue]]</f>
        <v>0.11470323273618656</v>
      </c>
      <c r="F136">
        <f t="shared" si="7"/>
        <v>0.11470323273618656</v>
      </c>
      <c r="G136" t="str">
        <f t="shared" si="8"/>
        <v>A</v>
      </c>
    </row>
    <row r="137" spans="1:7" x14ac:dyDescent="0.45">
      <c r="A137" t="s">
        <v>874</v>
      </c>
      <c r="B137" t="s">
        <v>732</v>
      </c>
      <c r="C137" s="8">
        <v>99098.559999999998</v>
      </c>
      <c r="D137" s="18">
        <f t="shared" si="6"/>
        <v>1084973.7799999993</v>
      </c>
      <c r="E137" s="19">
        <f>Table2[[#This Row],[GrossRevenue]]/Table2[[#This Row],[CategoryTotalRevenue]]</f>
        <v>9.1337285588597411E-2</v>
      </c>
      <c r="F137">
        <f t="shared" si="7"/>
        <v>0.20604051832478398</v>
      </c>
      <c r="G137" t="str">
        <f t="shared" si="8"/>
        <v>A</v>
      </c>
    </row>
    <row r="138" spans="1:7" x14ac:dyDescent="0.45">
      <c r="A138" t="s">
        <v>797</v>
      </c>
      <c r="B138" t="s">
        <v>732</v>
      </c>
      <c r="C138" s="8">
        <v>97538.01</v>
      </c>
      <c r="D138" s="18">
        <f t="shared" si="6"/>
        <v>1084973.7799999993</v>
      </c>
      <c r="E138" s="19">
        <f>Table2[[#This Row],[GrossRevenue]]/Table2[[#This Row],[CategoryTotalRevenue]]</f>
        <v>8.9898955899192376E-2</v>
      </c>
      <c r="F138">
        <f t="shared" si="7"/>
        <v>0.29593947422397637</v>
      </c>
      <c r="G138" t="str">
        <f t="shared" si="8"/>
        <v>A</v>
      </c>
    </row>
    <row r="139" spans="1:7" x14ac:dyDescent="0.45">
      <c r="A139" t="s">
        <v>1180</v>
      </c>
      <c r="B139" t="s">
        <v>732</v>
      </c>
      <c r="C139" s="8">
        <v>50833.91</v>
      </c>
      <c r="D139" s="18">
        <f t="shared" si="6"/>
        <v>1084973.7799999993</v>
      </c>
      <c r="E139" s="19">
        <f>Table2[[#This Row],[GrossRevenue]]/Table2[[#This Row],[CategoryTotalRevenue]]</f>
        <v>4.6852662190601545E-2</v>
      </c>
      <c r="F139">
        <f t="shared" si="7"/>
        <v>0.3427921364145779</v>
      </c>
      <c r="G139" t="str">
        <f t="shared" si="8"/>
        <v>A</v>
      </c>
    </row>
    <row r="140" spans="1:7" x14ac:dyDescent="0.45">
      <c r="A140" t="s">
        <v>999</v>
      </c>
      <c r="B140" t="s">
        <v>732</v>
      </c>
      <c r="C140" s="8">
        <v>47572.01</v>
      </c>
      <c r="D140" s="18">
        <f t="shared" si="6"/>
        <v>1084973.7799999993</v>
      </c>
      <c r="E140" s="19">
        <f>Table2[[#This Row],[GrossRevenue]]/Table2[[#This Row],[CategoryTotalRevenue]]</f>
        <v>4.3846230090463595E-2</v>
      </c>
      <c r="F140">
        <f t="shared" si="7"/>
        <v>0.38663836650504146</v>
      </c>
      <c r="G140" t="str">
        <f t="shared" si="8"/>
        <v>A</v>
      </c>
    </row>
    <row r="141" spans="1:7" x14ac:dyDescent="0.45">
      <c r="A141" t="s">
        <v>1043</v>
      </c>
      <c r="B141" t="s">
        <v>732</v>
      </c>
      <c r="C141" s="8">
        <v>37790.520000000004</v>
      </c>
      <c r="D141" s="18">
        <f t="shared" si="6"/>
        <v>1084973.7799999993</v>
      </c>
      <c r="E141" s="19">
        <f>Table2[[#This Row],[GrossRevenue]]/Table2[[#This Row],[CategoryTotalRevenue]]</f>
        <v>3.4830814068151979E-2</v>
      </c>
      <c r="F141">
        <f t="shared" si="7"/>
        <v>0.42146918057319344</v>
      </c>
      <c r="G141" t="str">
        <f t="shared" si="8"/>
        <v>A</v>
      </c>
    </row>
    <row r="142" spans="1:7" x14ac:dyDescent="0.45">
      <c r="A142" t="s">
        <v>789</v>
      </c>
      <c r="B142" t="s">
        <v>732</v>
      </c>
      <c r="C142" s="8">
        <v>37140.44</v>
      </c>
      <c r="D142" s="18">
        <f t="shared" si="6"/>
        <v>1084973.7799999993</v>
      </c>
      <c r="E142" s="19">
        <f>Table2[[#This Row],[GrossRevenue]]/Table2[[#This Row],[CategoryTotalRevenue]]</f>
        <v>3.4231647515021078E-2</v>
      </c>
      <c r="F142">
        <f t="shared" si="7"/>
        <v>0.45570082808821449</v>
      </c>
      <c r="G142" t="str">
        <f t="shared" si="8"/>
        <v>A</v>
      </c>
    </row>
    <row r="143" spans="1:7" x14ac:dyDescent="0.45">
      <c r="A143" t="s">
        <v>928</v>
      </c>
      <c r="B143" t="s">
        <v>732</v>
      </c>
      <c r="C143" s="8">
        <v>37088.76</v>
      </c>
      <c r="D143" s="18">
        <f t="shared" si="6"/>
        <v>1084973.7799999993</v>
      </c>
      <c r="E143" s="19">
        <f>Table2[[#This Row],[GrossRevenue]]/Table2[[#This Row],[CategoryTotalRevenue]]</f>
        <v>3.4184015027533682E-2</v>
      </c>
      <c r="F143">
        <f t="shared" si="7"/>
        <v>0.4898848431157482</v>
      </c>
      <c r="G143" t="str">
        <f t="shared" si="8"/>
        <v>A</v>
      </c>
    </row>
    <row r="144" spans="1:7" x14ac:dyDescent="0.45">
      <c r="A144" t="s">
        <v>1105</v>
      </c>
      <c r="B144" t="s">
        <v>732</v>
      </c>
      <c r="C144" s="8">
        <v>36148.18</v>
      </c>
      <c r="D144" s="18">
        <f t="shared" si="6"/>
        <v>1084973.7799999993</v>
      </c>
      <c r="E144" s="19">
        <f>Table2[[#This Row],[GrossRevenue]]/Table2[[#This Row],[CategoryTotalRevenue]]</f>
        <v>3.331710006853808E-2</v>
      </c>
      <c r="F144">
        <f t="shared" si="7"/>
        <v>0.52320194318428626</v>
      </c>
      <c r="G144" t="str">
        <f t="shared" si="8"/>
        <v>A</v>
      </c>
    </row>
    <row r="145" spans="1:7" x14ac:dyDescent="0.45">
      <c r="A145" t="s">
        <v>1273</v>
      </c>
      <c r="B145" t="s">
        <v>732</v>
      </c>
      <c r="C145" s="8">
        <v>35354.559999999998</v>
      </c>
      <c r="D145" s="18">
        <f t="shared" si="6"/>
        <v>1084973.7799999993</v>
      </c>
      <c r="E145" s="19">
        <f>Table2[[#This Row],[GrossRevenue]]/Table2[[#This Row],[CategoryTotalRevenue]]</f>
        <v>3.2585635387428459E-2</v>
      </c>
      <c r="F145">
        <f t="shared" si="7"/>
        <v>0.55578757857171468</v>
      </c>
      <c r="G145" t="str">
        <f t="shared" si="8"/>
        <v>A</v>
      </c>
    </row>
    <row r="146" spans="1:7" x14ac:dyDescent="0.45">
      <c r="A146" t="s">
        <v>1006</v>
      </c>
      <c r="B146" t="s">
        <v>732</v>
      </c>
      <c r="C146" s="8">
        <v>35331</v>
      </c>
      <c r="D146" s="18">
        <f t="shared" si="6"/>
        <v>1084973.7799999993</v>
      </c>
      <c r="E146" s="19">
        <f>Table2[[#This Row],[GrossRevenue]]/Table2[[#This Row],[CategoryTotalRevenue]]</f>
        <v>3.2563920576956264E-2</v>
      </c>
      <c r="F146">
        <f t="shared" si="7"/>
        <v>0.58835149914867091</v>
      </c>
      <c r="G146" t="str">
        <f t="shared" si="8"/>
        <v>A</v>
      </c>
    </row>
    <row r="147" spans="1:7" x14ac:dyDescent="0.45">
      <c r="A147" t="s">
        <v>921</v>
      </c>
      <c r="B147" t="s">
        <v>732</v>
      </c>
      <c r="C147" s="8">
        <v>31827.88</v>
      </c>
      <c r="D147" s="18">
        <f t="shared" si="6"/>
        <v>1084973.7799999993</v>
      </c>
      <c r="E147" s="19">
        <f>Table2[[#This Row],[GrossRevenue]]/Table2[[#This Row],[CategoryTotalRevenue]]</f>
        <v>2.9335160523418381E-2</v>
      </c>
      <c r="F147">
        <f t="shared" si="7"/>
        <v>0.61768665967208924</v>
      </c>
      <c r="G147" t="str">
        <f t="shared" si="8"/>
        <v>A</v>
      </c>
    </row>
    <row r="148" spans="1:7" x14ac:dyDescent="0.45">
      <c r="A148" t="s">
        <v>918</v>
      </c>
      <c r="B148" t="s">
        <v>732</v>
      </c>
      <c r="C148" s="8">
        <v>31179.03</v>
      </c>
      <c r="D148" s="18">
        <f t="shared" si="6"/>
        <v>1084973.7799999993</v>
      </c>
      <c r="E148" s="19">
        <f>Table2[[#This Row],[GrossRevenue]]/Table2[[#This Row],[CategoryTotalRevenue]]</f>
        <v>2.8737127638236583E-2</v>
      </c>
      <c r="F148">
        <f t="shared" si="7"/>
        <v>0.64642378731032579</v>
      </c>
      <c r="G148" t="str">
        <f t="shared" si="8"/>
        <v>A</v>
      </c>
    </row>
    <row r="149" spans="1:7" x14ac:dyDescent="0.45">
      <c r="A149" t="s">
        <v>849</v>
      </c>
      <c r="B149" t="s">
        <v>732</v>
      </c>
      <c r="C149" s="8">
        <v>27492.16</v>
      </c>
      <c r="D149" s="18">
        <f t="shared" si="6"/>
        <v>1084973.7799999993</v>
      </c>
      <c r="E149" s="19">
        <f>Table2[[#This Row],[GrossRevenue]]/Table2[[#This Row],[CategoryTotalRevenue]]</f>
        <v>2.5339008653278254E-2</v>
      </c>
      <c r="F149">
        <f t="shared" si="7"/>
        <v>0.671762795963604</v>
      </c>
      <c r="G149" t="str">
        <f t="shared" si="8"/>
        <v>A</v>
      </c>
    </row>
    <row r="150" spans="1:7" x14ac:dyDescent="0.45">
      <c r="A150" t="s">
        <v>937</v>
      </c>
      <c r="B150" t="s">
        <v>732</v>
      </c>
      <c r="C150" s="8">
        <v>27041.040000000001</v>
      </c>
      <c r="D150" s="18">
        <f t="shared" si="6"/>
        <v>1084973.7799999993</v>
      </c>
      <c r="E150" s="19">
        <f>Table2[[#This Row],[GrossRevenue]]/Table2[[#This Row],[CategoryTotalRevenue]]</f>
        <v>2.4923219803523747E-2</v>
      </c>
      <c r="F150">
        <f t="shared" si="7"/>
        <v>0.69668601576712774</v>
      </c>
      <c r="G150" t="str">
        <f t="shared" si="8"/>
        <v>A</v>
      </c>
    </row>
    <row r="151" spans="1:7" x14ac:dyDescent="0.45">
      <c r="A151" t="s">
        <v>894</v>
      </c>
      <c r="B151" t="s">
        <v>732</v>
      </c>
      <c r="C151" s="8">
        <v>26150.5</v>
      </c>
      <c r="D151" s="18">
        <f t="shared" si="6"/>
        <v>1084973.7799999993</v>
      </c>
      <c r="E151" s="19">
        <f>Table2[[#This Row],[GrossRevenue]]/Table2[[#This Row],[CategoryTotalRevenue]]</f>
        <v>2.4102425774750073E-2</v>
      </c>
      <c r="F151">
        <f t="shared" si="7"/>
        <v>0.72078844154187782</v>
      </c>
      <c r="G151" t="str">
        <f t="shared" si="8"/>
        <v>A</v>
      </c>
    </row>
    <row r="152" spans="1:7" x14ac:dyDescent="0.45">
      <c r="A152" t="s">
        <v>985</v>
      </c>
      <c r="B152" t="s">
        <v>732</v>
      </c>
      <c r="C152" s="8">
        <v>22825.32</v>
      </c>
      <c r="D152" s="18">
        <f t="shared" si="6"/>
        <v>1084973.7799999993</v>
      </c>
      <c r="E152" s="19">
        <f>Table2[[#This Row],[GrossRevenue]]/Table2[[#This Row],[CategoryTotalRevenue]]</f>
        <v>2.1037669684515339E-2</v>
      </c>
      <c r="F152">
        <f t="shared" si="7"/>
        <v>0.74182611122639319</v>
      </c>
      <c r="G152" t="str">
        <f t="shared" si="8"/>
        <v>A</v>
      </c>
    </row>
    <row r="153" spans="1:7" x14ac:dyDescent="0.45">
      <c r="A153" t="s">
        <v>1232</v>
      </c>
      <c r="B153" t="s">
        <v>732</v>
      </c>
      <c r="C153" s="8">
        <v>21202.06</v>
      </c>
      <c r="D153" s="18">
        <f t="shared" si="6"/>
        <v>1084973.7799999993</v>
      </c>
      <c r="E153" s="19">
        <f>Table2[[#This Row],[GrossRevenue]]/Table2[[#This Row],[CategoryTotalRevenue]]</f>
        <v>1.9541541363331392E-2</v>
      </c>
      <c r="F153">
        <f t="shared" si="7"/>
        <v>0.76136765258972461</v>
      </c>
      <c r="G153" t="str">
        <f t="shared" si="8"/>
        <v>A</v>
      </c>
    </row>
    <row r="154" spans="1:7" x14ac:dyDescent="0.45">
      <c r="A154" t="s">
        <v>1231</v>
      </c>
      <c r="B154" t="s">
        <v>732</v>
      </c>
      <c r="C154" s="8">
        <v>21195.07</v>
      </c>
      <c r="D154" s="18">
        <f t="shared" si="6"/>
        <v>1084973.7799999993</v>
      </c>
      <c r="E154" s="19">
        <f>Table2[[#This Row],[GrossRevenue]]/Table2[[#This Row],[CategoryTotalRevenue]]</f>
        <v>1.9535098811327967E-2</v>
      </c>
      <c r="F154">
        <f t="shared" si="7"/>
        <v>0.78090275140105259</v>
      </c>
      <c r="G154" t="str">
        <f t="shared" si="8"/>
        <v>A</v>
      </c>
    </row>
    <row r="155" spans="1:7" x14ac:dyDescent="0.45">
      <c r="A155" t="s">
        <v>1305</v>
      </c>
      <c r="B155" t="s">
        <v>732</v>
      </c>
      <c r="C155" s="8">
        <v>15325.16</v>
      </c>
      <c r="D155" s="18">
        <f t="shared" si="6"/>
        <v>1084973.7799999993</v>
      </c>
      <c r="E155" s="19">
        <f>Table2[[#This Row],[GrossRevenue]]/Table2[[#This Row],[CategoryTotalRevenue]]</f>
        <v>1.4124912769781412E-2</v>
      </c>
      <c r="F155">
        <f t="shared" si="7"/>
        <v>0.79502766417083404</v>
      </c>
      <c r="G155" t="str">
        <f t="shared" si="8"/>
        <v>A</v>
      </c>
    </row>
    <row r="156" spans="1:7" x14ac:dyDescent="0.45">
      <c r="A156" t="s">
        <v>742</v>
      </c>
      <c r="B156" t="s">
        <v>732</v>
      </c>
      <c r="C156" s="8">
        <v>15184.86</v>
      </c>
      <c r="D156" s="18">
        <f t="shared" si="6"/>
        <v>1084973.7799999993</v>
      </c>
      <c r="E156" s="19">
        <f>Table2[[#This Row],[GrossRevenue]]/Table2[[#This Row],[CategoryTotalRevenue]]</f>
        <v>1.3995600889083247E-2</v>
      </c>
      <c r="F156">
        <f t="shared" si="7"/>
        <v>0.80902326505991728</v>
      </c>
      <c r="G156" t="str">
        <f t="shared" si="8"/>
        <v>B</v>
      </c>
    </row>
    <row r="157" spans="1:7" x14ac:dyDescent="0.45">
      <c r="A157" t="s">
        <v>1137</v>
      </c>
      <c r="B157" t="s">
        <v>732</v>
      </c>
      <c r="C157" s="8">
        <v>14356.09</v>
      </c>
      <c r="D157" s="18">
        <f t="shared" si="6"/>
        <v>1084973.7799999993</v>
      </c>
      <c r="E157" s="19">
        <f>Table2[[#This Row],[GrossRevenue]]/Table2[[#This Row],[CategoryTotalRevenue]]</f>
        <v>1.3231739111704624E-2</v>
      </c>
      <c r="F157">
        <f t="shared" si="7"/>
        <v>0.82225500417162189</v>
      </c>
      <c r="G157" t="str">
        <f t="shared" si="8"/>
        <v>B</v>
      </c>
    </row>
    <row r="158" spans="1:7" x14ac:dyDescent="0.45">
      <c r="A158" t="s">
        <v>1165</v>
      </c>
      <c r="B158" t="s">
        <v>732</v>
      </c>
      <c r="C158" s="8">
        <v>13781.04</v>
      </c>
      <c r="D158" s="18">
        <f t="shared" si="6"/>
        <v>1084973.7799999993</v>
      </c>
      <c r="E158" s="19">
        <f>Table2[[#This Row],[GrossRevenue]]/Table2[[#This Row],[CategoryTotalRevenue]]</f>
        <v>1.2701726303468835E-2</v>
      </c>
      <c r="F158">
        <f t="shared" si="7"/>
        <v>0.83495673047509078</v>
      </c>
      <c r="G158" t="str">
        <f t="shared" si="8"/>
        <v>B</v>
      </c>
    </row>
    <row r="159" spans="1:7" x14ac:dyDescent="0.45">
      <c r="A159" t="s">
        <v>1280</v>
      </c>
      <c r="B159" t="s">
        <v>732</v>
      </c>
      <c r="C159" s="8">
        <v>13257.599999999999</v>
      </c>
      <c r="D159" s="18">
        <f t="shared" si="6"/>
        <v>1084973.7799999993</v>
      </c>
      <c r="E159" s="19">
        <f>Table2[[#This Row],[GrossRevenue]]/Table2[[#This Row],[CategoryTotalRevenue]]</f>
        <v>1.2219281465032277E-2</v>
      </c>
      <c r="F159">
        <f t="shared" si="7"/>
        <v>0.84717601194012304</v>
      </c>
      <c r="G159" t="str">
        <f t="shared" si="8"/>
        <v>B</v>
      </c>
    </row>
    <row r="160" spans="1:7" x14ac:dyDescent="0.45">
      <c r="A160" t="s">
        <v>822</v>
      </c>
      <c r="B160" t="s">
        <v>732</v>
      </c>
      <c r="C160" s="8">
        <v>12209.12</v>
      </c>
      <c r="D160" s="18">
        <f t="shared" si="6"/>
        <v>1084973.7799999993</v>
      </c>
      <c r="E160" s="19">
        <f>Table2[[#This Row],[GrossRevenue]]/Table2[[#This Row],[CategoryTotalRevenue]]</f>
        <v>1.1252917098144076E-2</v>
      </c>
      <c r="F160">
        <f t="shared" si="7"/>
        <v>0.85842892903826706</v>
      </c>
      <c r="G160" t="str">
        <f t="shared" si="8"/>
        <v>B</v>
      </c>
    </row>
    <row r="161" spans="1:7" x14ac:dyDescent="0.45">
      <c r="A161" t="s">
        <v>1242</v>
      </c>
      <c r="B161" t="s">
        <v>732</v>
      </c>
      <c r="C161" s="8">
        <v>11671.66</v>
      </c>
      <c r="D161" s="18">
        <f t="shared" si="6"/>
        <v>1084973.7799999993</v>
      </c>
      <c r="E161" s="19">
        <f>Table2[[#This Row],[GrossRevenue]]/Table2[[#This Row],[CategoryTotalRevenue]]</f>
        <v>1.0757550288450294E-2</v>
      </c>
      <c r="F161">
        <f t="shared" si="7"/>
        <v>0.86918647932671733</v>
      </c>
      <c r="G161" t="str">
        <f t="shared" si="8"/>
        <v>B</v>
      </c>
    </row>
    <row r="162" spans="1:7" x14ac:dyDescent="0.45">
      <c r="A162" t="s">
        <v>1096</v>
      </c>
      <c r="B162" t="s">
        <v>732</v>
      </c>
      <c r="C162" s="8">
        <v>10065.870000000001</v>
      </c>
      <c r="D162" s="18">
        <f t="shared" si="6"/>
        <v>1084973.7799999993</v>
      </c>
      <c r="E162" s="19">
        <f>Table2[[#This Row],[GrossRevenue]]/Table2[[#This Row],[CategoryTotalRevenue]]</f>
        <v>9.277523738868608E-3</v>
      </c>
      <c r="F162">
        <f t="shared" si="7"/>
        <v>0.87846400306558592</v>
      </c>
      <c r="G162" t="str">
        <f t="shared" si="8"/>
        <v>B</v>
      </c>
    </row>
    <row r="163" spans="1:7" x14ac:dyDescent="0.45">
      <c r="A163" t="s">
        <v>1294</v>
      </c>
      <c r="B163" t="s">
        <v>732</v>
      </c>
      <c r="C163" s="8">
        <v>9872.880000000001</v>
      </c>
      <c r="D163" s="18">
        <f t="shared" si="6"/>
        <v>1084973.7799999993</v>
      </c>
      <c r="E163" s="19">
        <f>Table2[[#This Row],[GrossRevenue]]/Table2[[#This Row],[CategoryTotalRevenue]]</f>
        <v>9.0996484726110216E-3</v>
      </c>
      <c r="F163">
        <f t="shared" si="7"/>
        <v>0.88756365153819694</v>
      </c>
      <c r="G163" t="str">
        <f t="shared" si="8"/>
        <v>B</v>
      </c>
    </row>
    <row r="164" spans="1:7" x14ac:dyDescent="0.45">
      <c r="A164" t="s">
        <v>917</v>
      </c>
      <c r="B164" t="s">
        <v>732</v>
      </c>
      <c r="C164" s="8">
        <v>9676.17</v>
      </c>
      <c r="D164" s="18">
        <f t="shared" si="6"/>
        <v>1084973.7799999993</v>
      </c>
      <c r="E164" s="19">
        <f>Table2[[#This Row],[GrossRevenue]]/Table2[[#This Row],[CategoryTotalRevenue]]</f>
        <v>8.918344552068351E-3</v>
      </c>
      <c r="F164">
        <f t="shared" si="7"/>
        <v>0.89648199609026524</v>
      </c>
      <c r="G164" t="str">
        <f t="shared" si="8"/>
        <v>B</v>
      </c>
    </row>
    <row r="165" spans="1:7" x14ac:dyDescent="0.45">
      <c r="A165" t="s">
        <v>924</v>
      </c>
      <c r="B165" t="s">
        <v>732</v>
      </c>
      <c r="C165" s="8">
        <v>9672.5</v>
      </c>
      <c r="D165" s="18">
        <f t="shared" si="6"/>
        <v>1084973.7799999993</v>
      </c>
      <c r="E165" s="19">
        <f>Table2[[#This Row],[GrossRevenue]]/Table2[[#This Row],[CategoryTotalRevenue]]</f>
        <v>8.9149619818462388E-3</v>
      </c>
      <c r="F165">
        <f t="shared" si="7"/>
        <v>0.90539695807211151</v>
      </c>
      <c r="G165" t="str">
        <f t="shared" si="8"/>
        <v>B</v>
      </c>
    </row>
    <row r="166" spans="1:7" x14ac:dyDescent="0.45">
      <c r="A166" t="s">
        <v>1061</v>
      </c>
      <c r="B166" t="s">
        <v>732</v>
      </c>
      <c r="C166" s="8">
        <v>9525.5999999999985</v>
      </c>
      <c r="D166" s="18">
        <f t="shared" si="6"/>
        <v>1084973.7799999993</v>
      </c>
      <c r="E166" s="19">
        <f>Table2[[#This Row],[GrossRevenue]]/Table2[[#This Row],[CategoryTotalRevenue]]</f>
        <v>8.7795670048358265E-3</v>
      </c>
      <c r="F166">
        <f t="shared" si="7"/>
        <v>0.91417652507694735</v>
      </c>
      <c r="G166" t="str">
        <f t="shared" si="8"/>
        <v>B</v>
      </c>
    </row>
    <row r="167" spans="1:7" x14ac:dyDescent="0.45">
      <c r="A167" t="s">
        <v>1189</v>
      </c>
      <c r="B167" t="s">
        <v>732</v>
      </c>
      <c r="C167" s="8">
        <v>9091.08</v>
      </c>
      <c r="D167" s="18">
        <f t="shared" si="6"/>
        <v>1084973.7799999993</v>
      </c>
      <c r="E167" s="19">
        <f>Table2[[#This Row],[GrossRevenue]]/Table2[[#This Row],[CategoryTotalRevenue]]</f>
        <v>8.3790780639878739E-3</v>
      </c>
      <c r="F167">
        <f t="shared" si="7"/>
        <v>0.92255560314093521</v>
      </c>
      <c r="G167" t="str">
        <f t="shared" si="8"/>
        <v>B</v>
      </c>
    </row>
    <row r="168" spans="1:7" x14ac:dyDescent="0.45">
      <c r="A168" t="s">
        <v>949</v>
      </c>
      <c r="B168" t="s">
        <v>732</v>
      </c>
      <c r="C168" s="8">
        <v>8724.8700000000008</v>
      </c>
      <c r="D168" s="18">
        <f t="shared" si="6"/>
        <v>1084973.7799999993</v>
      </c>
      <c r="E168" s="19">
        <f>Table2[[#This Row],[GrossRevenue]]/Table2[[#This Row],[CategoryTotalRevenue]]</f>
        <v>8.0415491699716516E-3</v>
      </c>
      <c r="F168">
        <f t="shared" si="7"/>
        <v>0.93059715231090689</v>
      </c>
      <c r="G168" t="str">
        <f t="shared" si="8"/>
        <v>B</v>
      </c>
    </row>
    <row r="169" spans="1:7" x14ac:dyDescent="0.45">
      <c r="A169" t="s">
        <v>922</v>
      </c>
      <c r="B169" t="s">
        <v>732</v>
      </c>
      <c r="C169" s="8">
        <v>8695.0500000000011</v>
      </c>
      <c r="D169" s="18">
        <f t="shared" si="6"/>
        <v>1084973.7799999993</v>
      </c>
      <c r="E169" s="19">
        <f>Table2[[#This Row],[GrossRevenue]]/Table2[[#This Row],[CategoryTotalRevenue]]</f>
        <v>8.0140646348154203E-3</v>
      </c>
      <c r="F169">
        <f t="shared" si="7"/>
        <v>0.93861121694572236</v>
      </c>
      <c r="G169" t="str">
        <f t="shared" si="8"/>
        <v>B</v>
      </c>
    </row>
    <row r="170" spans="1:7" x14ac:dyDescent="0.45">
      <c r="A170" t="s">
        <v>1004</v>
      </c>
      <c r="B170" t="s">
        <v>732</v>
      </c>
      <c r="C170" s="8">
        <v>8620.64</v>
      </c>
      <c r="D170" s="18">
        <f t="shared" si="6"/>
        <v>1084973.7799999993</v>
      </c>
      <c r="E170" s="19">
        <f>Table2[[#This Row],[GrossRevenue]]/Table2[[#This Row],[CategoryTotalRevenue]]</f>
        <v>7.9454823323011591E-3</v>
      </c>
      <c r="F170">
        <f t="shared" si="7"/>
        <v>0.94655669927802355</v>
      </c>
      <c r="G170" t="str">
        <f t="shared" si="8"/>
        <v>B</v>
      </c>
    </row>
    <row r="171" spans="1:7" x14ac:dyDescent="0.45">
      <c r="A171" t="s">
        <v>902</v>
      </c>
      <c r="B171" t="s">
        <v>732</v>
      </c>
      <c r="C171" s="8">
        <v>8373.36</v>
      </c>
      <c r="D171" s="18">
        <f t="shared" si="6"/>
        <v>1084973.7799999993</v>
      </c>
      <c r="E171" s="19">
        <f>Table2[[#This Row],[GrossRevenue]]/Table2[[#This Row],[CategoryTotalRevenue]]</f>
        <v>7.7175689904690654E-3</v>
      </c>
      <c r="F171">
        <f t="shared" si="7"/>
        <v>0.9542742682684926</v>
      </c>
      <c r="G171" t="str">
        <f t="shared" si="8"/>
        <v>C</v>
      </c>
    </row>
    <row r="172" spans="1:7" x14ac:dyDescent="0.45">
      <c r="A172" t="s">
        <v>864</v>
      </c>
      <c r="B172" t="s">
        <v>732</v>
      </c>
      <c r="C172" s="8">
        <v>8221.84</v>
      </c>
      <c r="D172" s="18">
        <f t="shared" si="6"/>
        <v>1084973.7799999993</v>
      </c>
      <c r="E172" s="19">
        <f>Table2[[#This Row],[GrossRevenue]]/Table2[[#This Row],[CategoryTotalRevenue]]</f>
        <v>7.577915846040081E-3</v>
      </c>
      <c r="F172">
        <f t="shared" si="7"/>
        <v>0.96185218411453266</v>
      </c>
      <c r="G172" t="str">
        <f t="shared" si="8"/>
        <v>C</v>
      </c>
    </row>
    <row r="173" spans="1:7" x14ac:dyDescent="0.45">
      <c r="A173" t="s">
        <v>912</v>
      </c>
      <c r="B173" t="s">
        <v>732</v>
      </c>
      <c r="C173" s="8">
        <v>7519.65</v>
      </c>
      <c r="D173" s="18">
        <f t="shared" si="6"/>
        <v>1084973.7799999993</v>
      </c>
      <c r="E173" s="19">
        <f>Table2[[#This Row],[GrossRevenue]]/Table2[[#This Row],[CategoryTotalRevenue]]</f>
        <v>6.930720482480235E-3</v>
      </c>
      <c r="F173">
        <f t="shared" si="7"/>
        <v>0.96878290459701288</v>
      </c>
      <c r="G173" t="str">
        <f t="shared" si="8"/>
        <v>C</v>
      </c>
    </row>
    <row r="174" spans="1:7" x14ac:dyDescent="0.45">
      <c r="A174" t="s">
        <v>1330</v>
      </c>
      <c r="B174" t="s">
        <v>732</v>
      </c>
      <c r="C174" s="8">
        <v>6876.75</v>
      </c>
      <c r="D174" s="18">
        <f t="shared" si="6"/>
        <v>1084973.7799999993</v>
      </c>
      <c r="E174" s="19">
        <f>Table2[[#This Row],[GrossRevenue]]/Table2[[#This Row],[CategoryTotalRevenue]]</f>
        <v>6.3381716007920525E-3</v>
      </c>
      <c r="F174">
        <f t="shared" si="7"/>
        <v>0.97512107619780497</v>
      </c>
      <c r="G174" t="str">
        <f t="shared" si="8"/>
        <v>C</v>
      </c>
    </row>
    <row r="175" spans="1:7" x14ac:dyDescent="0.45">
      <c r="A175" t="s">
        <v>852</v>
      </c>
      <c r="B175" t="s">
        <v>732</v>
      </c>
      <c r="C175" s="8">
        <v>6210.2</v>
      </c>
      <c r="D175" s="18">
        <f t="shared" si="6"/>
        <v>1084973.7799999993</v>
      </c>
      <c r="E175" s="19">
        <f>Table2[[#This Row],[GrossRevenue]]/Table2[[#This Row],[CategoryTotalRevenue]]</f>
        <v>5.7238249573183268E-3</v>
      </c>
      <c r="F175">
        <f t="shared" si="7"/>
        <v>0.98084490115512335</v>
      </c>
      <c r="G175" t="str">
        <f t="shared" si="8"/>
        <v>C</v>
      </c>
    </row>
    <row r="176" spans="1:7" x14ac:dyDescent="0.45">
      <c r="A176" t="s">
        <v>1358</v>
      </c>
      <c r="B176" t="s">
        <v>732</v>
      </c>
      <c r="C176" s="8">
        <v>6002.92</v>
      </c>
      <c r="D176" s="18">
        <f t="shared" si="6"/>
        <v>1084973.7799999993</v>
      </c>
      <c r="E176" s="19">
        <f>Table2[[#This Row],[GrossRevenue]]/Table2[[#This Row],[CategoryTotalRevenue]]</f>
        <v>5.5327788658634715E-3</v>
      </c>
      <c r="F176">
        <f t="shared" si="7"/>
        <v>0.9863776800209868</v>
      </c>
      <c r="G176" t="str">
        <f t="shared" si="8"/>
        <v>C</v>
      </c>
    </row>
    <row r="177" spans="1:7" x14ac:dyDescent="0.45">
      <c r="A177" t="s">
        <v>740</v>
      </c>
      <c r="B177" t="s">
        <v>732</v>
      </c>
      <c r="C177" s="8">
        <v>3383.88</v>
      </c>
      <c r="D177" s="18">
        <f t="shared" si="6"/>
        <v>1084973.7799999993</v>
      </c>
      <c r="E177" s="19">
        <f>Table2[[#This Row],[GrossRevenue]]/Table2[[#This Row],[CategoryTotalRevenue]]</f>
        <v>3.1188587801633345E-3</v>
      </c>
      <c r="F177">
        <f t="shared" si="7"/>
        <v>0.98949653880115018</v>
      </c>
      <c r="G177" t="str">
        <f t="shared" si="8"/>
        <v>C</v>
      </c>
    </row>
    <row r="178" spans="1:7" x14ac:dyDescent="0.45">
      <c r="A178" t="s">
        <v>1164</v>
      </c>
      <c r="B178" t="s">
        <v>732</v>
      </c>
      <c r="C178" s="8">
        <v>2783.5</v>
      </c>
      <c r="D178" s="18">
        <f t="shared" si="6"/>
        <v>1084973.7799999993</v>
      </c>
      <c r="E178" s="19">
        <f>Table2[[#This Row],[GrossRevenue]]/Table2[[#This Row],[CategoryTotalRevenue]]</f>
        <v>2.5654997856261576E-3</v>
      </c>
      <c r="F178">
        <f t="shared" si="7"/>
        <v>0.99206203858677633</v>
      </c>
      <c r="G178" t="str">
        <f t="shared" si="8"/>
        <v>C</v>
      </c>
    </row>
    <row r="179" spans="1:7" x14ac:dyDescent="0.45">
      <c r="A179" t="s">
        <v>1282</v>
      </c>
      <c r="B179" t="s">
        <v>732</v>
      </c>
      <c r="C179" s="8">
        <v>2343.66</v>
      </c>
      <c r="D179" s="18">
        <f t="shared" si="6"/>
        <v>1084973.7799999993</v>
      </c>
      <c r="E179" s="19">
        <f>Table2[[#This Row],[GrossRevenue]]/Table2[[#This Row],[CategoryTotalRevenue]]</f>
        <v>2.1601075004780311E-3</v>
      </c>
      <c r="F179">
        <f t="shared" si="7"/>
        <v>0.99422214608725434</v>
      </c>
      <c r="G179" t="str">
        <f t="shared" si="8"/>
        <v>C</v>
      </c>
    </row>
    <row r="180" spans="1:7" x14ac:dyDescent="0.45">
      <c r="A180" t="s">
        <v>1313</v>
      </c>
      <c r="B180" t="s">
        <v>732</v>
      </c>
      <c r="C180" s="8">
        <v>2327.4</v>
      </c>
      <c r="D180" s="18">
        <f t="shared" si="6"/>
        <v>1084973.7799999993</v>
      </c>
      <c r="E180" s="19">
        <f>Table2[[#This Row],[GrossRevenue]]/Table2[[#This Row],[CategoryTotalRevenue]]</f>
        <v>2.1451209631996836E-3</v>
      </c>
      <c r="F180">
        <f t="shared" si="7"/>
        <v>0.99636726705045398</v>
      </c>
      <c r="G180" t="str">
        <f t="shared" si="8"/>
        <v>C</v>
      </c>
    </row>
    <row r="181" spans="1:7" x14ac:dyDescent="0.45">
      <c r="A181" t="s">
        <v>944</v>
      </c>
      <c r="B181" t="s">
        <v>732</v>
      </c>
      <c r="C181" s="8">
        <v>1976.3999999999999</v>
      </c>
      <c r="D181" s="18">
        <f t="shared" si="6"/>
        <v>1084973.7799999993</v>
      </c>
      <c r="E181" s="19">
        <f>Table2[[#This Row],[GrossRevenue]]/Table2[[#This Row],[CategoryTotalRevenue]]</f>
        <v>1.8216108411394062E-3</v>
      </c>
      <c r="F181">
        <f t="shared" si="7"/>
        <v>0.99818887789159338</v>
      </c>
      <c r="G181" t="str">
        <f t="shared" si="8"/>
        <v>C</v>
      </c>
    </row>
    <row r="182" spans="1:7" x14ac:dyDescent="0.45">
      <c r="A182" t="s">
        <v>1348</v>
      </c>
      <c r="B182" t="s">
        <v>732</v>
      </c>
      <c r="C182" s="8">
        <v>942.4799999999999</v>
      </c>
      <c r="D182" s="18">
        <f t="shared" si="6"/>
        <v>1084973.7799999993</v>
      </c>
      <c r="E182" s="19">
        <f>Table2[[#This Row],[GrossRevenue]]/Table2[[#This Row],[CategoryTotalRevenue]]</f>
        <v>8.6866615338851828E-4</v>
      </c>
      <c r="F182">
        <f t="shared" si="7"/>
        <v>0.99905754404498193</v>
      </c>
      <c r="G182" t="str">
        <f t="shared" si="8"/>
        <v>C</v>
      </c>
    </row>
    <row r="183" spans="1:7" x14ac:dyDescent="0.45">
      <c r="A183" t="s">
        <v>785</v>
      </c>
      <c r="B183" t="s">
        <v>732</v>
      </c>
      <c r="C183" s="8">
        <v>850.4</v>
      </c>
      <c r="D183" s="18">
        <f t="shared" si="6"/>
        <v>1084973.7799999993</v>
      </c>
      <c r="E183" s="19">
        <f>Table2[[#This Row],[GrossRevenue]]/Table2[[#This Row],[CategoryTotalRevenue]]</f>
        <v>7.8379774302011292E-4</v>
      </c>
      <c r="F183">
        <f t="shared" si="7"/>
        <v>0.99984134178800199</v>
      </c>
      <c r="G183" t="str">
        <f t="shared" si="8"/>
        <v>C</v>
      </c>
    </row>
    <row r="184" spans="1:7" x14ac:dyDescent="0.45">
      <c r="A184" t="s">
        <v>830</v>
      </c>
      <c r="B184" t="s">
        <v>732</v>
      </c>
      <c r="C184" s="8">
        <v>172.14000000000001</v>
      </c>
      <c r="D184" s="18">
        <f t="shared" si="6"/>
        <v>1084973.7799999993</v>
      </c>
      <c r="E184" s="19">
        <f>Table2[[#This Row],[GrossRevenue]]/Table2[[#This Row],[CategoryTotalRevenue]]</f>
        <v>1.5865821199845042E-4</v>
      </c>
      <c r="F184">
        <f t="shared" si="7"/>
        <v>1.0000000000000004</v>
      </c>
      <c r="G184" t="str">
        <f t="shared" si="8"/>
        <v>C</v>
      </c>
    </row>
    <row r="185" spans="1:7" x14ac:dyDescent="0.45">
      <c r="A185" t="s">
        <v>781</v>
      </c>
      <c r="B185" t="s">
        <v>729</v>
      </c>
      <c r="C185" s="8">
        <v>109244</v>
      </c>
      <c r="D185" s="18">
        <f t="shared" si="6"/>
        <v>1017343.0200000003</v>
      </c>
      <c r="E185" s="19">
        <f>Table2[[#This Row],[GrossRevenue]]/Table2[[#This Row],[CategoryTotalRevenue]]</f>
        <v>0.10738167742085651</v>
      </c>
      <c r="F185">
        <f t="shared" si="7"/>
        <v>0.10738167742085651</v>
      </c>
      <c r="G185" t="str">
        <f t="shared" si="8"/>
        <v>A</v>
      </c>
    </row>
    <row r="186" spans="1:7" x14ac:dyDescent="0.45">
      <c r="A186" t="s">
        <v>1355</v>
      </c>
      <c r="B186" t="s">
        <v>729</v>
      </c>
      <c r="C186" s="8">
        <v>59702.5</v>
      </c>
      <c r="D186" s="18">
        <f t="shared" si="6"/>
        <v>1017343.0200000003</v>
      </c>
      <c r="E186" s="19">
        <f>Table2[[#This Row],[GrossRevenue]]/Table2[[#This Row],[CategoryTotalRevenue]]</f>
        <v>5.8684729561519954E-2</v>
      </c>
      <c r="F186">
        <f t="shared" si="7"/>
        <v>0.16606640698237646</v>
      </c>
      <c r="G186" t="str">
        <f t="shared" si="8"/>
        <v>A</v>
      </c>
    </row>
    <row r="187" spans="1:7" x14ac:dyDescent="0.45">
      <c r="A187" t="s">
        <v>1090</v>
      </c>
      <c r="B187" t="s">
        <v>729</v>
      </c>
      <c r="C187" s="8">
        <v>59441.58</v>
      </c>
      <c r="D187" s="18">
        <f t="shared" si="6"/>
        <v>1017343.0200000003</v>
      </c>
      <c r="E187" s="19">
        <f>Table2[[#This Row],[GrossRevenue]]/Table2[[#This Row],[CategoryTotalRevenue]]</f>
        <v>5.8428257560562011E-2</v>
      </c>
      <c r="F187">
        <f t="shared" si="7"/>
        <v>0.22449466454293848</v>
      </c>
      <c r="G187" t="str">
        <f t="shared" si="8"/>
        <v>A</v>
      </c>
    </row>
    <row r="188" spans="1:7" x14ac:dyDescent="0.45">
      <c r="A188" t="s">
        <v>1109</v>
      </c>
      <c r="B188" t="s">
        <v>729</v>
      </c>
      <c r="C188" s="8">
        <v>48339.06</v>
      </c>
      <c r="D188" s="18">
        <f t="shared" si="6"/>
        <v>1017343.0200000003</v>
      </c>
      <c r="E188" s="19">
        <f>Table2[[#This Row],[GrossRevenue]]/Table2[[#This Row],[CategoryTotalRevenue]]</f>
        <v>4.7515006295516714E-2</v>
      </c>
      <c r="F188">
        <f t="shared" si="7"/>
        <v>0.27200967083845518</v>
      </c>
      <c r="G188" t="str">
        <f t="shared" si="8"/>
        <v>A</v>
      </c>
    </row>
    <row r="189" spans="1:7" x14ac:dyDescent="0.45">
      <c r="A189" t="s">
        <v>1035</v>
      </c>
      <c r="B189" t="s">
        <v>729</v>
      </c>
      <c r="C189" s="8">
        <v>45564.2</v>
      </c>
      <c r="D189" s="18">
        <f t="shared" si="6"/>
        <v>1017343.0200000003</v>
      </c>
      <c r="E189" s="19">
        <f>Table2[[#This Row],[GrossRevenue]]/Table2[[#This Row],[CategoryTotalRevenue]]</f>
        <v>4.4787450352782671E-2</v>
      </c>
      <c r="F189">
        <f t="shared" si="7"/>
        <v>0.31679712119123782</v>
      </c>
      <c r="G189" t="str">
        <f t="shared" si="8"/>
        <v>A</v>
      </c>
    </row>
    <row r="190" spans="1:7" x14ac:dyDescent="0.45">
      <c r="A190" t="s">
        <v>854</v>
      </c>
      <c r="B190" t="s">
        <v>729</v>
      </c>
      <c r="C190" s="8">
        <v>45059.07</v>
      </c>
      <c r="D190" s="18">
        <f t="shared" si="6"/>
        <v>1017343.0200000003</v>
      </c>
      <c r="E190" s="19">
        <f>Table2[[#This Row],[GrossRevenue]]/Table2[[#This Row],[CategoryTotalRevenue]]</f>
        <v>4.4290931489361363E-2</v>
      </c>
      <c r="F190">
        <f t="shared" si="7"/>
        <v>0.36108805268059918</v>
      </c>
      <c r="G190" t="str">
        <f t="shared" si="8"/>
        <v>A</v>
      </c>
    </row>
    <row r="191" spans="1:7" x14ac:dyDescent="0.45">
      <c r="A191" t="s">
        <v>782</v>
      </c>
      <c r="B191" t="s">
        <v>729</v>
      </c>
      <c r="C191" s="8">
        <v>43814.64</v>
      </c>
      <c r="D191" s="18">
        <f t="shared" si="6"/>
        <v>1017343.0200000003</v>
      </c>
      <c r="E191" s="19">
        <f>Table2[[#This Row],[GrossRevenue]]/Table2[[#This Row],[CategoryTotalRevenue]]</f>
        <v>4.3067715744488998E-2</v>
      </c>
      <c r="F191">
        <f t="shared" si="7"/>
        <v>0.40415576842508816</v>
      </c>
      <c r="G191" t="str">
        <f t="shared" si="8"/>
        <v>A</v>
      </c>
    </row>
    <row r="192" spans="1:7" x14ac:dyDescent="0.45">
      <c r="A192" t="s">
        <v>779</v>
      </c>
      <c r="B192" t="s">
        <v>729</v>
      </c>
      <c r="C192" s="8">
        <v>39117.4</v>
      </c>
      <c r="D192" s="18">
        <f t="shared" si="6"/>
        <v>1017343.0200000003</v>
      </c>
      <c r="E192" s="19">
        <f>Table2[[#This Row],[GrossRevenue]]/Table2[[#This Row],[CategoryTotalRevenue]]</f>
        <v>3.8450551319455649E-2</v>
      </c>
      <c r="F192">
        <f t="shared" si="7"/>
        <v>0.44260631974454379</v>
      </c>
      <c r="G192" t="str">
        <f t="shared" si="8"/>
        <v>A</v>
      </c>
    </row>
    <row r="193" spans="1:7" x14ac:dyDescent="0.45">
      <c r="A193" t="s">
        <v>1353</v>
      </c>
      <c r="B193" t="s">
        <v>729</v>
      </c>
      <c r="C193" s="8">
        <v>37413.360000000001</v>
      </c>
      <c r="D193" s="18">
        <f t="shared" si="6"/>
        <v>1017343.0200000003</v>
      </c>
      <c r="E193" s="19">
        <f>Table2[[#This Row],[GrossRevenue]]/Table2[[#This Row],[CategoryTotalRevenue]]</f>
        <v>3.6775560715008385E-2</v>
      </c>
      <c r="F193">
        <f t="shared" si="7"/>
        <v>0.47938188045955216</v>
      </c>
      <c r="G193" t="str">
        <f t="shared" si="8"/>
        <v>A</v>
      </c>
    </row>
    <row r="194" spans="1:7" x14ac:dyDescent="0.45">
      <c r="A194" t="s">
        <v>1356</v>
      </c>
      <c r="B194" t="s">
        <v>729</v>
      </c>
      <c r="C194" s="8">
        <v>36912.400000000001</v>
      </c>
      <c r="D194" s="18">
        <f t="shared" ref="D194:D257" si="9">SUMIF($B$2:$B$1000, B194, $C$2:$C$1000)</f>
        <v>1017343.0200000003</v>
      </c>
      <c r="E194" s="19">
        <f>Table2[[#This Row],[GrossRevenue]]/Table2[[#This Row],[CategoryTotalRevenue]]</f>
        <v>3.6283140764065983E-2</v>
      </c>
      <c r="F194">
        <f t="shared" ref="F194:F257" si="10">IF(B194=B193, F193+E194, E194)</f>
        <v>0.51566502122361813</v>
      </c>
      <c r="G194" t="str">
        <f t="shared" ref="G194:G257" si="11">IF(F194&lt;=0.8, "A", IF(F194&lt;=0.95, "B", "C"))</f>
        <v>A</v>
      </c>
    </row>
    <row r="195" spans="1:7" x14ac:dyDescent="0.45">
      <c r="A195" t="s">
        <v>1228</v>
      </c>
      <c r="B195" t="s">
        <v>729</v>
      </c>
      <c r="C195" s="8">
        <v>35772.120000000003</v>
      </c>
      <c r="D195" s="18">
        <f t="shared" si="9"/>
        <v>1017343.0200000003</v>
      </c>
      <c r="E195" s="19">
        <f>Table2[[#This Row],[GrossRevenue]]/Table2[[#This Row],[CategoryTotalRevenue]]</f>
        <v>3.5162299535902837E-2</v>
      </c>
      <c r="F195">
        <f t="shared" si="10"/>
        <v>0.55082732075952101</v>
      </c>
      <c r="G195" t="str">
        <f t="shared" si="11"/>
        <v>A</v>
      </c>
    </row>
    <row r="196" spans="1:7" x14ac:dyDescent="0.45">
      <c r="A196" t="s">
        <v>1281</v>
      </c>
      <c r="B196" t="s">
        <v>729</v>
      </c>
      <c r="C196" s="8">
        <v>35751.149999999994</v>
      </c>
      <c r="D196" s="18">
        <f t="shared" si="9"/>
        <v>1017343.0200000003</v>
      </c>
      <c r="E196" s="19">
        <f>Table2[[#This Row],[GrossRevenue]]/Table2[[#This Row],[CategoryTotalRevenue]]</f>
        <v>3.5141687019192389E-2</v>
      </c>
      <c r="F196">
        <f t="shared" si="10"/>
        <v>0.58596900777871341</v>
      </c>
      <c r="G196" t="str">
        <f t="shared" si="11"/>
        <v>A</v>
      </c>
    </row>
    <row r="197" spans="1:7" x14ac:dyDescent="0.45">
      <c r="A197" t="s">
        <v>1112</v>
      </c>
      <c r="B197" t="s">
        <v>729</v>
      </c>
      <c r="C197" s="8">
        <v>34297.56</v>
      </c>
      <c r="D197" s="18">
        <f t="shared" si="9"/>
        <v>1017343.0200000003</v>
      </c>
      <c r="E197" s="19">
        <f>Table2[[#This Row],[GrossRevenue]]/Table2[[#This Row],[CategoryTotalRevenue]]</f>
        <v>3.3712876901637358E-2</v>
      </c>
      <c r="F197">
        <f t="shared" si="10"/>
        <v>0.61968188468035079</v>
      </c>
      <c r="G197" t="str">
        <f t="shared" si="11"/>
        <v>A</v>
      </c>
    </row>
    <row r="198" spans="1:7" x14ac:dyDescent="0.45">
      <c r="A198" t="s">
        <v>1146</v>
      </c>
      <c r="B198" t="s">
        <v>729</v>
      </c>
      <c r="C198" s="8">
        <v>33958.43</v>
      </c>
      <c r="D198" s="18">
        <f t="shared" si="9"/>
        <v>1017343.0200000003</v>
      </c>
      <c r="E198" s="19">
        <f>Table2[[#This Row],[GrossRevenue]]/Table2[[#This Row],[CategoryTotalRevenue]]</f>
        <v>3.3379528175265794E-2</v>
      </c>
      <c r="F198">
        <f t="shared" si="10"/>
        <v>0.65306141285561659</v>
      </c>
      <c r="G198" t="str">
        <f t="shared" si="11"/>
        <v>A</v>
      </c>
    </row>
    <row r="199" spans="1:7" x14ac:dyDescent="0.45">
      <c r="A199" t="s">
        <v>878</v>
      </c>
      <c r="B199" t="s">
        <v>729</v>
      </c>
      <c r="C199" s="8">
        <v>27965.279999999999</v>
      </c>
      <c r="D199" s="18">
        <f t="shared" si="9"/>
        <v>1017343.0200000003</v>
      </c>
      <c r="E199" s="19">
        <f>Table2[[#This Row],[GrossRevenue]]/Table2[[#This Row],[CategoryTotalRevenue]]</f>
        <v>2.7488545603821996E-2</v>
      </c>
      <c r="F199">
        <f t="shared" si="10"/>
        <v>0.68054995845943855</v>
      </c>
      <c r="G199" t="str">
        <f t="shared" si="11"/>
        <v>A</v>
      </c>
    </row>
    <row r="200" spans="1:7" x14ac:dyDescent="0.45">
      <c r="A200" t="s">
        <v>1229</v>
      </c>
      <c r="B200" t="s">
        <v>729</v>
      </c>
      <c r="C200" s="8">
        <v>26356.59</v>
      </c>
      <c r="D200" s="18">
        <f t="shared" si="9"/>
        <v>1017343.0200000003</v>
      </c>
      <c r="E200" s="19">
        <f>Table2[[#This Row],[GrossRevenue]]/Table2[[#This Row],[CategoryTotalRevenue]]</f>
        <v>2.5907279532915058E-2</v>
      </c>
      <c r="F200">
        <f t="shared" si="10"/>
        <v>0.7064572379923536</v>
      </c>
      <c r="G200" t="str">
        <f t="shared" si="11"/>
        <v>A</v>
      </c>
    </row>
    <row r="201" spans="1:7" x14ac:dyDescent="0.45">
      <c r="A201" t="s">
        <v>1216</v>
      </c>
      <c r="B201" t="s">
        <v>729</v>
      </c>
      <c r="C201" s="8">
        <v>24981.45</v>
      </c>
      <c r="D201" s="18">
        <f t="shared" si="9"/>
        <v>1017343.0200000003</v>
      </c>
      <c r="E201" s="19">
        <f>Table2[[#This Row],[GrossRevenue]]/Table2[[#This Row],[CategoryTotalRevenue]]</f>
        <v>2.4555582049405514E-2</v>
      </c>
      <c r="F201">
        <f t="shared" si="10"/>
        <v>0.73101282004175916</v>
      </c>
      <c r="G201" t="str">
        <f t="shared" si="11"/>
        <v>A</v>
      </c>
    </row>
    <row r="202" spans="1:7" x14ac:dyDescent="0.45">
      <c r="A202" t="s">
        <v>818</v>
      </c>
      <c r="B202" t="s">
        <v>729</v>
      </c>
      <c r="C202" s="8">
        <v>23507.38</v>
      </c>
      <c r="D202" s="18">
        <f t="shared" si="9"/>
        <v>1017343.0200000003</v>
      </c>
      <c r="E202" s="19">
        <f>Table2[[#This Row],[GrossRevenue]]/Table2[[#This Row],[CategoryTotalRevenue]]</f>
        <v>2.3106641061930121E-2</v>
      </c>
      <c r="F202">
        <f t="shared" si="10"/>
        <v>0.75411946110368933</v>
      </c>
      <c r="G202" t="str">
        <f t="shared" si="11"/>
        <v>A</v>
      </c>
    </row>
    <row r="203" spans="1:7" x14ac:dyDescent="0.45">
      <c r="A203" t="s">
        <v>755</v>
      </c>
      <c r="B203" t="s">
        <v>729</v>
      </c>
      <c r="C203" s="8">
        <v>23224.720000000001</v>
      </c>
      <c r="D203" s="18">
        <f t="shared" si="9"/>
        <v>1017343.0200000003</v>
      </c>
      <c r="E203" s="19">
        <f>Table2[[#This Row],[GrossRevenue]]/Table2[[#This Row],[CategoryTotalRevenue]]</f>
        <v>2.2828799670734454E-2</v>
      </c>
      <c r="F203">
        <f t="shared" si="10"/>
        <v>0.7769482607744238</v>
      </c>
      <c r="G203" t="str">
        <f t="shared" si="11"/>
        <v>A</v>
      </c>
    </row>
    <row r="204" spans="1:7" x14ac:dyDescent="0.45">
      <c r="A204" t="s">
        <v>1020</v>
      </c>
      <c r="B204" t="s">
        <v>729</v>
      </c>
      <c r="C204" s="8">
        <v>23127.93</v>
      </c>
      <c r="D204" s="18">
        <f t="shared" si="9"/>
        <v>1017343.0200000003</v>
      </c>
      <c r="E204" s="19">
        <f>Table2[[#This Row],[GrossRevenue]]/Table2[[#This Row],[CategoryTotalRevenue]]</f>
        <v>2.2733659685402859E-2</v>
      </c>
      <c r="F204">
        <f t="shared" si="10"/>
        <v>0.79968192045982667</v>
      </c>
      <c r="G204" t="str">
        <f t="shared" si="11"/>
        <v>A</v>
      </c>
    </row>
    <row r="205" spans="1:7" x14ac:dyDescent="0.45">
      <c r="A205" t="s">
        <v>1050</v>
      </c>
      <c r="B205" t="s">
        <v>729</v>
      </c>
      <c r="C205" s="8">
        <v>17628.75</v>
      </c>
      <c r="D205" s="18">
        <f t="shared" si="9"/>
        <v>1017343.0200000003</v>
      </c>
      <c r="E205" s="19">
        <f>Table2[[#This Row],[GrossRevenue]]/Table2[[#This Row],[CategoryTotalRevenue]]</f>
        <v>1.7328226225997986E-2</v>
      </c>
      <c r="F205">
        <f t="shared" si="10"/>
        <v>0.81701014668582461</v>
      </c>
      <c r="G205" t="str">
        <f t="shared" si="11"/>
        <v>B</v>
      </c>
    </row>
    <row r="206" spans="1:7" x14ac:dyDescent="0.45">
      <c r="A206" t="s">
        <v>1239</v>
      </c>
      <c r="B206" t="s">
        <v>729</v>
      </c>
      <c r="C206" s="8">
        <v>15636.66</v>
      </c>
      <c r="D206" s="18">
        <f t="shared" si="9"/>
        <v>1017343.0200000003</v>
      </c>
      <c r="E206" s="19">
        <f>Table2[[#This Row],[GrossRevenue]]/Table2[[#This Row],[CategoryTotalRevenue]]</f>
        <v>1.5370096115664112E-2</v>
      </c>
      <c r="F206">
        <f t="shared" si="10"/>
        <v>0.8323802428014887</v>
      </c>
      <c r="G206" t="str">
        <f t="shared" si="11"/>
        <v>B</v>
      </c>
    </row>
    <row r="207" spans="1:7" x14ac:dyDescent="0.45">
      <c r="A207" t="s">
        <v>1113</v>
      </c>
      <c r="B207" t="s">
        <v>729</v>
      </c>
      <c r="C207" s="8">
        <v>15632.399999999998</v>
      </c>
      <c r="D207" s="18">
        <f t="shared" si="9"/>
        <v>1017343.0200000003</v>
      </c>
      <c r="E207" s="19">
        <f>Table2[[#This Row],[GrossRevenue]]/Table2[[#This Row],[CategoryTotalRevenue]]</f>
        <v>1.5365908737448255E-2</v>
      </c>
      <c r="F207">
        <f t="shared" si="10"/>
        <v>0.84774615153893695</v>
      </c>
      <c r="G207" t="str">
        <f t="shared" si="11"/>
        <v>B</v>
      </c>
    </row>
    <row r="208" spans="1:7" x14ac:dyDescent="0.45">
      <c r="A208" t="s">
        <v>1199</v>
      </c>
      <c r="B208" t="s">
        <v>729</v>
      </c>
      <c r="C208" s="8">
        <v>15351.91</v>
      </c>
      <c r="D208" s="18">
        <f t="shared" si="9"/>
        <v>1017343.0200000003</v>
      </c>
      <c r="E208" s="19">
        <f>Table2[[#This Row],[GrossRevenue]]/Table2[[#This Row],[CategoryTotalRevenue]]</f>
        <v>1.5090200353465831E-2</v>
      </c>
      <c r="F208">
        <f t="shared" si="10"/>
        <v>0.86283635189240282</v>
      </c>
      <c r="G208" t="str">
        <f t="shared" si="11"/>
        <v>B</v>
      </c>
    </row>
    <row r="209" spans="1:7" x14ac:dyDescent="0.45">
      <c r="A209" t="s">
        <v>1308</v>
      </c>
      <c r="B209" t="s">
        <v>729</v>
      </c>
      <c r="C209" s="8">
        <v>14959.699999999999</v>
      </c>
      <c r="D209" s="18">
        <f t="shared" si="9"/>
        <v>1017343.0200000003</v>
      </c>
      <c r="E209" s="19">
        <f>Table2[[#This Row],[GrossRevenue]]/Table2[[#This Row],[CategoryTotalRevenue]]</f>
        <v>1.4704676501343663E-2</v>
      </c>
      <c r="F209">
        <f t="shared" si="10"/>
        <v>0.87754102839374648</v>
      </c>
      <c r="G209" t="str">
        <f t="shared" si="11"/>
        <v>B</v>
      </c>
    </row>
    <row r="210" spans="1:7" x14ac:dyDescent="0.45">
      <c r="A210" t="s">
        <v>1307</v>
      </c>
      <c r="B210" t="s">
        <v>729</v>
      </c>
      <c r="C210" s="8">
        <v>13029.3</v>
      </c>
      <c r="D210" s="18">
        <f t="shared" si="9"/>
        <v>1017343.0200000003</v>
      </c>
      <c r="E210" s="19">
        <f>Table2[[#This Row],[GrossRevenue]]/Table2[[#This Row],[CategoryTotalRevenue]]</f>
        <v>1.2807184738929054E-2</v>
      </c>
      <c r="F210">
        <f t="shared" si="10"/>
        <v>0.89034821313267554</v>
      </c>
      <c r="G210" t="str">
        <f t="shared" si="11"/>
        <v>B</v>
      </c>
    </row>
    <row r="211" spans="1:7" x14ac:dyDescent="0.45">
      <c r="A211" t="s">
        <v>1064</v>
      </c>
      <c r="B211" t="s">
        <v>729</v>
      </c>
      <c r="C211" s="8">
        <v>11516.96</v>
      </c>
      <c r="D211" s="18">
        <f t="shared" si="9"/>
        <v>1017343.0200000003</v>
      </c>
      <c r="E211" s="19">
        <f>Table2[[#This Row],[GrossRevenue]]/Table2[[#This Row],[CategoryTotalRevenue]]</f>
        <v>1.1320626154195264E-2</v>
      </c>
      <c r="F211">
        <f t="shared" si="10"/>
        <v>0.9016688392868708</v>
      </c>
      <c r="G211" t="str">
        <f t="shared" si="11"/>
        <v>B</v>
      </c>
    </row>
    <row r="212" spans="1:7" x14ac:dyDescent="0.45">
      <c r="A212" t="s">
        <v>857</v>
      </c>
      <c r="B212" t="s">
        <v>729</v>
      </c>
      <c r="C212" s="8">
        <v>11471.2</v>
      </c>
      <c r="D212" s="18">
        <f t="shared" si="9"/>
        <v>1017343.0200000003</v>
      </c>
      <c r="E212" s="19">
        <f>Table2[[#This Row],[GrossRevenue]]/Table2[[#This Row],[CategoryTotalRevenue]]</f>
        <v>1.1275646241716975E-2</v>
      </c>
      <c r="F212">
        <f t="shared" si="10"/>
        <v>0.91294448552858776</v>
      </c>
      <c r="G212" t="str">
        <f t="shared" si="11"/>
        <v>B</v>
      </c>
    </row>
    <row r="213" spans="1:7" x14ac:dyDescent="0.45">
      <c r="A213" t="s">
        <v>1236</v>
      </c>
      <c r="B213" t="s">
        <v>729</v>
      </c>
      <c r="C213" s="8">
        <v>10956.87</v>
      </c>
      <c r="D213" s="18">
        <f t="shared" si="9"/>
        <v>1017343.0200000003</v>
      </c>
      <c r="E213" s="19">
        <f>Table2[[#This Row],[GrossRevenue]]/Table2[[#This Row],[CategoryTotalRevenue]]</f>
        <v>1.0770084214073635E-2</v>
      </c>
      <c r="F213">
        <f t="shared" si="10"/>
        <v>0.92371456974266142</v>
      </c>
      <c r="G213" t="str">
        <f t="shared" si="11"/>
        <v>B</v>
      </c>
    </row>
    <row r="214" spans="1:7" x14ac:dyDescent="0.45">
      <c r="A214" t="s">
        <v>1295</v>
      </c>
      <c r="B214" t="s">
        <v>729</v>
      </c>
      <c r="C214" s="8">
        <v>10908.300000000001</v>
      </c>
      <c r="D214" s="18">
        <f t="shared" si="9"/>
        <v>1017343.0200000003</v>
      </c>
      <c r="E214" s="19">
        <f>Table2[[#This Row],[GrossRevenue]]/Table2[[#This Row],[CategoryTotalRevenue]]</f>
        <v>1.0722342204697092E-2</v>
      </c>
      <c r="F214">
        <f t="shared" si="10"/>
        <v>0.93443691194735856</v>
      </c>
      <c r="G214" t="str">
        <f t="shared" si="11"/>
        <v>B</v>
      </c>
    </row>
    <row r="215" spans="1:7" x14ac:dyDescent="0.45">
      <c r="A215" t="s">
        <v>1347</v>
      </c>
      <c r="B215" t="s">
        <v>729</v>
      </c>
      <c r="C215" s="8">
        <v>10829.64</v>
      </c>
      <c r="D215" s="18">
        <f t="shared" si="9"/>
        <v>1017343.0200000003</v>
      </c>
      <c r="E215" s="19">
        <f>Table2[[#This Row],[GrossRevenue]]/Table2[[#This Row],[CategoryTotalRevenue]]</f>
        <v>1.06450231505987E-2</v>
      </c>
      <c r="F215">
        <f t="shared" si="10"/>
        <v>0.94508193509795724</v>
      </c>
      <c r="G215" t="str">
        <f t="shared" si="11"/>
        <v>B</v>
      </c>
    </row>
    <row r="216" spans="1:7" x14ac:dyDescent="0.45">
      <c r="A216" t="s">
        <v>995</v>
      </c>
      <c r="B216" t="s">
        <v>729</v>
      </c>
      <c r="C216" s="8">
        <v>10441.400000000001</v>
      </c>
      <c r="D216" s="18">
        <f t="shared" si="9"/>
        <v>1017343.0200000003</v>
      </c>
      <c r="E216" s="19">
        <f>Table2[[#This Row],[GrossRevenue]]/Table2[[#This Row],[CategoryTotalRevenue]]</f>
        <v>1.0263401620428868E-2</v>
      </c>
      <c r="F216">
        <f t="shared" si="10"/>
        <v>0.95534533671838606</v>
      </c>
      <c r="G216" t="str">
        <f t="shared" si="11"/>
        <v>C</v>
      </c>
    </row>
    <row r="217" spans="1:7" x14ac:dyDescent="0.45">
      <c r="A217" t="s">
        <v>807</v>
      </c>
      <c r="B217" t="s">
        <v>729</v>
      </c>
      <c r="C217" s="8">
        <v>9835.74</v>
      </c>
      <c r="D217" s="18">
        <f t="shared" si="9"/>
        <v>1017343.0200000003</v>
      </c>
      <c r="E217" s="19">
        <f>Table2[[#This Row],[GrossRevenue]]/Table2[[#This Row],[CategoryTotalRevenue]]</f>
        <v>9.668066528829183E-3</v>
      </c>
      <c r="F217">
        <f t="shared" si="10"/>
        <v>0.9650134032472153</v>
      </c>
      <c r="G217" t="str">
        <f t="shared" si="11"/>
        <v>C</v>
      </c>
    </row>
    <row r="218" spans="1:7" x14ac:dyDescent="0.45">
      <c r="A218" t="s">
        <v>1235</v>
      </c>
      <c r="B218" t="s">
        <v>729</v>
      </c>
      <c r="C218" s="8">
        <v>9607.5499999999993</v>
      </c>
      <c r="D218" s="18">
        <f t="shared" si="9"/>
        <v>1017343.0200000003</v>
      </c>
      <c r="E218" s="19">
        <f>Table2[[#This Row],[GrossRevenue]]/Table2[[#This Row],[CategoryTotalRevenue]]</f>
        <v>9.4437665675437543E-3</v>
      </c>
      <c r="F218">
        <f t="shared" si="10"/>
        <v>0.97445716981475905</v>
      </c>
      <c r="G218" t="str">
        <f t="shared" si="11"/>
        <v>C</v>
      </c>
    </row>
    <row r="219" spans="1:7" x14ac:dyDescent="0.45">
      <c r="A219" t="s">
        <v>1168</v>
      </c>
      <c r="B219" t="s">
        <v>729</v>
      </c>
      <c r="C219" s="8">
        <v>6253.06</v>
      </c>
      <c r="D219" s="18">
        <f t="shared" si="9"/>
        <v>1017343.0200000003</v>
      </c>
      <c r="E219" s="19">
        <f>Table2[[#This Row],[GrossRevenue]]/Table2[[#This Row],[CategoryTotalRevenue]]</f>
        <v>6.1464617902425855E-3</v>
      </c>
      <c r="F219">
        <f t="shared" si="10"/>
        <v>0.98060363160500164</v>
      </c>
      <c r="G219" t="str">
        <f t="shared" si="11"/>
        <v>C</v>
      </c>
    </row>
    <row r="220" spans="1:7" x14ac:dyDescent="0.45">
      <c r="A220" t="s">
        <v>832</v>
      </c>
      <c r="B220" t="s">
        <v>729</v>
      </c>
      <c r="C220" s="8">
        <v>5868.38</v>
      </c>
      <c r="D220" s="18">
        <f t="shared" si="9"/>
        <v>1017343.0200000003</v>
      </c>
      <c r="E220" s="19">
        <f>Table2[[#This Row],[GrossRevenue]]/Table2[[#This Row],[CategoryTotalRevenue]]</f>
        <v>5.768339571445626E-3</v>
      </c>
      <c r="F220">
        <f t="shared" si="10"/>
        <v>0.98637197117644726</v>
      </c>
      <c r="G220" t="str">
        <f t="shared" si="11"/>
        <v>C</v>
      </c>
    </row>
    <row r="221" spans="1:7" x14ac:dyDescent="0.45">
      <c r="A221" t="s">
        <v>1310</v>
      </c>
      <c r="B221" t="s">
        <v>729</v>
      </c>
      <c r="C221" s="8">
        <v>4588.08</v>
      </c>
      <c r="D221" s="18">
        <f t="shared" si="9"/>
        <v>1017343.0200000003</v>
      </c>
      <c r="E221" s="19">
        <f>Table2[[#This Row],[GrossRevenue]]/Table2[[#This Row],[CategoryTotalRevenue]]</f>
        <v>4.5098653156336582E-3</v>
      </c>
      <c r="F221">
        <f t="shared" si="10"/>
        <v>0.99088183649208095</v>
      </c>
      <c r="G221" t="str">
        <f t="shared" si="11"/>
        <v>C</v>
      </c>
    </row>
    <row r="222" spans="1:7" x14ac:dyDescent="0.45">
      <c r="A222" t="s">
        <v>990</v>
      </c>
      <c r="B222" t="s">
        <v>729</v>
      </c>
      <c r="C222" s="8">
        <v>2981.52</v>
      </c>
      <c r="D222" s="18">
        <f t="shared" si="9"/>
        <v>1017343.0200000003</v>
      </c>
      <c r="E222" s="19">
        <f>Table2[[#This Row],[GrossRevenue]]/Table2[[#This Row],[CategoryTotalRevenue]]</f>
        <v>2.9306929338346463E-3</v>
      </c>
      <c r="F222">
        <f t="shared" si="10"/>
        <v>0.99381252942591558</v>
      </c>
      <c r="G222" t="str">
        <f t="shared" si="11"/>
        <v>C</v>
      </c>
    </row>
    <row r="223" spans="1:7" x14ac:dyDescent="0.45">
      <c r="A223" t="s">
        <v>1352</v>
      </c>
      <c r="B223" t="s">
        <v>729</v>
      </c>
      <c r="C223" s="8">
        <v>2893.3799999999997</v>
      </c>
      <c r="D223" s="18">
        <f t="shared" si="9"/>
        <v>1017343.0200000003</v>
      </c>
      <c r="E223" s="19">
        <f>Table2[[#This Row],[GrossRevenue]]/Table2[[#This Row],[CategoryTotalRevenue]]</f>
        <v>2.8440554887770291E-3</v>
      </c>
      <c r="F223">
        <f t="shared" si="10"/>
        <v>0.99665658491469256</v>
      </c>
      <c r="G223" t="str">
        <f t="shared" si="11"/>
        <v>C</v>
      </c>
    </row>
    <row r="224" spans="1:7" x14ac:dyDescent="0.45">
      <c r="A224" t="s">
        <v>1166</v>
      </c>
      <c r="B224" t="s">
        <v>729</v>
      </c>
      <c r="C224" s="8">
        <v>2480.92</v>
      </c>
      <c r="D224" s="18">
        <f t="shared" si="9"/>
        <v>1017343.0200000003</v>
      </c>
      <c r="E224" s="19">
        <f>Table2[[#This Row],[GrossRevenue]]/Table2[[#This Row],[CategoryTotalRevenue]]</f>
        <v>2.4386268458400583E-3</v>
      </c>
      <c r="F224">
        <f t="shared" si="10"/>
        <v>0.99909521176053262</v>
      </c>
      <c r="G224" t="str">
        <f t="shared" si="11"/>
        <v>C</v>
      </c>
    </row>
    <row r="225" spans="1:7" x14ac:dyDescent="0.45">
      <c r="A225" t="s">
        <v>1044</v>
      </c>
      <c r="B225" t="s">
        <v>729</v>
      </c>
      <c r="C225" s="8">
        <v>920.48</v>
      </c>
      <c r="D225" s="18">
        <f t="shared" si="9"/>
        <v>1017343.0200000003</v>
      </c>
      <c r="E225" s="19">
        <f>Table2[[#This Row],[GrossRevenue]]/Table2[[#This Row],[CategoryTotalRevenue]]</f>
        <v>9.0478823946715608E-4</v>
      </c>
      <c r="F225">
        <f t="shared" si="10"/>
        <v>0.99999999999999978</v>
      </c>
      <c r="G225" t="str">
        <f t="shared" si="11"/>
        <v>C</v>
      </c>
    </row>
    <row r="226" spans="1:7" x14ac:dyDescent="0.45">
      <c r="A226" t="s">
        <v>834</v>
      </c>
      <c r="B226" t="s">
        <v>730</v>
      </c>
      <c r="C226" s="8">
        <v>52780.07</v>
      </c>
      <c r="D226" s="18">
        <f t="shared" si="9"/>
        <v>746204.65000000014</v>
      </c>
      <c r="E226" s="19">
        <f>Table2[[#This Row],[GrossRevenue]]/Table2[[#This Row],[CategoryTotalRevenue]]</f>
        <v>7.073136035804653E-2</v>
      </c>
      <c r="F226">
        <f t="shared" si="10"/>
        <v>7.073136035804653E-2</v>
      </c>
      <c r="G226" t="str">
        <f t="shared" si="11"/>
        <v>A</v>
      </c>
    </row>
    <row r="227" spans="1:7" x14ac:dyDescent="0.45">
      <c r="A227" t="s">
        <v>1161</v>
      </c>
      <c r="B227" t="s">
        <v>730</v>
      </c>
      <c r="C227" s="8">
        <v>49864.56</v>
      </c>
      <c r="D227" s="18">
        <f t="shared" si="9"/>
        <v>746204.65000000014</v>
      </c>
      <c r="E227" s="19">
        <f>Table2[[#This Row],[GrossRevenue]]/Table2[[#This Row],[CategoryTotalRevenue]]</f>
        <v>6.682424184839908E-2</v>
      </c>
      <c r="F227">
        <f t="shared" si="10"/>
        <v>0.13755560220644561</v>
      </c>
      <c r="G227" t="str">
        <f t="shared" si="11"/>
        <v>A</v>
      </c>
    </row>
    <row r="228" spans="1:7" x14ac:dyDescent="0.45">
      <c r="A228" t="s">
        <v>915</v>
      </c>
      <c r="B228" t="s">
        <v>730</v>
      </c>
      <c r="C228" s="8">
        <v>44132.600000000006</v>
      </c>
      <c r="D228" s="18">
        <f t="shared" si="9"/>
        <v>746204.65000000014</v>
      </c>
      <c r="E228" s="19">
        <f>Table2[[#This Row],[GrossRevenue]]/Table2[[#This Row],[CategoryTotalRevenue]]</f>
        <v>5.9142756615092114E-2</v>
      </c>
      <c r="F228">
        <f t="shared" si="10"/>
        <v>0.19669835882153772</v>
      </c>
      <c r="G228" t="str">
        <f t="shared" si="11"/>
        <v>A</v>
      </c>
    </row>
    <row r="229" spans="1:7" x14ac:dyDescent="0.45">
      <c r="A229" t="s">
        <v>883</v>
      </c>
      <c r="B229" t="s">
        <v>730</v>
      </c>
      <c r="C229" s="8">
        <v>43407.360000000001</v>
      </c>
      <c r="D229" s="18">
        <f t="shared" si="9"/>
        <v>746204.65000000014</v>
      </c>
      <c r="E229" s="19">
        <f>Table2[[#This Row],[GrossRevenue]]/Table2[[#This Row],[CategoryTotalRevenue]]</f>
        <v>5.8170851655775652E-2</v>
      </c>
      <c r="F229">
        <f t="shared" si="10"/>
        <v>0.25486921047731337</v>
      </c>
      <c r="G229" t="str">
        <f t="shared" si="11"/>
        <v>A</v>
      </c>
    </row>
    <row r="230" spans="1:7" x14ac:dyDescent="0.45">
      <c r="A230" t="s">
        <v>1108</v>
      </c>
      <c r="B230" t="s">
        <v>730</v>
      </c>
      <c r="C230" s="8">
        <v>41005.360000000001</v>
      </c>
      <c r="D230" s="18">
        <f t="shared" si="9"/>
        <v>746204.65000000014</v>
      </c>
      <c r="E230" s="19">
        <f>Table2[[#This Row],[GrossRevenue]]/Table2[[#This Row],[CategoryTotalRevenue]]</f>
        <v>5.4951895569131062E-2</v>
      </c>
      <c r="F230">
        <f t="shared" si="10"/>
        <v>0.30982110604644442</v>
      </c>
      <c r="G230" t="str">
        <f t="shared" si="11"/>
        <v>A</v>
      </c>
    </row>
    <row r="231" spans="1:7" x14ac:dyDescent="0.45">
      <c r="A231" t="s">
        <v>893</v>
      </c>
      <c r="B231" t="s">
        <v>730</v>
      </c>
      <c r="C231" s="8">
        <v>35731.079999999994</v>
      </c>
      <c r="D231" s="18">
        <f t="shared" si="9"/>
        <v>746204.65000000014</v>
      </c>
      <c r="E231" s="19">
        <f>Table2[[#This Row],[GrossRevenue]]/Table2[[#This Row],[CategoryTotalRevenue]]</f>
        <v>4.7883754141708965E-2</v>
      </c>
      <c r="F231">
        <f t="shared" si="10"/>
        <v>0.3577048601881534</v>
      </c>
      <c r="G231" t="str">
        <f t="shared" si="11"/>
        <v>A</v>
      </c>
    </row>
    <row r="232" spans="1:7" x14ac:dyDescent="0.45">
      <c r="A232" t="s">
        <v>1155</v>
      </c>
      <c r="B232" t="s">
        <v>730</v>
      </c>
      <c r="C232" s="8">
        <v>35609.760000000002</v>
      </c>
      <c r="D232" s="18">
        <f t="shared" si="9"/>
        <v>746204.65000000014</v>
      </c>
      <c r="E232" s="19">
        <f>Table2[[#This Row],[GrossRevenue]]/Table2[[#This Row],[CategoryTotalRevenue]]</f>
        <v>4.7721171397149556E-2</v>
      </c>
      <c r="F232">
        <f t="shared" si="10"/>
        <v>0.40542603158530294</v>
      </c>
      <c r="G232" t="str">
        <f t="shared" si="11"/>
        <v>A</v>
      </c>
    </row>
    <row r="233" spans="1:7" x14ac:dyDescent="0.45">
      <c r="A233" t="s">
        <v>1359</v>
      </c>
      <c r="B233" t="s">
        <v>730</v>
      </c>
      <c r="C233" s="8">
        <v>33017.42</v>
      </c>
      <c r="D233" s="18">
        <f t="shared" si="9"/>
        <v>746204.65000000014</v>
      </c>
      <c r="E233" s="19">
        <f>Table2[[#This Row],[GrossRevenue]]/Table2[[#This Row],[CategoryTotalRevenue]]</f>
        <v>4.4247137832764766E-2</v>
      </c>
      <c r="F233">
        <f t="shared" si="10"/>
        <v>0.44967316941806768</v>
      </c>
      <c r="G233" t="str">
        <f t="shared" si="11"/>
        <v>A</v>
      </c>
    </row>
    <row r="234" spans="1:7" x14ac:dyDescent="0.45">
      <c r="A234" t="s">
        <v>1069</v>
      </c>
      <c r="B234" t="s">
        <v>730</v>
      </c>
      <c r="C234" s="8">
        <v>30243.84</v>
      </c>
      <c r="D234" s="18">
        <f t="shared" si="9"/>
        <v>746204.65000000014</v>
      </c>
      <c r="E234" s="19">
        <f>Table2[[#This Row],[GrossRevenue]]/Table2[[#This Row],[CategoryTotalRevenue]]</f>
        <v>4.0530221836596693E-2</v>
      </c>
      <c r="F234">
        <f t="shared" si="10"/>
        <v>0.49020339125466439</v>
      </c>
      <c r="G234" t="str">
        <f t="shared" si="11"/>
        <v>A</v>
      </c>
    </row>
    <row r="235" spans="1:7" x14ac:dyDescent="0.45">
      <c r="A235" t="s">
        <v>765</v>
      </c>
      <c r="B235" t="s">
        <v>730</v>
      </c>
      <c r="C235" s="8">
        <v>28705.119999999999</v>
      </c>
      <c r="D235" s="18">
        <f t="shared" si="9"/>
        <v>746204.65000000014</v>
      </c>
      <c r="E235" s="19">
        <f>Table2[[#This Row],[GrossRevenue]]/Table2[[#This Row],[CategoryTotalRevenue]]</f>
        <v>3.8468160175630095E-2</v>
      </c>
      <c r="F235">
        <f t="shared" si="10"/>
        <v>0.52867155143029443</v>
      </c>
      <c r="G235" t="str">
        <f t="shared" si="11"/>
        <v>A</v>
      </c>
    </row>
    <row r="236" spans="1:7" x14ac:dyDescent="0.45">
      <c r="A236" t="s">
        <v>1159</v>
      </c>
      <c r="B236" t="s">
        <v>730</v>
      </c>
      <c r="C236" s="8">
        <v>28626.48</v>
      </c>
      <c r="D236" s="18">
        <f t="shared" si="9"/>
        <v>746204.65000000014</v>
      </c>
      <c r="E236" s="19">
        <f>Table2[[#This Row],[GrossRevenue]]/Table2[[#This Row],[CategoryTotalRevenue]]</f>
        <v>3.836277353672346E-2</v>
      </c>
      <c r="F236">
        <f t="shared" si="10"/>
        <v>0.56703432496701789</v>
      </c>
      <c r="G236" t="str">
        <f t="shared" si="11"/>
        <v>A</v>
      </c>
    </row>
    <row r="237" spans="1:7" x14ac:dyDescent="0.45">
      <c r="A237" t="s">
        <v>841</v>
      </c>
      <c r="B237" t="s">
        <v>730</v>
      </c>
      <c r="C237" s="8">
        <v>27009.72</v>
      </c>
      <c r="D237" s="18">
        <f t="shared" si="9"/>
        <v>746204.65000000014</v>
      </c>
      <c r="E237" s="19">
        <f>Table2[[#This Row],[GrossRevenue]]/Table2[[#This Row],[CategoryTotalRevenue]]</f>
        <v>3.6196129305814423E-2</v>
      </c>
      <c r="F237">
        <f t="shared" si="10"/>
        <v>0.60323045427283228</v>
      </c>
      <c r="G237" t="str">
        <f t="shared" si="11"/>
        <v>A</v>
      </c>
    </row>
    <row r="238" spans="1:7" x14ac:dyDescent="0.45">
      <c r="A238" t="s">
        <v>958</v>
      </c>
      <c r="B238" t="s">
        <v>730</v>
      </c>
      <c r="C238" s="8">
        <v>25291.5</v>
      </c>
      <c r="D238" s="18">
        <f t="shared" si="9"/>
        <v>746204.65000000014</v>
      </c>
      <c r="E238" s="19">
        <f>Table2[[#This Row],[GrossRevenue]]/Table2[[#This Row],[CategoryTotalRevenue]]</f>
        <v>3.3893517013060689E-2</v>
      </c>
      <c r="F238">
        <f t="shared" si="10"/>
        <v>0.63712397128589293</v>
      </c>
      <c r="G238" t="str">
        <f t="shared" si="11"/>
        <v>A</v>
      </c>
    </row>
    <row r="239" spans="1:7" x14ac:dyDescent="0.45">
      <c r="A239" t="s">
        <v>1139</v>
      </c>
      <c r="B239" t="s">
        <v>730</v>
      </c>
      <c r="C239" s="8">
        <v>24989.579999999998</v>
      </c>
      <c r="D239" s="18">
        <f t="shared" si="9"/>
        <v>746204.65000000014</v>
      </c>
      <c r="E239" s="19">
        <f>Table2[[#This Row],[GrossRevenue]]/Table2[[#This Row],[CategoryTotalRevenue]]</f>
        <v>3.3488909510279781E-2</v>
      </c>
      <c r="F239">
        <f t="shared" si="10"/>
        <v>0.67061288079617276</v>
      </c>
      <c r="G239" t="str">
        <f t="shared" si="11"/>
        <v>A</v>
      </c>
    </row>
    <row r="240" spans="1:7" x14ac:dyDescent="0.45">
      <c r="A240" t="s">
        <v>1316</v>
      </c>
      <c r="B240" t="s">
        <v>730</v>
      </c>
      <c r="C240" s="8">
        <v>23645.79</v>
      </c>
      <c r="D240" s="18">
        <f t="shared" si="9"/>
        <v>746204.65000000014</v>
      </c>
      <c r="E240" s="19">
        <f>Table2[[#This Row],[GrossRevenue]]/Table2[[#This Row],[CategoryTotalRevenue]]</f>
        <v>3.1688076454629434E-2</v>
      </c>
      <c r="F240">
        <f t="shared" si="10"/>
        <v>0.70230095725080222</v>
      </c>
      <c r="G240" t="str">
        <f t="shared" si="11"/>
        <v>A</v>
      </c>
    </row>
    <row r="241" spans="1:7" x14ac:dyDescent="0.45">
      <c r="A241" t="s">
        <v>825</v>
      </c>
      <c r="B241" t="s">
        <v>730</v>
      </c>
      <c r="C241" s="8">
        <v>22793</v>
      </c>
      <c r="D241" s="18">
        <f t="shared" si="9"/>
        <v>746204.65000000014</v>
      </c>
      <c r="E241" s="19">
        <f>Table2[[#This Row],[GrossRevenue]]/Table2[[#This Row],[CategoryTotalRevenue]]</f>
        <v>3.0545239834675376E-2</v>
      </c>
      <c r="F241">
        <f t="shared" si="10"/>
        <v>0.7328461970854776</v>
      </c>
      <c r="G241" t="str">
        <f t="shared" si="11"/>
        <v>A</v>
      </c>
    </row>
    <row r="242" spans="1:7" x14ac:dyDescent="0.45">
      <c r="A242" t="s">
        <v>1188</v>
      </c>
      <c r="B242" t="s">
        <v>730</v>
      </c>
      <c r="C242" s="8">
        <v>20797.98</v>
      </c>
      <c r="D242" s="18">
        <f t="shared" si="9"/>
        <v>746204.65000000014</v>
      </c>
      <c r="E242" s="19">
        <f>Table2[[#This Row],[GrossRevenue]]/Table2[[#This Row],[CategoryTotalRevenue]]</f>
        <v>2.7871683726441526E-2</v>
      </c>
      <c r="F242">
        <f t="shared" si="10"/>
        <v>0.76071788081191916</v>
      </c>
      <c r="G242" t="str">
        <f t="shared" si="11"/>
        <v>A</v>
      </c>
    </row>
    <row r="243" spans="1:7" x14ac:dyDescent="0.45">
      <c r="A243" t="s">
        <v>1145</v>
      </c>
      <c r="B243" t="s">
        <v>730</v>
      </c>
      <c r="C243" s="8">
        <v>17594.57</v>
      </c>
      <c r="D243" s="18">
        <f t="shared" si="9"/>
        <v>746204.65000000014</v>
      </c>
      <c r="E243" s="19">
        <f>Table2[[#This Row],[GrossRevenue]]/Table2[[#This Row],[CategoryTotalRevenue]]</f>
        <v>2.3578746125476432E-2</v>
      </c>
      <c r="F243">
        <f t="shared" si="10"/>
        <v>0.78429662693739555</v>
      </c>
      <c r="G243" t="str">
        <f t="shared" si="11"/>
        <v>A</v>
      </c>
    </row>
    <row r="244" spans="1:7" x14ac:dyDescent="0.45">
      <c r="A244" t="s">
        <v>1181</v>
      </c>
      <c r="B244" t="s">
        <v>730</v>
      </c>
      <c r="C244" s="8">
        <v>15675</v>
      </c>
      <c r="D244" s="18">
        <f t="shared" si="9"/>
        <v>746204.65000000014</v>
      </c>
      <c r="E244" s="19">
        <f>Table2[[#This Row],[GrossRevenue]]/Table2[[#This Row],[CategoryTotalRevenue]]</f>
        <v>2.1006301689489602E-2</v>
      </c>
      <c r="F244">
        <f t="shared" si="10"/>
        <v>0.80530292862688513</v>
      </c>
      <c r="G244" t="str">
        <f t="shared" si="11"/>
        <v>B</v>
      </c>
    </row>
    <row r="245" spans="1:7" x14ac:dyDescent="0.45">
      <c r="A245" t="s">
        <v>799</v>
      </c>
      <c r="B245" t="s">
        <v>730</v>
      </c>
      <c r="C245" s="8">
        <v>14893.710000000001</v>
      </c>
      <c r="D245" s="18">
        <f t="shared" si="9"/>
        <v>746204.65000000014</v>
      </c>
      <c r="E245" s="19">
        <f>Table2[[#This Row],[GrossRevenue]]/Table2[[#This Row],[CategoryTotalRevenue]]</f>
        <v>1.9959283287768307E-2</v>
      </c>
      <c r="F245">
        <f t="shared" si="10"/>
        <v>0.82526221191465343</v>
      </c>
      <c r="G245" t="str">
        <f t="shared" si="11"/>
        <v>B</v>
      </c>
    </row>
    <row r="246" spans="1:7" x14ac:dyDescent="0.45">
      <c r="A246" t="s">
        <v>1173</v>
      </c>
      <c r="B246" t="s">
        <v>730</v>
      </c>
      <c r="C246" s="8">
        <v>14869.14</v>
      </c>
      <c r="D246" s="18">
        <f t="shared" si="9"/>
        <v>746204.65000000014</v>
      </c>
      <c r="E246" s="19">
        <f>Table2[[#This Row],[GrossRevenue]]/Table2[[#This Row],[CategoryTotalRevenue]]</f>
        <v>1.9926356663684683E-2</v>
      </c>
      <c r="F246">
        <f t="shared" si="10"/>
        <v>0.84518856857833813</v>
      </c>
      <c r="G246" t="str">
        <f t="shared" si="11"/>
        <v>B</v>
      </c>
    </row>
    <row r="247" spans="1:7" x14ac:dyDescent="0.45">
      <c r="A247" t="s">
        <v>977</v>
      </c>
      <c r="B247" t="s">
        <v>730</v>
      </c>
      <c r="C247" s="8">
        <v>14846.88</v>
      </c>
      <c r="D247" s="18">
        <f t="shared" si="9"/>
        <v>746204.65000000014</v>
      </c>
      <c r="E247" s="19">
        <f>Table2[[#This Row],[GrossRevenue]]/Table2[[#This Row],[CategoryTotalRevenue]]</f>
        <v>1.9896525705113199E-2</v>
      </c>
      <c r="F247">
        <f t="shared" si="10"/>
        <v>0.86508509428345137</v>
      </c>
      <c r="G247" t="str">
        <f t="shared" si="11"/>
        <v>B</v>
      </c>
    </row>
    <row r="248" spans="1:7" x14ac:dyDescent="0.45">
      <c r="A248" t="s">
        <v>1076</v>
      </c>
      <c r="B248" t="s">
        <v>730</v>
      </c>
      <c r="C248" s="8">
        <v>12095.94</v>
      </c>
      <c r="D248" s="18">
        <f t="shared" si="9"/>
        <v>746204.65000000014</v>
      </c>
      <c r="E248" s="19">
        <f>Table2[[#This Row],[GrossRevenue]]/Table2[[#This Row],[CategoryTotalRevenue]]</f>
        <v>1.6209949911193931E-2</v>
      </c>
      <c r="F248">
        <f t="shared" si="10"/>
        <v>0.88129504419464533</v>
      </c>
      <c r="G248" t="str">
        <f t="shared" si="11"/>
        <v>B</v>
      </c>
    </row>
    <row r="249" spans="1:7" x14ac:dyDescent="0.45">
      <c r="A249" t="s">
        <v>974</v>
      </c>
      <c r="B249" t="s">
        <v>730</v>
      </c>
      <c r="C249" s="8">
        <v>10701.52</v>
      </c>
      <c r="D249" s="18">
        <f t="shared" si="9"/>
        <v>746204.65000000014</v>
      </c>
      <c r="E249" s="19">
        <f>Table2[[#This Row],[GrossRevenue]]/Table2[[#This Row],[CategoryTotalRevenue]]</f>
        <v>1.4341266836115264E-2</v>
      </c>
      <c r="F249">
        <f t="shared" si="10"/>
        <v>0.89563631103076058</v>
      </c>
      <c r="G249" t="str">
        <f t="shared" si="11"/>
        <v>B</v>
      </c>
    </row>
    <row r="250" spans="1:7" x14ac:dyDescent="0.45">
      <c r="A250" t="s">
        <v>1036</v>
      </c>
      <c r="B250" t="s">
        <v>730</v>
      </c>
      <c r="C250" s="8">
        <v>9798.4</v>
      </c>
      <c r="D250" s="18">
        <f t="shared" si="9"/>
        <v>746204.65000000014</v>
      </c>
      <c r="E250" s="19">
        <f>Table2[[#This Row],[GrossRevenue]]/Table2[[#This Row],[CategoryTotalRevenue]]</f>
        <v>1.3130982231214986E-2</v>
      </c>
      <c r="F250">
        <f t="shared" si="10"/>
        <v>0.90876729326197558</v>
      </c>
      <c r="G250" t="str">
        <f t="shared" si="11"/>
        <v>B</v>
      </c>
    </row>
    <row r="251" spans="1:7" x14ac:dyDescent="0.45">
      <c r="A251" t="s">
        <v>896</v>
      </c>
      <c r="B251" t="s">
        <v>730</v>
      </c>
      <c r="C251" s="8">
        <v>9405.4800000000014</v>
      </c>
      <c r="D251" s="18">
        <f t="shared" si="9"/>
        <v>746204.65000000014</v>
      </c>
      <c r="E251" s="19">
        <f>Table2[[#This Row],[GrossRevenue]]/Table2[[#This Row],[CategoryTotalRevenue]]</f>
        <v>1.2604424268865115E-2</v>
      </c>
      <c r="F251">
        <f t="shared" si="10"/>
        <v>0.92137171753084068</v>
      </c>
      <c r="G251" t="str">
        <f t="shared" si="11"/>
        <v>B</v>
      </c>
    </row>
    <row r="252" spans="1:7" x14ac:dyDescent="0.45">
      <c r="A252" t="s">
        <v>1233</v>
      </c>
      <c r="B252" t="s">
        <v>730</v>
      </c>
      <c r="C252" s="8">
        <v>8917.2999999999993</v>
      </c>
      <c r="D252" s="18">
        <f t="shared" si="9"/>
        <v>746204.65000000014</v>
      </c>
      <c r="E252" s="19">
        <f>Table2[[#This Row],[GrossRevenue]]/Table2[[#This Row],[CategoryTotalRevenue]]</f>
        <v>1.1950206957300518E-2</v>
      </c>
      <c r="F252">
        <f t="shared" si="10"/>
        <v>0.93332192448814122</v>
      </c>
      <c r="G252" t="str">
        <f t="shared" si="11"/>
        <v>B</v>
      </c>
    </row>
    <row r="253" spans="1:7" x14ac:dyDescent="0.45">
      <c r="A253" t="s">
        <v>971</v>
      </c>
      <c r="B253" t="s">
        <v>730</v>
      </c>
      <c r="C253" s="8">
        <v>8737.5</v>
      </c>
      <c r="D253" s="18">
        <f t="shared" si="9"/>
        <v>746204.65000000014</v>
      </c>
      <c r="E253" s="19">
        <f>Table2[[#This Row],[GrossRevenue]]/Table2[[#This Row],[CategoryTotalRevenue]]</f>
        <v>1.1709254291031285E-2</v>
      </c>
      <c r="F253">
        <f t="shared" si="10"/>
        <v>0.94503117877917253</v>
      </c>
      <c r="G253" t="str">
        <f t="shared" si="11"/>
        <v>B</v>
      </c>
    </row>
    <row r="254" spans="1:7" x14ac:dyDescent="0.45">
      <c r="A254" t="s">
        <v>1001</v>
      </c>
      <c r="B254" t="s">
        <v>730</v>
      </c>
      <c r="C254" s="8">
        <v>6946.8</v>
      </c>
      <c r="D254" s="18">
        <f t="shared" si="9"/>
        <v>746204.65000000014</v>
      </c>
      <c r="E254" s="19">
        <f>Table2[[#This Row],[GrossRevenue]]/Table2[[#This Row],[CategoryTotalRevenue]]</f>
        <v>9.3095104674032775E-3</v>
      </c>
      <c r="F254">
        <f t="shared" si="10"/>
        <v>0.95434068924657578</v>
      </c>
      <c r="G254" t="str">
        <f t="shared" si="11"/>
        <v>C</v>
      </c>
    </row>
    <row r="255" spans="1:7" x14ac:dyDescent="0.45">
      <c r="A255" t="s">
        <v>964</v>
      </c>
      <c r="B255" t="s">
        <v>730</v>
      </c>
      <c r="C255" s="8">
        <v>6526.03</v>
      </c>
      <c r="D255" s="18">
        <f t="shared" si="9"/>
        <v>746204.65000000014</v>
      </c>
      <c r="E255" s="19">
        <f>Table2[[#This Row],[GrossRevenue]]/Table2[[#This Row],[CategoryTotalRevenue]]</f>
        <v>8.7456303039655393E-3</v>
      </c>
      <c r="F255">
        <f t="shared" si="10"/>
        <v>0.96308631955054136</v>
      </c>
      <c r="G255" t="str">
        <f t="shared" si="11"/>
        <v>C</v>
      </c>
    </row>
    <row r="256" spans="1:7" x14ac:dyDescent="0.45">
      <c r="A256" t="s">
        <v>1067</v>
      </c>
      <c r="B256" t="s">
        <v>730</v>
      </c>
      <c r="C256" s="8">
        <v>5679.95</v>
      </c>
      <c r="D256" s="18">
        <f t="shared" si="9"/>
        <v>746204.65000000014</v>
      </c>
      <c r="E256" s="19">
        <f>Table2[[#This Row],[GrossRevenue]]/Table2[[#This Row],[CategoryTotalRevenue]]</f>
        <v>7.6117858552610185E-3</v>
      </c>
      <c r="F256">
        <f t="shared" si="10"/>
        <v>0.97069810540580237</v>
      </c>
      <c r="G256" t="str">
        <f t="shared" si="11"/>
        <v>C</v>
      </c>
    </row>
    <row r="257" spans="1:7" x14ac:dyDescent="0.45">
      <c r="A257" t="s">
        <v>737</v>
      </c>
      <c r="B257" t="s">
        <v>730</v>
      </c>
      <c r="C257" s="8">
        <v>5630.68</v>
      </c>
      <c r="D257" s="18">
        <f t="shared" si="9"/>
        <v>746204.65000000014</v>
      </c>
      <c r="E257" s="19">
        <f>Table2[[#This Row],[GrossRevenue]]/Table2[[#This Row],[CategoryTotalRevenue]]</f>
        <v>7.5457583921515357E-3</v>
      </c>
      <c r="F257">
        <f t="shared" si="10"/>
        <v>0.97824386379795392</v>
      </c>
      <c r="G257" t="str">
        <f t="shared" si="11"/>
        <v>C</v>
      </c>
    </row>
    <row r="258" spans="1:7" x14ac:dyDescent="0.45">
      <c r="A258" t="s">
        <v>1094</v>
      </c>
      <c r="B258" t="s">
        <v>730</v>
      </c>
      <c r="C258" s="8">
        <v>5210.92</v>
      </c>
      <c r="D258" s="18">
        <f t="shared" ref="D258:D316" si="12">SUMIF($B$2:$B$1000, B258, $C$2:$C$1000)</f>
        <v>746204.65000000014</v>
      </c>
      <c r="E258" s="19">
        <f>Table2[[#This Row],[GrossRevenue]]/Table2[[#This Row],[CategoryTotalRevenue]]</f>
        <v>6.9832317448035187E-3</v>
      </c>
      <c r="F258">
        <f t="shared" ref="F258:F316" si="13">IF(B258=B257, F257+E258, E258)</f>
        <v>0.98522709554275745</v>
      </c>
      <c r="G258" t="str">
        <f t="shared" ref="G258:G316" si="14">IF(F258&lt;=0.8, "A", IF(F258&lt;=0.95, "B", "C"))</f>
        <v>C</v>
      </c>
    </row>
    <row r="259" spans="1:7" x14ac:dyDescent="0.45">
      <c r="A259" t="s">
        <v>867</v>
      </c>
      <c r="B259" t="s">
        <v>730</v>
      </c>
      <c r="C259" s="8">
        <v>4298.16</v>
      </c>
      <c r="D259" s="18">
        <f t="shared" si="12"/>
        <v>746204.65000000014</v>
      </c>
      <c r="E259" s="19">
        <f>Table2[[#This Row],[GrossRevenue]]/Table2[[#This Row],[CategoryTotalRevenue]]</f>
        <v>5.7600284318785723E-3</v>
      </c>
      <c r="F259">
        <f t="shared" si="13"/>
        <v>0.99098712397463606</v>
      </c>
      <c r="G259" t="str">
        <f t="shared" si="14"/>
        <v>C</v>
      </c>
    </row>
    <row r="260" spans="1:7" x14ac:dyDescent="0.45">
      <c r="A260" t="s">
        <v>978</v>
      </c>
      <c r="B260" t="s">
        <v>730</v>
      </c>
      <c r="C260" s="8">
        <v>3493.24</v>
      </c>
      <c r="D260" s="18">
        <f t="shared" si="12"/>
        <v>746204.65000000014</v>
      </c>
      <c r="E260" s="19">
        <f>Table2[[#This Row],[GrossRevenue]]/Table2[[#This Row],[CategoryTotalRevenue]]</f>
        <v>4.6813431141175532E-3</v>
      </c>
      <c r="F260">
        <f t="shared" si="13"/>
        <v>0.99566846708875367</v>
      </c>
      <c r="G260" t="str">
        <f t="shared" si="14"/>
        <v>C</v>
      </c>
    </row>
    <row r="261" spans="1:7" x14ac:dyDescent="0.45">
      <c r="A261" t="s">
        <v>1080</v>
      </c>
      <c r="B261" t="s">
        <v>730</v>
      </c>
      <c r="C261" s="8">
        <v>2206.8000000000002</v>
      </c>
      <c r="D261" s="18">
        <f t="shared" si="12"/>
        <v>746204.65000000014</v>
      </c>
      <c r="E261" s="19">
        <f>Table2[[#This Row],[GrossRevenue]]/Table2[[#This Row],[CategoryTotalRevenue]]</f>
        <v>2.9573656502944598E-3</v>
      </c>
      <c r="F261">
        <f t="shared" si="13"/>
        <v>0.99862583273904815</v>
      </c>
      <c r="G261" t="str">
        <f t="shared" si="14"/>
        <v>C</v>
      </c>
    </row>
    <row r="262" spans="1:7" x14ac:dyDescent="0.45">
      <c r="A262" t="s">
        <v>1303</v>
      </c>
      <c r="B262" t="s">
        <v>730</v>
      </c>
      <c r="C262" s="8">
        <v>898.51</v>
      </c>
      <c r="D262" s="18">
        <f t="shared" si="12"/>
        <v>746204.65000000014</v>
      </c>
      <c r="E262" s="19">
        <f>Table2[[#This Row],[GrossRevenue]]/Table2[[#This Row],[CategoryTotalRevenue]]</f>
        <v>1.2041066750254101E-3</v>
      </c>
      <c r="F262">
        <f t="shared" si="13"/>
        <v>0.99982993941407361</v>
      </c>
      <c r="G262" t="str">
        <f t="shared" si="14"/>
        <v>C</v>
      </c>
    </row>
    <row r="263" spans="1:7" x14ac:dyDescent="0.45">
      <c r="A263" t="s">
        <v>1225</v>
      </c>
      <c r="B263" t="s">
        <v>730</v>
      </c>
      <c r="C263" s="8">
        <v>126.89999999999999</v>
      </c>
      <c r="D263" s="18">
        <f t="shared" si="12"/>
        <v>746204.65000000014</v>
      </c>
      <c r="E263" s="19">
        <f>Table2[[#This Row],[GrossRevenue]]/Table2[[#This Row],[CategoryTotalRevenue]]</f>
        <v>1.7006058592639427E-4</v>
      </c>
      <c r="F263">
        <f t="shared" si="13"/>
        <v>1</v>
      </c>
      <c r="G263" t="str">
        <f t="shared" si="14"/>
        <v>C</v>
      </c>
    </row>
    <row r="264" spans="1:7" x14ac:dyDescent="0.45">
      <c r="A264" t="s">
        <v>1156</v>
      </c>
      <c r="B264" t="s">
        <v>728</v>
      </c>
      <c r="C264" s="8">
        <v>76739.28</v>
      </c>
      <c r="D264" s="18">
        <f t="shared" si="12"/>
        <v>896447.29999999981</v>
      </c>
      <c r="E264" s="19">
        <f>Table2[[#This Row],[GrossRevenue]]/Table2[[#This Row],[CategoryTotalRevenue]]</f>
        <v>8.5603782843676382E-2</v>
      </c>
      <c r="F264">
        <f t="shared" si="13"/>
        <v>8.5603782843676382E-2</v>
      </c>
      <c r="G264" t="str">
        <f t="shared" si="14"/>
        <v>A</v>
      </c>
    </row>
    <row r="265" spans="1:7" x14ac:dyDescent="0.45">
      <c r="A265" t="s">
        <v>1288</v>
      </c>
      <c r="B265" t="s">
        <v>728</v>
      </c>
      <c r="C265" s="8">
        <v>53430.57</v>
      </c>
      <c r="D265" s="18">
        <f t="shared" si="12"/>
        <v>896447.29999999981</v>
      </c>
      <c r="E265" s="19">
        <f>Table2[[#This Row],[GrossRevenue]]/Table2[[#This Row],[CategoryTotalRevenue]]</f>
        <v>5.9602577864867251E-2</v>
      </c>
      <c r="F265">
        <f t="shared" si="13"/>
        <v>0.14520636070854365</v>
      </c>
      <c r="G265" t="str">
        <f t="shared" si="14"/>
        <v>A</v>
      </c>
    </row>
    <row r="266" spans="1:7" x14ac:dyDescent="0.45">
      <c r="A266" t="s">
        <v>1070</v>
      </c>
      <c r="B266" t="s">
        <v>728</v>
      </c>
      <c r="C266" s="8">
        <v>48779.689999999995</v>
      </c>
      <c r="D266" s="18">
        <f t="shared" si="12"/>
        <v>896447.29999999981</v>
      </c>
      <c r="E266" s="19">
        <f>Table2[[#This Row],[GrossRevenue]]/Table2[[#This Row],[CategoryTotalRevenue]]</f>
        <v>5.4414453588069268E-2</v>
      </c>
      <c r="F266">
        <f t="shared" si="13"/>
        <v>0.19962081429661291</v>
      </c>
      <c r="G266" t="str">
        <f t="shared" si="14"/>
        <v>A</v>
      </c>
    </row>
    <row r="267" spans="1:7" x14ac:dyDescent="0.45">
      <c r="A267" t="s">
        <v>829</v>
      </c>
      <c r="B267" t="s">
        <v>728</v>
      </c>
      <c r="C267" s="8">
        <v>44729.819999999992</v>
      </c>
      <c r="D267" s="18">
        <f t="shared" si="12"/>
        <v>896447.29999999981</v>
      </c>
      <c r="E267" s="19">
        <f>Table2[[#This Row],[GrossRevenue]]/Table2[[#This Row],[CategoryTotalRevenue]]</f>
        <v>4.9896764706636967E-2</v>
      </c>
      <c r="F267">
        <f t="shared" si="13"/>
        <v>0.24951757900324989</v>
      </c>
      <c r="G267" t="str">
        <f t="shared" si="14"/>
        <v>A</v>
      </c>
    </row>
    <row r="268" spans="1:7" x14ac:dyDescent="0.45">
      <c r="A268" t="s">
        <v>1089</v>
      </c>
      <c r="B268" t="s">
        <v>728</v>
      </c>
      <c r="C268" s="8">
        <v>43907.94</v>
      </c>
      <c r="D268" s="18">
        <f t="shared" si="12"/>
        <v>896447.29999999981</v>
      </c>
      <c r="E268" s="19">
        <f>Table2[[#This Row],[GrossRevenue]]/Table2[[#This Row],[CategoryTotalRevenue]]</f>
        <v>4.897994561420399E-2</v>
      </c>
      <c r="F268">
        <f t="shared" si="13"/>
        <v>0.29849752461745388</v>
      </c>
      <c r="G268" t="str">
        <f t="shared" si="14"/>
        <v>A</v>
      </c>
    </row>
    <row r="269" spans="1:7" x14ac:dyDescent="0.45">
      <c r="A269" t="s">
        <v>1114</v>
      </c>
      <c r="B269" t="s">
        <v>728</v>
      </c>
      <c r="C269" s="8">
        <v>40740</v>
      </c>
      <c r="D269" s="18">
        <f t="shared" si="12"/>
        <v>896447.29999999981</v>
      </c>
      <c r="E269" s="19">
        <f>Table2[[#This Row],[GrossRevenue]]/Table2[[#This Row],[CategoryTotalRevenue]]</f>
        <v>4.5446062473499568E-2</v>
      </c>
      <c r="F269">
        <f t="shared" si="13"/>
        <v>0.34394358709095346</v>
      </c>
      <c r="G269" t="str">
        <f t="shared" si="14"/>
        <v>A</v>
      </c>
    </row>
    <row r="270" spans="1:7" x14ac:dyDescent="0.45">
      <c r="A270" t="s">
        <v>1046</v>
      </c>
      <c r="B270" t="s">
        <v>728</v>
      </c>
      <c r="C270" s="8">
        <v>40325.31</v>
      </c>
      <c r="D270" s="18">
        <f t="shared" si="12"/>
        <v>896447.29999999981</v>
      </c>
      <c r="E270" s="19">
        <f>Table2[[#This Row],[GrossRevenue]]/Table2[[#This Row],[CategoryTotalRevenue]]</f>
        <v>4.4983469747747584E-2</v>
      </c>
      <c r="F270">
        <f t="shared" si="13"/>
        <v>0.38892705683870105</v>
      </c>
      <c r="G270" t="str">
        <f t="shared" si="14"/>
        <v>A</v>
      </c>
    </row>
    <row r="271" spans="1:7" x14ac:dyDescent="0.45">
      <c r="A271" t="s">
        <v>952</v>
      </c>
      <c r="B271" t="s">
        <v>728</v>
      </c>
      <c r="C271" s="8">
        <v>38435.86</v>
      </c>
      <c r="D271" s="18">
        <f t="shared" si="12"/>
        <v>896447.29999999981</v>
      </c>
      <c r="E271" s="19">
        <f>Table2[[#This Row],[GrossRevenue]]/Table2[[#This Row],[CategoryTotalRevenue]]</f>
        <v>4.2875760794862126E-2</v>
      </c>
      <c r="F271">
        <f t="shared" si="13"/>
        <v>0.43180281763356315</v>
      </c>
      <c r="G271" t="str">
        <f t="shared" si="14"/>
        <v>A</v>
      </c>
    </row>
    <row r="272" spans="1:7" x14ac:dyDescent="0.45">
      <c r="A272" t="s">
        <v>1219</v>
      </c>
      <c r="B272" t="s">
        <v>728</v>
      </c>
      <c r="C272" s="8">
        <v>31162.5</v>
      </c>
      <c r="D272" s="18">
        <f t="shared" si="12"/>
        <v>896447.29999999981</v>
      </c>
      <c r="E272" s="19">
        <f>Table2[[#This Row],[GrossRevenue]]/Table2[[#This Row],[CategoryTotalRevenue]]</f>
        <v>3.4762221939873106E-2</v>
      </c>
      <c r="F272">
        <f t="shared" si="13"/>
        <v>0.46656503957343626</v>
      </c>
      <c r="G272" t="str">
        <f t="shared" si="14"/>
        <v>A</v>
      </c>
    </row>
    <row r="273" spans="1:7" x14ac:dyDescent="0.45">
      <c r="A273" t="s">
        <v>1207</v>
      </c>
      <c r="B273" t="s">
        <v>728</v>
      </c>
      <c r="C273" s="8">
        <v>28386.379999999997</v>
      </c>
      <c r="D273" s="18">
        <f t="shared" si="12"/>
        <v>896447.29999999981</v>
      </c>
      <c r="E273" s="19">
        <f>Table2[[#This Row],[GrossRevenue]]/Table2[[#This Row],[CategoryTotalRevenue]]</f>
        <v>3.1665419707326913E-2</v>
      </c>
      <c r="F273">
        <f t="shared" si="13"/>
        <v>0.49823045928076315</v>
      </c>
      <c r="G273" t="str">
        <f t="shared" si="14"/>
        <v>A</v>
      </c>
    </row>
    <row r="274" spans="1:7" x14ac:dyDescent="0.45">
      <c r="A274" t="s">
        <v>1349</v>
      </c>
      <c r="B274" t="s">
        <v>728</v>
      </c>
      <c r="C274" s="8">
        <v>28253.68</v>
      </c>
      <c r="D274" s="18">
        <f t="shared" si="12"/>
        <v>896447.29999999981</v>
      </c>
      <c r="E274" s="19">
        <f>Table2[[#This Row],[GrossRevenue]]/Table2[[#This Row],[CategoryTotalRevenue]]</f>
        <v>3.1517390927497918E-2</v>
      </c>
      <c r="F274">
        <f t="shared" si="13"/>
        <v>0.5297478502082611</v>
      </c>
      <c r="G274" t="str">
        <f t="shared" si="14"/>
        <v>A</v>
      </c>
    </row>
    <row r="275" spans="1:7" x14ac:dyDescent="0.45">
      <c r="A275" t="s">
        <v>1138</v>
      </c>
      <c r="B275" t="s">
        <v>728</v>
      </c>
      <c r="C275" s="8">
        <v>24330.600000000002</v>
      </c>
      <c r="D275" s="18">
        <f t="shared" si="12"/>
        <v>896447.29999999981</v>
      </c>
      <c r="E275" s="19">
        <f>Table2[[#This Row],[GrossRevenue]]/Table2[[#This Row],[CategoryTotalRevenue]]</f>
        <v>2.7141138134946702E-2</v>
      </c>
      <c r="F275">
        <f t="shared" si="13"/>
        <v>0.55688898834320777</v>
      </c>
      <c r="G275" t="str">
        <f t="shared" si="14"/>
        <v>A</v>
      </c>
    </row>
    <row r="276" spans="1:7" x14ac:dyDescent="0.45">
      <c r="A276" t="s">
        <v>1172</v>
      </c>
      <c r="B276" t="s">
        <v>728</v>
      </c>
      <c r="C276" s="8">
        <v>24320.34</v>
      </c>
      <c r="D276" s="18">
        <f t="shared" si="12"/>
        <v>896447.29999999981</v>
      </c>
      <c r="E276" s="19">
        <f>Table2[[#This Row],[GrossRevenue]]/Table2[[#This Row],[CategoryTotalRevenue]]</f>
        <v>2.7129692955737614E-2</v>
      </c>
      <c r="F276">
        <f t="shared" si="13"/>
        <v>0.58401868129894541</v>
      </c>
      <c r="G276" t="str">
        <f t="shared" si="14"/>
        <v>A</v>
      </c>
    </row>
    <row r="277" spans="1:7" x14ac:dyDescent="0.45">
      <c r="A277" t="s">
        <v>815</v>
      </c>
      <c r="B277" t="s">
        <v>728</v>
      </c>
      <c r="C277" s="8">
        <v>24056.48</v>
      </c>
      <c r="D277" s="18">
        <f t="shared" si="12"/>
        <v>896447.29999999981</v>
      </c>
      <c r="E277" s="19">
        <f>Table2[[#This Row],[GrossRevenue]]/Table2[[#This Row],[CategoryTotalRevenue]]</f>
        <v>2.6835353288475524E-2</v>
      </c>
      <c r="F277">
        <f t="shared" si="13"/>
        <v>0.61085403458742094</v>
      </c>
      <c r="G277" t="str">
        <f t="shared" si="14"/>
        <v>A</v>
      </c>
    </row>
    <row r="278" spans="1:7" x14ac:dyDescent="0.45">
      <c r="A278" t="s">
        <v>735</v>
      </c>
      <c r="B278" t="s">
        <v>728</v>
      </c>
      <c r="C278" s="8">
        <v>23539.23</v>
      </c>
      <c r="D278" s="18">
        <f t="shared" si="12"/>
        <v>896447.29999999981</v>
      </c>
      <c r="E278" s="19">
        <f>Table2[[#This Row],[GrossRevenue]]/Table2[[#This Row],[CategoryTotalRevenue]]</f>
        <v>2.6258353391214413E-2</v>
      </c>
      <c r="F278">
        <f t="shared" si="13"/>
        <v>0.63711238797863534</v>
      </c>
      <c r="G278" t="str">
        <f t="shared" si="14"/>
        <v>A</v>
      </c>
    </row>
    <row r="279" spans="1:7" x14ac:dyDescent="0.45">
      <c r="A279" t="s">
        <v>1176</v>
      </c>
      <c r="B279" t="s">
        <v>728</v>
      </c>
      <c r="C279" s="8">
        <v>21664.440000000002</v>
      </c>
      <c r="D279" s="18">
        <f t="shared" si="12"/>
        <v>896447.29999999981</v>
      </c>
      <c r="E279" s="19">
        <f>Table2[[#This Row],[GrossRevenue]]/Table2[[#This Row],[CategoryTotalRevenue]]</f>
        <v>2.4166997881526341E-2</v>
      </c>
      <c r="F279">
        <f t="shared" si="13"/>
        <v>0.66127938586016166</v>
      </c>
      <c r="G279" t="str">
        <f t="shared" si="14"/>
        <v>A</v>
      </c>
    </row>
    <row r="280" spans="1:7" x14ac:dyDescent="0.45">
      <c r="A280" t="s">
        <v>1147</v>
      </c>
      <c r="B280" t="s">
        <v>728</v>
      </c>
      <c r="C280" s="8">
        <v>19020.05</v>
      </c>
      <c r="D280" s="18">
        <f t="shared" si="12"/>
        <v>896447.29999999981</v>
      </c>
      <c r="E280" s="19">
        <f>Table2[[#This Row],[GrossRevenue]]/Table2[[#This Row],[CategoryTotalRevenue]]</f>
        <v>2.1217142379702635E-2</v>
      </c>
      <c r="F280">
        <f t="shared" si="13"/>
        <v>0.68249652823986429</v>
      </c>
      <c r="G280" t="str">
        <f t="shared" si="14"/>
        <v>A</v>
      </c>
    </row>
    <row r="281" spans="1:7" x14ac:dyDescent="0.45">
      <c r="A281" t="s">
        <v>772</v>
      </c>
      <c r="B281" t="s">
        <v>728</v>
      </c>
      <c r="C281" s="8">
        <v>18143.32</v>
      </c>
      <c r="D281" s="18">
        <f t="shared" si="12"/>
        <v>896447.29999999981</v>
      </c>
      <c r="E281" s="19">
        <f>Table2[[#This Row],[GrossRevenue]]/Table2[[#This Row],[CategoryTotalRevenue]]</f>
        <v>2.0239137314597304E-2</v>
      </c>
      <c r="F281">
        <f t="shared" si="13"/>
        <v>0.70273566555446154</v>
      </c>
      <c r="G281" t="str">
        <f t="shared" si="14"/>
        <v>A</v>
      </c>
    </row>
    <row r="282" spans="1:7" x14ac:dyDescent="0.45">
      <c r="A282" t="s">
        <v>910</v>
      </c>
      <c r="B282" t="s">
        <v>728</v>
      </c>
      <c r="C282" s="8">
        <v>17223.84</v>
      </c>
      <c r="D282" s="18">
        <f t="shared" si="12"/>
        <v>896447.29999999981</v>
      </c>
      <c r="E282" s="19">
        <f>Table2[[#This Row],[GrossRevenue]]/Table2[[#This Row],[CategoryTotalRevenue]]</f>
        <v>1.921344400278745E-2</v>
      </c>
      <c r="F282">
        <f t="shared" si="13"/>
        <v>0.721949109557249</v>
      </c>
      <c r="G282" t="str">
        <f t="shared" si="14"/>
        <v>A</v>
      </c>
    </row>
    <row r="283" spans="1:7" x14ac:dyDescent="0.45">
      <c r="A283" t="s">
        <v>998</v>
      </c>
      <c r="B283" t="s">
        <v>728</v>
      </c>
      <c r="C283" s="8">
        <v>15668.56</v>
      </c>
      <c r="D283" s="18">
        <f t="shared" si="12"/>
        <v>896447.29999999981</v>
      </c>
      <c r="E283" s="19">
        <f>Table2[[#This Row],[GrossRevenue]]/Table2[[#This Row],[CategoryTotalRevenue]]</f>
        <v>1.7478506544668052E-2</v>
      </c>
      <c r="F283">
        <f t="shared" si="13"/>
        <v>0.7394276161019171</v>
      </c>
      <c r="G283" t="str">
        <f t="shared" si="14"/>
        <v>A</v>
      </c>
    </row>
    <row r="284" spans="1:7" x14ac:dyDescent="0.45">
      <c r="A284" t="s">
        <v>1291</v>
      </c>
      <c r="B284" t="s">
        <v>728</v>
      </c>
      <c r="C284" s="8">
        <v>15058.5</v>
      </c>
      <c r="D284" s="18">
        <f t="shared" si="12"/>
        <v>896447.29999999981</v>
      </c>
      <c r="E284" s="19">
        <f>Table2[[#This Row],[GrossRevenue]]/Table2[[#This Row],[CategoryTotalRevenue]]</f>
        <v>1.6797975742690065E-2</v>
      </c>
      <c r="F284">
        <f t="shared" si="13"/>
        <v>0.75622559184460714</v>
      </c>
      <c r="G284" t="str">
        <f t="shared" si="14"/>
        <v>A</v>
      </c>
    </row>
    <row r="285" spans="1:7" x14ac:dyDescent="0.45">
      <c r="A285" t="s">
        <v>1182</v>
      </c>
      <c r="B285" t="s">
        <v>728</v>
      </c>
      <c r="C285" s="8">
        <v>14925.33</v>
      </c>
      <c r="D285" s="18">
        <f t="shared" si="12"/>
        <v>896447.29999999981</v>
      </c>
      <c r="E285" s="19">
        <f>Table2[[#This Row],[GrossRevenue]]/Table2[[#This Row],[CategoryTotalRevenue]]</f>
        <v>1.6649422671025951E-2</v>
      </c>
      <c r="F285">
        <f t="shared" si="13"/>
        <v>0.77287501451563312</v>
      </c>
      <c r="G285" t="str">
        <f t="shared" si="14"/>
        <v>A</v>
      </c>
    </row>
    <row r="286" spans="1:7" x14ac:dyDescent="0.45">
      <c r="A286" t="s">
        <v>1097</v>
      </c>
      <c r="B286" t="s">
        <v>728</v>
      </c>
      <c r="C286" s="8">
        <v>14651.28</v>
      </c>
      <c r="D286" s="18">
        <f t="shared" si="12"/>
        <v>896447.29999999981</v>
      </c>
      <c r="E286" s="19">
        <f>Table2[[#This Row],[GrossRevenue]]/Table2[[#This Row],[CategoryTotalRevenue]]</f>
        <v>1.6343715910572772E-2</v>
      </c>
      <c r="F286">
        <f t="shared" si="13"/>
        <v>0.78921873042620594</v>
      </c>
      <c r="G286" t="str">
        <f t="shared" si="14"/>
        <v>A</v>
      </c>
    </row>
    <row r="287" spans="1:7" x14ac:dyDescent="0.45">
      <c r="A287" t="s">
        <v>877</v>
      </c>
      <c r="B287" t="s">
        <v>728</v>
      </c>
      <c r="C287" s="8">
        <v>13204.53</v>
      </c>
      <c r="D287" s="18">
        <f t="shared" si="12"/>
        <v>896447.29999999981</v>
      </c>
      <c r="E287" s="19">
        <f>Table2[[#This Row],[GrossRevenue]]/Table2[[#This Row],[CategoryTotalRevenue]]</f>
        <v>1.4729845245782996E-2</v>
      </c>
      <c r="F287">
        <f t="shared" si="13"/>
        <v>0.80394857567198896</v>
      </c>
      <c r="G287" t="str">
        <f t="shared" si="14"/>
        <v>B</v>
      </c>
    </row>
    <row r="288" spans="1:7" x14ac:dyDescent="0.45">
      <c r="A288" t="s">
        <v>1034</v>
      </c>
      <c r="B288" t="s">
        <v>728</v>
      </c>
      <c r="C288" s="8">
        <v>12241.079999999998</v>
      </c>
      <c r="D288" s="18">
        <f t="shared" si="12"/>
        <v>896447.29999999981</v>
      </c>
      <c r="E288" s="19">
        <f>Table2[[#This Row],[GrossRevenue]]/Table2[[#This Row],[CategoryTotalRevenue]]</f>
        <v>1.3655102759526411E-2</v>
      </c>
      <c r="F288">
        <f t="shared" si="13"/>
        <v>0.81760367843151538</v>
      </c>
      <c r="G288" t="str">
        <f t="shared" si="14"/>
        <v>B</v>
      </c>
    </row>
    <row r="289" spans="1:7" x14ac:dyDescent="0.45">
      <c r="A289" t="s">
        <v>898</v>
      </c>
      <c r="B289" t="s">
        <v>728</v>
      </c>
      <c r="C289" s="8">
        <v>12093.68</v>
      </c>
      <c r="D289" s="18">
        <f t="shared" si="12"/>
        <v>896447.29999999981</v>
      </c>
      <c r="E289" s="19">
        <f>Table2[[#This Row],[GrossRevenue]]/Table2[[#This Row],[CategoryTotalRevenue]]</f>
        <v>1.3490675915918317E-2</v>
      </c>
      <c r="F289">
        <f t="shared" si="13"/>
        <v>0.83109435434743373</v>
      </c>
      <c r="G289" t="str">
        <f t="shared" si="14"/>
        <v>B</v>
      </c>
    </row>
    <row r="290" spans="1:7" x14ac:dyDescent="0.45">
      <c r="A290" t="s">
        <v>1234</v>
      </c>
      <c r="B290" t="s">
        <v>728</v>
      </c>
      <c r="C290" s="8">
        <v>11674.74</v>
      </c>
      <c r="D290" s="18">
        <f t="shared" si="12"/>
        <v>896447.29999999981</v>
      </c>
      <c r="E290" s="19">
        <f>Table2[[#This Row],[GrossRevenue]]/Table2[[#This Row],[CategoryTotalRevenue]]</f>
        <v>1.3023342253359459E-2</v>
      </c>
      <c r="F290">
        <f t="shared" si="13"/>
        <v>0.84411769660079317</v>
      </c>
      <c r="G290" t="str">
        <f t="shared" si="14"/>
        <v>B</v>
      </c>
    </row>
    <row r="291" spans="1:7" x14ac:dyDescent="0.45">
      <c r="A291" t="s">
        <v>1259</v>
      </c>
      <c r="B291" t="s">
        <v>728</v>
      </c>
      <c r="C291" s="8">
        <v>11406.96</v>
      </c>
      <c r="D291" s="18">
        <f t="shared" si="12"/>
        <v>896447.29999999981</v>
      </c>
      <c r="E291" s="19">
        <f>Table2[[#This Row],[GrossRevenue]]/Table2[[#This Row],[CategoryTotalRevenue]]</f>
        <v>1.2724629769089607E-2</v>
      </c>
      <c r="F291">
        <f t="shared" si="13"/>
        <v>0.85684232636988278</v>
      </c>
      <c r="G291" t="str">
        <f t="shared" si="14"/>
        <v>B</v>
      </c>
    </row>
    <row r="292" spans="1:7" x14ac:dyDescent="0.45">
      <c r="A292" t="s">
        <v>826</v>
      </c>
      <c r="B292" t="s">
        <v>728</v>
      </c>
      <c r="C292" s="8">
        <v>11240.56</v>
      </c>
      <c r="D292" s="18">
        <f t="shared" si="12"/>
        <v>896447.29999999981</v>
      </c>
      <c r="E292" s="19">
        <f>Table2[[#This Row],[GrossRevenue]]/Table2[[#This Row],[CategoryTotalRevenue]]</f>
        <v>1.2539008149168392E-2</v>
      </c>
      <c r="F292">
        <f t="shared" si="13"/>
        <v>0.8693813345190512</v>
      </c>
      <c r="G292" t="str">
        <f t="shared" si="14"/>
        <v>B</v>
      </c>
    </row>
    <row r="293" spans="1:7" x14ac:dyDescent="0.45">
      <c r="A293" t="s">
        <v>1118</v>
      </c>
      <c r="B293" t="s">
        <v>728</v>
      </c>
      <c r="C293" s="8">
        <v>10699.56</v>
      </c>
      <c r="D293" s="18">
        <f t="shared" si="12"/>
        <v>896447.29999999981</v>
      </c>
      <c r="E293" s="19">
        <f>Table2[[#This Row],[GrossRevenue]]/Table2[[#This Row],[CategoryTotalRevenue]]</f>
        <v>1.1935514781515881E-2</v>
      </c>
      <c r="F293">
        <f t="shared" si="13"/>
        <v>0.88131684930056708</v>
      </c>
      <c r="G293" t="str">
        <f t="shared" si="14"/>
        <v>B</v>
      </c>
    </row>
    <row r="294" spans="1:7" x14ac:dyDescent="0.45">
      <c r="A294" t="s">
        <v>884</v>
      </c>
      <c r="B294" t="s">
        <v>728</v>
      </c>
      <c r="C294" s="8">
        <v>9092.64</v>
      </c>
      <c r="D294" s="18">
        <f t="shared" si="12"/>
        <v>896447.29999999981</v>
      </c>
      <c r="E294" s="19">
        <f>Table2[[#This Row],[GrossRevenue]]/Table2[[#This Row],[CategoryTotalRevenue]]</f>
        <v>1.0142972152406506E-2</v>
      </c>
      <c r="F294">
        <f t="shared" si="13"/>
        <v>0.89145982145297364</v>
      </c>
      <c r="G294" t="str">
        <f t="shared" si="14"/>
        <v>B</v>
      </c>
    </row>
    <row r="295" spans="1:7" x14ac:dyDescent="0.45">
      <c r="A295" t="s">
        <v>1332</v>
      </c>
      <c r="B295" t="s">
        <v>728</v>
      </c>
      <c r="C295" s="8">
        <v>8888.4599999999991</v>
      </c>
      <c r="D295" s="18">
        <f t="shared" si="12"/>
        <v>896447.29999999981</v>
      </c>
      <c r="E295" s="19">
        <f>Table2[[#This Row],[GrossRevenue]]/Table2[[#This Row],[CategoryTotalRevenue]]</f>
        <v>9.915206393058467E-3</v>
      </c>
      <c r="F295">
        <f t="shared" si="13"/>
        <v>0.90137502784603207</v>
      </c>
      <c r="G295" t="str">
        <f t="shared" si="14"/>
        <v>B</v>
      </c>
    </row>
    <row r="296" spans="1:7" x14ac:dyDescent="0.45">
      <c r="A296" t="s">
        <v>945</v>
      </c>
      <c r="B296" t="s">
        <v>728</v>
      </c>
      <c r="C296" s="8">
        <v>8010.12</v>
      </c>
      <c r="D296" s="18">
        <f t="shared" si="12"/>
        <v>896447.29999999981</v>
      </c>
      <c r="E296" s="19">
        <f>Table2[[#This Row],[GrossRevenue]]/Table2[[#This Row],[CategoryTotalRevenue]]</f>
        <v>8.9354053495392331E-3</v>
      </c>
      <c r="F296">
        <f t="shared" si="13"/>
        <v>0.91031043319557126</v>
      </c>
      <c r="G296" t="str">
        <f t="shared" si="14"/>
        <v>B</v>
      </c>
    </row>
    <row r="297" spans="1:7" x14ac:dyDescent="0.45">
      <c r="A297" t="s">
        <v>769</v>
      </c>
      <c r="B297" t="s">
        <v>728</v>
      </c>
      <c r="C297" s="8">
        <v>7376.6900000000005</v>
      </c>
      <c r="D297" s="18">
        <f t="shared" si="12"/>
        <v>896447.29999999981</v>
      </c>
      <c r="E297" s="19">
        <f>Table2[[#This Row],[GrossRevenue]]/Table2[[#This Row],[CategoryTotalRevenue]]</f>
        <v>8.2288049726961104E-3</v>
      </c>
      <c r="F297">
        <f t="shared" si="13"/>
        <v>0.91853923816826732</v>
      </c>
      <c r="G297" t="str">
        <f t="shared" si="14"/>
        <v>B</v>
      </c>
    </row>
    <row r="298" spans="1:7" x14ac:dyDescent="0.45">
      <c r="A298" t="s">
        <v>780</v>
      </c>
      <c r="B298" t="s">
        <v>728</v>
      </c>
      <c r="C298" s="8">
        <v>7135.57</v>
      </c>
      <c r="D298" s="18">
        <f t="shared" si="12"/>
        <v>896447.29999999981</v>
      </c>
      <c r="E298" s="19">
        <f>Table2[[#This Row],[GrossRevenue]]/Table2[[#This Row],[CategoryTotalRevenue]]</f>
        <v>7.9598321061371945E-3</v>
      </c>
      <c r="F298">
        <f t="shared" si="13"/>
        <v>0.92649907027440448</v>
      </c>
      <c r="G298" t="str">
        <f t="shared" si="14"/>
        <v>B</v>
      </c>
    </row>
    <row r="299" spans="1:7" x14ac:dyDescent="0.45">
      <c r="A299" t="s">
        <v>1335</v>
      </c>
      <c r="B299" t="s">
        <v>728</v>
      </c>
      <c r="C299" s="8">
        <v>6737.57</v>
      </c>
      <c r="D299" s="18">
        <f t="shared" si="12"/>
        <v>896447.29999999981</v>
      </c>
      <c r="E299" s="19">
        <f>Table2[[#This Row],[GrossRevenue]]/Table2[[#This Row],[CategoryTotalRevenue]]</f>
        <v>7.5158573181044784E-3</v>
      </c>
      <c r="F299">
        <f t="shared" si="13"/>
        <v>0.93401492759250893</v>
      </c>
      <c r="G299" t="str">
        <f t="shared" si="14"/>
        <v>B</v>
      </c>
    </row>
    <row r="300" spans="1:7" x14ac:dyDescent="0.45">
      <c r="A300" t="s">
        <v>951</v>
      </c>
      <c r="B300" t="s">
        <v>728</v>
      </c>
      <c r="C300" s="8">
        <v>6561.88</v>
      </c>
      <c r="D300" s="18">
        <f t="shared" si="12"/>
        <v>896447.29999999981</v>
      </c>
      <c r="E300" s="19">
        <f>Table2[[#This Row],[GrossRevenue]]/Table2[[#This Row],[CategoryTotalRevenue]]</f>
        <v>7.3198725680806908E-3</v>
      </c>
      <c r="F300">
        <f t="shared" si="13"/>
        <v>0.94133480016058957</v>
      </c>
      <c r="G300" t="str">
        <f t="shared" si="14"/>
        <v>B</v>
      </c>
    </row>
    <row r="301" spans="1:7" x14ac:dyDescent="0.45">
      <c r="A301" t="s">
        <v>913</v>
      </c>
      <c r="B301" t="s">
        <v>728</v>
      </c>
      <c r="C301" s="8">
        <v>5345.34</v>
      </c>
      <c r="D301" s="18">
        <f t="shared" si="12"/>
        <v>896447.29999999981</v>
      </c>
      <c r="E301" s="19">
        <f>Table2[[#This Row],[GrossRevenue]]/Table2[[#This Row],[CategoryTotalRevenue]]</f>
        <v>5.9628045061879279E-3</v>
      </c>
      <c r="F301">
        <f t="shared" si="13"/>
        <v>0.94729760466677748</v>
      </c>
      <c r="G301" t="str">
        <f t="shared" si="14"/>
        <v>B</v>
      </c>
    </row>
    <row r="302" spans="1:7" x14ac:dyDescent="0.45">
      <c r="A302" t="s">
        <v>1102</v>
      </c>
      <c r="B302" t="s">
        <v>728</v>
      </c>
      <c r="C302" s="8">
        <v>5163.3599999999997</v>
      </c>
      <c r="D302" s="18">
        <f t="shared" si="12"/>
        <v>896447.29999999981</v>
      </c>
      <c r="E302" s="19">
        <f>Table2[[#This Row],[GrossRevenue]]/Table2[[#This Row],[CategoryTotalRevenue]]</f>
        <v>5.7598031696899539E-3</v>
      </c>
      <c r="F302">
        <f t="shared" si="13"/>
        <v>0.95305740783646742</v>
      </c>
      <c r="G302" t="str">
        <f t="shared" si="14"/>
        <v>C</v>
      </c>
    </row>
    <row r="303" spans="1:7" x14ac:dyDescent="0.45">
      <c r="A303" t="s">
        <v>1029</v>
      </c>
      <c r="B303" t="s">
        <v>728</v>
      </c>
      <c r="C303" s="8">
        <v>5104.55</v>
      </c>
      <c r="D303" s="18">
        <f t="shared" si="12"/>
        <v>896447.29999999981</v>
      </c>
      <c r="E303" s="19">
        <f>Table2[[#This Row],[GrossRevenue]]/Table2[[#This Row],[CategoryTotalRevenue]]</f>
        <v>5.6941997594281354E-3</v>
      </c>
      <c r="F303">
        <f t="shared" si="13"/>
        <v>0.95875160759589551</v>
      </c>
      <c r="G303" t="str">
        <f t="shared" si="14"/>
        <v>C</v>
      </c>
    </row>
    <row r="304" spans="1:7" x14ac:dyDescent="0.45">
      <c r="A304" t="s">
        <v>1083</v>
      </c>
      <c r="B304" t="s">
        <v>728</v>
      </c>
      <c r="C304" s="8">
        <v>5088.71</v>
      </c>
      <c r="D304" s="18">
        <f t="shared" si="12"/>
        <v>896447.29999999981</v>
      </c>
      <c r="E304" s="19">
        <f>Table2[[#This Row],[GrossRevenue]]/Table2[[#This Row],[CategoryTotalRevenue]]</f>
        <v>5.6765300090702497E-3</v>
      </c>
      <c r="F304">
        <f t="shared" si="13"/>
        <v>0.96442813760496571</v>
      </c>
      <c r="G304" t="str">
        <f t="shared" si="14"/>
        <v>C</v>
      </c>
    </row>
    <row r="305" spans="1:7" x14ac:dyDescent="0.45">
      <c r="A305" t="s">
        <v>1220</v>
      </c>
      <c r="B305" t="s">
        <v>728</v>
      </c>
      <c r="C305" s="8">
        <v>5013.5199999999995</v>
      </c>
      <c r="D305" s="18">
        <f t="shared" si="12"/>
        <v>896447.29999999981</v>
      </c>
      <c r="E305" s="19">
        <f>Table2[[#This Row],[GrossRevenue]]/Table2[[#This Row],[CategoryTotalRevenue]]</f>
        <v>5.5926544705974359E-3</v>
      </c>
      <c r="F305">
        <f t="shared" si="13"/>
        <v>0.97002079207556313</v>
      </c>
      <c r="G305" t="str">
        <f t="shared" si="14"/>
        <v>C</v>
      </c>
    </row>
    <row r="306" spans="1:7" x14ac:dyDescent="0.45">
      <c r="A306" t="s">
        <v>973</v>
      </c>
      <c r="B306" t="s">
        <v>728</v>
      </c>
      <c r="C306" s="8">
        <v>4854.08</v>
      </c>
      <c r="D306" s="18">
        <f t="shared" si="12"/>
        <v>896447.29999999981</v>
      </c>
      <c r="E306" s="19">
        <f>Table2[[#This Row],[GrossRevenue]]/Table2[[#This Row],[CategoryTotalRevenue]]</f>
        <v>5.4147968318940792E-3</v>
      </c>
      <c r="F306">
        <f t="shared" si="13"/>
        <v>0.97543558890745719</v>
      </c>
      <c r="G306" t="str">
        <f t="shared" si="14"/>
        <v>C</v>
      </c>
    </row>
    <row r="307" spans="1:7" x14ac:dyDescent="0.45">
      <c r="A307" t="s">
        <v>926</v>
      </c>
      <c r="B307" t="s">
        <v>728</v>
      </c>
      <c r="C307" s="8">
        <v>4743.66</v>
      </c>
      <c r="D307" s="18">
        <f t="shared" si="12"/>
        <v>896447.29999999981</v>
      </c>
      <c r="E307" s="19">
        <f>Table2[[#This Row],[GrossRevenue]]/Table2[[#This Row],[CategoryTotalRevenue]]</f>
        <v>5.2916217160785704E-3</v>
      </c>
      <c r="F307">
        <f t="shared" si="13"/>
        <v>0.98072721062353574</v>
      </c>
      <c r="G307" t="str">
        <f t="shared" si="14"/>
        <v>C</v>
      </c>
    </row>
    <row r="308" spans="1:7" x14ac:dyDescent="0.45">
      <c r="A308" t="s">
        <v>1106</v>
      </c>
      <c r="B308" t="s">
        <v>728</v>
      </c>
      <c r="C308" s="8">
        <v>4262.41</v>
      </c>
      <c r="D308" s="18">
        <f t="shared" si="12"/>
        <v>896447.29999999981</v>
      </c>
      <c r="E308" s="19">
        <f>Table2[[#This Row],[GrossRevenue]]/Table2[[#This Row],[CategoryTotalRevenue]]</f>
        <v>4.7547803423581073E-3</v>
      </c>
      <c r="F308">
        <f t="shared" si="13"/>
        <v>0.98548199096589384</v>
      </c>
      <c r="G308" t="str">
        <f t="shared" si="14"/>
        <v>C</v>
      </c>
    </row>
    <row r="309" spans="1:7" x14ac:dyDescent="0.45">
      <c r="A309" t="s">
        <v>965</v>
      </c>
      <c r="B309" t="s">
        <v>728</v>
      </c>
      <c r="C309" s="8">
        <v>3257.9</v>
      </c>
      <c r="D309" s="18">
        <f t="shared" si="12"/>
        <v>896447.29999999981</v>
      </c>
      <c r="E309" s="19">
        <f>Table2[[#This Row],[GrossRevenue]]/Table2[[#This Row],[CategoryTotalRevenue]]</f>
        <v>3.6342348289743311E-3</v>
      </c>
      <c r="F309">
        <f t="shared" si="13"/>
        <v>0.98911622579486813</v>
      </c>
      <c r="G309" t="str">
        <f t="shared" si="14"/>
        <v>C</v>
      </c>
    </row>
    <row r="310" spans="1:7" x14ac:dyDescent="0.45">
      <c r="A310" t="s">
        <v>1258</v>
      </c>
      <c r="B310" t="s">
        <v>728</v>
      </c>
      <c r="C310" s="8">
        <v>2481.5700000000002</v>
      </c>
      <c r="D310" s="18">
        <f t="shared" si="12"/>
        <v>896447.29999999981</v>
      </c>
      <c r="E310" s="19">
        <f>Table2[[#This Row],[GrossRevenue]]/Table2[[#This Row],[CategoryTotalRevenue]]</f>
        <v>2.7682274239656927E-3</v>
      </c>
      <c r="F310">
        <f t="shared" si="13"/>
        <v>0.99188445321883378</v>
      </c>
      <c r="G310" t="str">
        <f t="shared" si="14"/>
        <v>C</v>
      </c>
    </row>
    <row r="311" spans="1:7" x14ac:dyDescent="0.45">
      <c r="A311" t="s">
        <v>1177</v>
      </c>
      <c r="B311" t="s">
        <v>728</v>
      </c>
      <c r="C311" s="8">
        <v>1980.76</v>
      </c>
      <c r="D311" s="18">
        <f t="shared" si="12"/>
        <v>896447.29999999981</v>
      </c>
      <c r="E311" s="19">
        <f>Table2[[#This Row],[GrossRevenue]]/Table2[[#This Row],[CategoryTotalRevenue]]</f>
        <v>2.2095665857881442E-3</v>
      </c>
      <c r="F311">
        <f t="shared" si="13"/>
        <v>0.99409401980462198</v>
      </c>
      <c r="G311" t="str">
        <f t="shared" si="14"/>
        <v>C</v>
      </c>
    </row>
    <row r="312" spans="1:7" x14ac:dyDescent="0.45">
      <c r="A312" t="s">
        <v>1024</v>
      </c>
      <c r="B312" t="s">
        <v>728</v>
      </c>
      <c r="C312" s="8">
        <v>1302.0700000000002</v>
      </c>
      <c r="D312" s="18">
        <f t="shared" si="12"/>
        <v>896447.29999999981</v>
      </c>
      <c r="E312" s="19">
        <f>Table2[[#This Row],[GrossRevenue]]/Table2[[#This Row],[CategoryTotalRevenue]]</f>
        <v>1.4524780207380852E-3</v>
      </c>
      <c r="F312">
        <f t="shared" si="13"/>
        <v>0.99554649782536009</v>
      </c>
      <c r="G312" t="str">
        <f t="shared" si="14"/>
        <v>C</v>
      </c>
    </row>
    <row r="313" spans="1:7" x14ac:dyDescent="0.45">
      <c r="A313" t="s">
        <v>1087</v>
      </c>
      <c r="B313" t="s">
        <v>728</v>
      </c>
      <c r="C313" s="8">
        <v>1286.8000000000002</v>
      </c>
      <c r="D313" s="18">
        <f t="shared" si="12"/>
        <v>896447.29999999981</v>
      </c>
      <c r="E313" s="19">
        <f>Table2[[#This Row],[GrossRevenue]]/Table2[[#This Row],[CategoryTotalRevenue]]</f>
        <v>1.4354441136695938E-3</v>
      </c>
      <c r="F313">
        <f t="shared" si="13"/>
        <v>0.99698194193902967</v>
      </c>
      <c r="G313" t="str">
        <f t="shared" si="14"/>
        <v>C</v>
      </c>
    </row>
    <row r="314" spans="1:7" x14ac:dyDescent="0.45">
      <c r="A314" t="s">
        <v>1150</v>
      </c>
      <c r="B314" t="s">
        <v>728</v>
      </c>
      <c r="C314" s="8">
        <v>946.92</v>
      </c>
      <c r="D314" s="18">
        <f t="shared" si="12"/>
        <v>896447.29999999981</v>
      </c>
      <c r="E314" s="19">
        <f>Table2[[#This Row],[GrossRevenue]]/Table2[[#This Row],[CategoryTotalRevenue]]</f>
        <v>1.0563030308641682E-3</v>
      </c>
      <c r="F314">
        <f t="shared" si="13"/>
        <v>0.9980382449698938</v>
      </c>
      <c r="G314" t="str">
        <f t="shared" si="14"/>
        <v>C</v>
      </c>
    </row>
    <row r="315" spans="1:7" x14ac:dyDescent="0.45">
      <c r="A315" t="s">
        <v>850</v>
      </c>
      <c r="B315" t="s">
        <v>728</v>
      </c>
      <c r="C315" s="8">
        <v>908.65000000000009</v>
      </c>
      <c r="D315" s="18">
        <f t="shared" si="12"/>
        <v>896447.29999999981</v>
      </c>
      <c r="E315" s="19">
        <f>Table2[[#This Row],[GrossRevenue]]/Table2[[#This Row],[CategoryTotalRevenue]]</f>
        <v>1.0136122893113742E-3</v>
      </c>
      <c r="F315">
        <f t="shared" si="13"/>
        <v>0.9990518572592052</v>
      </c>
      <c r="G315" t="str">
        <f t="shared" si="14"/>
        <v>C</v>
      </c>
    </row>
    <row r="316" spans="1:7" x14ac:dyDescent="0.45">
      <c r="A316" t="s">
        <v>741</v>
      </c>
      <c r="B316" t="s">
        <v>728</v>
      </c>
      <c r="C316" s="8">
        <v>849.96</v>
      </c>
      <c r="D316" s="18">
        <f t="shared" si="12"/>
        <v>896447.29999999981</v>
      </c>
      <c r="E316" s="19">
        <f>Table2[[#This Row],[GrossRevenue]]/Table2[[#This Row],[CategoryTotalRevenue]]</f>
        <v>9.4814274079469058E-4</v>
      </c>
      <c r="F316">
        <f t="shared" si="13"/>
        <v>0.99999999999999989</v>
      </c>
      <c r="G316" t="str">
        <f t="shared" si="14"/>
        <v>C</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A2F9-D185-4023-8BD8-809E466420FA}">
  <dimension ref="A3:E74"/>
  <sheetViews>
    <sheetView topLeftCell="A49" workbookViewId="0">
      <selection activeCell="B71" sqref="B71"/>
    </sheetView>
  </sheetViews>
  <sheetFormatPr defaultRowHeight="14.25" x14ac:dyDescent="0.45"/>
  <cols>
    <col min="1" max="1" width="12.33203125" bestFit="1" customWidth="1"/>
    <col min="2" max="2" width="19.265625" bestFit="1" customWidth="1"/>
    <col min="3" max="4" width="2.796875" bestFit="1" customWidth="1"/>
    <col min="5" max="5" width="10.73046875" bestFit="1" customWidth="1"/>
  </cols>
  <sheetData>
    <row r="3" spans="1:2" x14ac:dyDescent="0.45">
      <c r="A3" s="11" t="s">
        <v>1433</v>
      </c>
      <c r="B3" t="s">
        <v>1443</v>
      </c>
    </row>
    <row r="4" spans="1:2" x14ac:dyDescent="0.45">
      <c r="A4" s="12" t="s">
        <v>732</v>
      </c>
      <c r="B4" s="8">
        <v>1084973.78</v>
      </c>
    </row>
    <row r="5" spans="1:2" x14ac:dyDescent="0.45">
      <c r="A5" s="13" t="s">
        <v>1452</v>
      </c>
      <c r="B5" s="8">
        <v>862584.17</v>
      </c>
    </row>
    <row r="6" spans="1:2" x14ac:dyDescent="0.45">
      <c r="A6" s="13" t="s">
        <v>1453</v>
      </c>
      <c r="B6" s="8">
        <v>164405.02999999997</v>
      </c>
    </row>
    <row r="7" spans="1:2" x14ac:dyDescent="0.45">
      <c r="A7" s="13" t="s">
        <v>1454</v>
      </c>
      <c r="B7" s="8">
        <v>57984.58</v>
      </c>
    </row>
    <row r="8" spans="1:2" x14ac:dyDescent="0.45">
      <c r="A8" s="12" t="s">
        <v>731</v>
      </c>
      <c r="B8" s="8">
        <v>1054982.2500000002</v>
      </c>
    </row>
    <row r="9" spans="1:2" x14ac:dyDescent="0.45">
      <c r="A9" s="13" t="s">
        <v>1452</v>
      </c>
      <c r="B9" s="8">
        <v>833371.29000000027</v>
      </c>
    </row>
    <row r="10" spans="1:2" x14ac:dyDescent="0.45">
      <c r="A10" s="13" t="s">
        <v>1453</v>
      </c>
      <c r="B10" s="8">
        <v>159307.06</v>
      </c>
    </row>
    <row r="11" spans="1:2" x14ac:dyDescent="0.45">
      <c r="A11" s="13" t="s">
        <v>1454</v>
      </c>
      <c r="B11" s="8">
        <v>62303.9</v>
      </c>
    </row>
    <row r="12" spans="1:2" x14ac:dyDescent="0.45">
      <c r="A12" s="12" t="s">
        <v>729</v>
      </c>
      <c r="B12" s="8">
        <v>1017343.02</v>
      </c>
    </row>
    <row r="13" spans="1:2" x14ac:dyDescent="0.45">
      <c r="A13" s="13" t="s">
        <v>1452</v>
      </c>
      <c r="B13" s="8">
        <v>813550.82000000007</v>
      </c>
    </row>
    <row r="14" spans="1:2" x14ac:dyDescent="0.45">
      <c r="A14" s="13" t="s">
        <v>1453</v>
      </c>
      <c r="B14" s="8">
        <v>147921.69</v>
      </c>
    </row>
    <row r="15" spans="1:2" x14ac:dyDescent="0.45">
      <c r="A15" s="13" t="s">
        <v>1454</v>
      </c>
      <c r="B15" s="8">
        <v>55870.509999999995</v>
      </c>
    </row>
    <row r="16" spans="1:2" x14ac:dyDescent="0.45">
      <c r="A16" s="12" t="s">
        <v>727</v>
      </c>
      <c r="B16" s="8">
        <v>1012412.14</v>
      </c>
    </row>
    <row r="17" spans="1:2" x14ac:dyDescent="0.45">
      <c r="A17" s="13" t="s">
        <v>1452</v>
      </c>
      <c r="B17" s="8">
        <v>794120.17</v>
      </c>
    </row>
    <row r="18" spans="1:2" x14ac:dyDescent="0.45">
      <c r="A18" s="13" t="s">
        <v>1453</v>
      </c>
      <c r="B18" s="8">
        <v>167419.99</v>
      </c>
    </row>
    <row r="19" spans="1:2" x14ac:dyDescent="0.45">
      <c r="A19" s="13" t="s">
        <v>1454</v>
      </c>
      <c r="B19" s="8">
        <v>50871.98</v>
      </c>
    </row>
    <row r="20" spans="1:2" x14ac:dyDescent="0.45">
      <c r="A20" s="12" t="s">
        <v>728</v>
      </c>
      <c r="B20" s="8">
        <v>896447.29999999993</v>
      </c>
    </row>
    <row r="21" spans="1:2" x14ac:dyDescent="0.45">
      <c r="A21" s="13" t="s">
        <v>1452</v>
      </c>
      <c r="B21" s="8">
        <v>707492.99999999988</v>
      </c>
    </row>
    <row r="22" spans="1:2" x14ac:dyDescent="0.45">
      <c r="A22" s="13" t="s">
        <v>1453</v>
      </c>
      <c r="B22" s="8">
        <v>141709.38</v>
      </c>
    </row>
    <row r="23" spans="1:2" x14ac:dyDescent="0.45">
      <c r="A23" s="13" t="s">
        <v>1454</v>
      </c>
      <c r="B23" s="8">
        <v>47244.920000000006</v>
      </c>
    </row>
    <row r="24" spans="1:2" x14ac:dyDescent="0.45">
      <c r="A24" s="12" t="s">
        <v>733</v>
      </c>
      <c r="B24" s="8">
        <v>890918.11999999988</v>
      </c>
    </row>
    <row r="25" spans="1:2" x14ac:dyDescent="0.45">
      <c r="A25" s="13" t="s">
        <v>1452</v>
      </c>
      <c r="B25" s="8">
        <v>707198.64999999991</v>
      </c>
    </row>
    <row r="26" spans="1:2" x14ac:dyDescent="0.45">
      <c r="A26" s="13" t="s">
        <v>1453</v>
      </c>
      <c r="B26" s="8">
        <v>131700.66999999998</v>
      </c>
    </row>
    <row r="27" spans="1:2" x14ac:dyDescent="0.45">
      <c r="A27" s="13" t="s">
        <v>1454</v>
      </c>
      <c r="B27" s="8">
        <v>52018.8</v>
      </c>
    </row>
    <row r="28" spans="1:2" x14ac:dyDescent="0.45">
      <c r="A28" s="12" t="s">
        <v>730</v>
      </c>
      <c r="B28" s="8">
        <v>746204.64999999991</v>
      </c>
    </row>
    <row r="29" spans="1:2" x14ac:dyDescent="0.45">
      <c r="A29" s="13" t="s">
        <v>1452</v>
      </c>
      <c r="B29" s="8">
        <v>585245.78999999992</v>
      </c>
    </row>
    <row r="30" spans="1:2" x14ac:dyDescent="0.45">
      <c r="A30" s="13" t="s">
        <v>1453</v>
      </c>
      <c r="B30" s="8">
        <v>119940.87</v>
      </c>
    </row>
    <row r="31" spans="1:2" x14ac:dyDescent="0.45">
      <c r="A31" s="13" t="s">
        <v>1454</v>
      </c>
      <c r="B31" s="8">
        <v>41017.99</v>
      </c>
    </row>
    <row r="32" spans="1:2" x14ac:dyDescent="0.45">
      <c r="A32" s="12" t="s">
        <v>1434</v>
      </c>
      <c r="B32" s="8">
        <v>6703281.2600000007</v>
      </c>
    </row>
    <row r="39" spans="1:5" x14ac:dyDescent="0.45">
      <c r="A39" s="11" t="s">
        <v>1455</v>
      </c>
      <c r="B39" s="11" t="s">
        <v>1444</v>
      </c>
    </row>
    <row r="40" spans="1:5" x14ac:dyDescent="0.45">
      <c r="A40" s="11" t="s">
        <v>1433</v>
      </c>
      <c r="B40" t="s">
        <v>1452</v>
      </c>
      <c r="C40" t="s">
        <v>1453</v>
      </c>
      <c r="D40" t="s">
        <v>1454</v>
      </c>
      <c r="E40" t="s">
        <v>1434</v>
      </c>
    </row>
    <row r="41" spans="1:5" x14ac:dyDescent="0.45">
      <c r="A41" s="12" t="s">
        <v>733</v>
      </c>
      <c r="B41">
        <v>22</v>
      </c>
      <c r="C41">
        <v>13</v>
      </c>
      <c r="D41">
        <v>13</v>
      </c>
      <c r="E41">
        <v>48</v>
      </c>
    </row>
    <row r="42" spans="1:5" x14ac:dyDescent="0.45">
      <c r="A42" s="12" t="s">
        <v>727</v>
      </c>
      <c r="B42">
        <v>20</v>
      </c>
      <c r="C42">
        <v>13</v>
      </c>
      <c r="D42">
        <v>13</v>
      </c>
      <c r="E42">
        <v>46</v>
      </c>
    </row>
    <row r="43" spans="1:5" x14ac:dyDescent="0.45">
      <c r="A43" s="12" t="s">
        <v>731</v>
      </c>
      <c r="B43">
        <v>19</v>
      </c>
      <c r="C43">
        <v>11</v>
      </c>
      <c r="D43">
        <v>10</v>
      </c>
      <c r="E43">
        <v>40</v>
      </c>
    </row>
    <row r="44" spans="1:5" x14ac:dyDescent="0.45">
      <c r="A44" s="12" t="s">
        <v>732</v>
      </c>
      <c r="B44">
        <v>20</v>
      </c>
      <c r="C44">
        <v>15</v>
      </c>
      <c r="D44">
        <v>14</v>
      </c>
      <c r="E44">
        <v>49</v>
      </c>
    </row>
    <row r="45" spans="1:5" x14ac:dyDescent="0.45">
      <c r="A45" s="12" t="s">
        <v>729</v>
      </c>
      <c r="B45">
        <v>20</v>
      </c>
      <c r="C45">
        <v>11</v>
      </c>
      <c r="D45">
        <v>10</v>
      </c>
      <c r="E45">
        <v>41</v>
      </c>
    </row>
    <row r="46" spans="1:5" x14ac:dyDescent="0.45">
      <c r="A46" s="12" t="s">
        <v>730</v>
      </c>
      <c r="B46">
        <v>18</v>
      </c>
      <c r="C46">
        <v>10</v>
      </c>
      <c r="D46">
        <v>10</v>
      </c>
      <c r="E46">
        <v>38</v>
      </c>
    </row>
    <row r="47" spans="1:5" x14ac:dyDescent="0.45">
      <c r="A47" s="12" t="s">
        <v>728</v>
      </c>
      <c r="B47">
        <v>23</v>
      </c>
      <c r="C47">
        <v>15</v>
      </c>
      <c r="D47">
        <v>15</v>
      </c>
      <c r="E47">
        <v>53</v>
      </c>
    </row>
    <row r="48" spans="1:5" x14ac:dyDescent="0.45">
      <c r="A48" s="12" t="s">
        <v>1434</v>
      </c>
      <c r="B48">
        <v>142</v>
      </c>
      <c r="C48">
        <v>88</v>
      </c>
      <c r="D48">
        <v>85</v>
      </c>
      <c r="E48">
        <v>315</v>
      </c>
    </row>
    <row r="60" spans="1:2" x14ac:dyDescent="0.45">
      <c r="A60" s="11" t="s">
        <v>1433</v>
      </c>
      <c r="B60" t="s">
        <v>1455</v>
      </c>
    </row>
    <row r="61" spans="1:2" x14ac:dyDescent="0.45">
      <c r="A61" s="12" t="s">
        <v>1452</v>
      </c>
      <c r="B61">
        <v>142</v>
      </c>
    </row>
    <row r="62" spans="1:2" x14ac:dyDescent="0.45">
      <c r="A62" s="12" t="s">
        <v>1453</v>
      </c>
      <c r="B62">
        <v>88</v>
      </c>
    </row>
    <row r="63" spans="1:2" x14ac:dyDescent="0.45">
      <c r="A63" s="12" t="s">
        <v>1454</v>
      </c>
      <c r="B63">
        <v>85</v>
      </c>
    </row>
    <row r="64" spans="1:2" x14ac:dyDescent="0.45">
      <c r="A64" s="12" t="s">
        <v>1434</v>
      </c>
      <c r="B64">
        <v>315</v>
      </c>
    </row>
    <row r="70" spans="1:2" x14ac:dyDescent="0.45">
      <c r="A70" s="11" t="s">
        <v>1433</v>
      </c>
      <c r="B70" t="s">
        <v>1443</v>
      </c>
    </row>
    <row r="71" spans="1:2" x14ac:dyDescent="0.45">
      <c r="A71" s="12" t="s">
        <v>1452</v>
      </c>
      <c r="B71" s="8">
        <v>5303563.8900000025</v>
      </c>
    </row>
    <row r="72" spans="1:2" x14ac:dyDescent="0.45">
      <c r="A72" s="12" t="s">
        <v>1453</v>
      </c>
      <c r="B72" s="8">
        <v>1032404.6900000001</v>
      </c>
    </row>
    <row r="73" spans="1:2" x14ac:dyDescent="0.45">
      <c r="A73" s="12" t="s">
        <v>1454</v>
      </c>
      <c r="B73" s="8">
        <v>367312.68000000005</v>
      </c>
    </row>
    <row r="74" spans="1:2" x14ac:dyDescent="0.45">
      <c r="A74" s="12" t="s">
        <v>1434</v>
      </c>
      <c r="B74" s="8">
        <v>6703281.2600000026</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C374-564B-4CC2-BEB2-193C3B80C11D}">
  <dimension ref="A4:K57"/>
  <sheetViews>
    <sheetView topLeftCell="B1" workbookViewId="0">
      <selection activeCell="B27" sqref="B27:B29"/>
    </sheetView>
  </sheetViews>
  <sheetFormatPr defaultRowHeight="14.25" x14ac:dyDescent="0.45"/>
  <cols>
    <col min="1" max="1" width="12.33203125" bestFit="1" customWidth="1"/>
    <col min="2" max="2" width="19.19921875" bestFit="1" customWidth="1"/>
    <col min="3" max="3" width="15.33203125" bestFit="1" customWidth="1"/>
    <col min="4" max="4" width="16.59765625" bestFit="1" customWidth="1"/>
    <col min="5" max="5" width="13.796875" style="8" customWidth="1"/>
    <col min="6" max="6" width="13.06640625" style="9" customWidth="1"/>
    <col min="7" max="7" width="10.796875" style="8" bestFit="1" customWidth="1"/>
    <col min="10" max="10" width="11.796875" customWidth="1"/>
  </cols>
  <sheetData>
    <row r="4" spans="1:7" x14ac:dyDescent="0.45">
      <c r="A4" s="11" t="s">
        <v>1433</v>
      </c>
      <c r="B4" t="s">
        <v>1443</v>
      </c>
      <c r="C4" t="s">
        <v>1442</v>
      </c>
      <c r="D4" t="s">
        <v>1441</v>
      </c>
      <c r="E4" s="22" t="s">
        <v>1456</v>
      </c>
      <c r="F4" s="21" t="s">
        <v>1457</v>
      </c>
      <c r="G4" s="22" t="s">
        <v>1458</v>
      </c>
    </row>
    <row r="5" spans="1:7" x14ac:dyDescent="0.45">
      <c r="A5" s="12" t="s">
        <v>721</v>
      </c>
      <c r="B5">
        <v>900169.83999999985</v>
      </c>
      <c r="C5">
        <v>51</v>
      </c>
      <c r="D5">
        <v>339265.68</v>
      </c>
      <c r="E5" s="8" cm="1">
        <f t="array" ref="E5:E19">B5:B19/C5:C19</f>
        <v>17650.389019607839</v>
      </c>
      <c r="F5" s="9" cm="1">
        <f t="array" ref="F5:F19">C5:C19/12</f>
        <v>4.25</v>
      </c>
      <c r="G5" s="8" cm="1">
        <f t="array" ref="G5:G19">D5:D19/C5:C19</f>
        <v>6652.2682352941174</v>
      </c>
    </row>
    <row r="6" spans="1:7" x14ac:dyDescent="0.45">
      <c r="A6" s="12" t="s">
        <v>713</v>
      </c>
      <c r="B6">
        <v>928770.27999999991</v>
      </c>
      <c r="C6">
        <v>50</v>
      </c>
      <c r="D6">
        <v>399498.72999999986</v>
      </c>
      <c r="E6" s="8">
        <v>18575.405599999998</v>
      </c>
      <c r="F6" s="9">
        <v>4.166666666666667</v>
      </c>
      <c r="G6" s="8">
        <v>7989.9745999999977</v>
      </c>
    </row>
    <row r="7" spans="1:7" x14ac:dyDescent="0.45">
      <c r="A7" s="12" t="s">
        <v>724</v>
      </c>
      <c r="B7">
        <v>1107970.3999999999</v>
      </c>
      <c r="C7">
        <v>48</v>
      </c>
      <c r="D7">
        <v>444328.47</v>
      </c>
      <c r="E7" s="8">
        <v>23082.716666666664</v>
      </c>
      <c r="F7" s="9">
        <v>4</v>
      </c>
      <c r="G7" s="8">
        <v>9256.8431249999994</v>
      </c>
    </row>
    <row r="8" spans="1:7" x14ac:dyDescent="0.45">
      <c r="A8" s="12" t="s">
        <v>717</v>
      </c>
      <c r="B8">
        <v>962924.38999999978</v>
      </c>
      <c r="C8">
        <v>47</v>
      </c>
      <c r="D8">
        <v>416711.1999999999</v>
      </c>
      <c r="E8" s="8">
        <v>20487.752978723398</v>
      </c>
      <c r="F8" s="9">
        <v>3.9166666666666665</v>
      </c>
      <c r="G8" s="8">
        <v>8866.1957446808483</v>
      </c>
    </row>
    <row r="9" spans="1:7" x14ac:dyDescent="0.45">
      <c r="A9" s="12" t="s">
        <v>716</v>
      </c>
      <c r="B9">
        <v>955289.38</v>
      </c>
      <c r="C9">
        <v>46</v>
      </c>
      <c r="D9">
        <v>371967.41000000003</v>
      </c>
      <c r="E9" s="8">
        <v>20767.160434782611</v>
      </c>
      <c r="F9" s="9">
        <v>3.8333333333333335</v>
      </c>
      <c r="G9" s="8">
        <v>8086.2480434782619</v>
      </c>
    </row>
    <row r="10" spans="1:7" x14ac:dyDescent="0.45">
      <c r="A10" s="12" t="s">
        <v>720</v>
      </c>
      <c r="B10">
        <v>1001397.02</v>
      </c>
      <c r="C10">
        <v>46</v>
      </c>
      <c r="D10">
        <v>406181.96999999991</v>
      </c>
      <c r="E10" s="8">
        <v>21769.500434782611</v>
      </c>
      <c r="F10" s="9">
        <v>3.8333333333333335</v>
      </c>
      <c r="G10" s="8">
        <v>8830.0428260869539</v>
      </c>
    </row>
    <row r="11" spans="1:7" x14ac:dyDescent="0.45">
      <c r="A11" s="12" t="s">
        <v>722</v>
      </c>
      <c r="B11">
        <v>824251.17</v>
      </c>
      <c r="C11">
        <v>45</v>
      </c>
      <c r="D11">
        <v>263703.67999999993</v>
      </c>
      <c r="E11" s="8">
        <v>18316.692666666666</v>
      </c>
      <c r="F11" s="9">
        <v>3.75</v>
      </c>
      <c r="G11" s="8">
        <v>5860.0817777777766</v>
      </c>
    </row>
    <row r="12" spans="1:7" x14ac:dyDescent="0.45">
      <c r="A12" s="12" t="s">
        <v>723</v>
      </c>
      <c r="B12">
        <v>1018930.3800000002</v>
      </c>
      <c r="C12">
        <v>44</v>
      </c>
      <c r="D12">
        <v>414344.52000000008</v>
      </c>
      <c r="E12" s="8">
        <v>23157.50863636364</v>
      </c>
      <c r="F12" s="9">
        <v>3.6666666666666665</v>
      </c>
      <c r="G12" s="8">
        <v>9416.9209090909117</v>
      </c>
    </row>
    <row r="13" spans="1:7" x14ac:dyDescent="0.45">
      <c r="A13" s="12" t="s">
        <v>714</v>
      </c>
      <c r="B13">
        <v>626077.70000000007</v>
      </c>
      <c r="C13">
        <v>38</v>
      </c>
      <c r="D13">
        <v>224933.72</v>
      </c>
      <c r="E13" s="8">
        <v>16475.728947368421</v>
      </c>
      <c r="F13" s="9">
        <v>3.1666666666666665</v>
      </c>
      <c r="G13" s="8">
        <v>5919.3084210526313</v>
      </c>
    </row>
    <row r="14" spans="1:7" x14ac:dyDescent="0.45">
      <c r="A14" s="12" t="s">
        <v>726</v>
      </c>
      <c r="B14">
        <v>645084.43999999983</v>
      </c>
      <c r="C14">
        <v>38</v>
      </c>
      <c r="D14">
        <v>219341.17999999996</v>
      </c>
      <c r="E14" s="8">
        <v>16975.906315789471</v>
      </c>
      <c r="F14" s="9">
        <v>3.1666666666666665</v>
      </c>
      <c r="G14" s="8">
        <v>5772.136315789473</v>
      </c>
    </row>
    <row r="15" spans="1:7" x14ac:dyDescent="0.45">
      <c r="A15" s="12" t="s">
        <v>719</v>
      </c>
      <c r="B15">
        <v>758241.6100000001</v>
      </c>
      <c r="C15">
        <v>37</v>
      </c>
      <c r="D15">
        <v>295736.15000000002</v>
      </c>
      <c r="E15" s="8">
        <v>20493.016486486489</v>
      </c>
      <c r="F15" s="9">
        <v>3.0833333333333335</v>
      </c>
      <c r="G15" s="8">
        <v>7992.8689189189199</v>
      </c>
    </row>
    <row r="16" spans="1:7" x14ac:dyDescent="0.45">
      <c r="A16" s="12" t="s">
        <v>712</v>
      </c>
      <c r="B16">
        <v>818316.14</v>
      </c>
      <c r="C16">
        <v>37</v>
      </c>
      <c r="D16">
        <v>358899.3</v>
      </c>
      <c r="E16" s="8">
        <v>22116.652432432435</v>
      </c>
      <c r="F16" s="9">
        <v>3.0833333333333335</v>
      </c>
      <c r="G16" s="8">
        <v>9699.9810810810814</v>
      </c>
    </row>
    <row r="17" spans="1:11" x14ac:dyDescent="0.45">
      <c r="A17" s="12" t="s">
        <v>718</v>
      </c>
      <c r="B17">
        <v>605057.20000000007</v>
      </c>
      <c r="C17">
        <v>34</v>
      </c>
      <c r="D17">
        <v>266192.09999999998</v>
      </c>
      <c r="E17" s="8">
        <v>17795.800000000003</v>
      </c>
      <c r="F17" s="9">
        <v>2.8333333333333335</v>
      </c>
      <c r="G17" s="8">
        <v>7829.179411764705</v>
      </c>
    </row>
    <row r="18" spans="1:11" x14ac:dyDescent="0.45">
      <c r="A18" s="12" t="s">
        <v>725</v>
      </c>
      <c r="B18">
        <v>435773.7699999999</v>
      </c>
      <c r="C18">
        <v>32</v>
      </c>
      <c r="D18">
        <v>158095.09000000003</v>
      </c>
      <c r="E18" s="8">
        <v>13617.930312499997</v>
      </c>
      <c r="F18" s="9">
        <v>2.6666666666666665</v>
      </c>
      <c r="G18" s="8">
        <v>4940.4715625000008</v>
      </c>
    </row>
    <row r="19" spans="1:11" x14ac:dyDescent="0.45">
      <c r="A19" s="12" t="s">
        <v>715</v>
      </c>
      <c r="B19">
        <v>571314.68000000005</v>
      </c>
      <c r="C19">
        <v>30</v>
      </c>
      <c r="D19">
        <v>233102.83999999994</v>
      </c>
      <c r="E19" s="8">
        <v>19043.822666666667</v>
      </c>
      <c r="F19" s="9">
        <v>2.5</v>
      </c>
      <c r="G19" s="8">
        <v>7770.094666666665</v>
      </c>
    </row>
    <row r="20" spans="1:11" x14ac:dyDescent="0.45">
      <c r="A20" s="12" t="s">
        <v>1434</v>
      </c>
      <c r="B20">
        <v>12159568.400000006</v>
      </c>
      <c r="C20">
        <v>623</v>
      </c>
      <c r="D20">
        <v>4812302.040000001</v>
      </c>
    </row>
    <row r="24" spans="1:11" x14ac:dyDescent="0.45">
      <c r="B24" s="20" t="s">
        <v>1460</v>
      </c>
    </row>
    <row r="26" spans="1:11" x14ac:dyDescent="0.45">
      <c r="A26" s="20" t="s">
        <v>1459</v>
      </c>
      <c r="B26" s="20" t="s">
        <v>8</v>
      </c>
      <c r="C26" s="20" t="s">
        <v>1456</v>
      </c>
      <c r="E26" s="22"/>
      <c r="F26" s="21"/>
      <c r="G26" s="22"/>
      <c r="H26" s="20"/>
      <c r="I26" s="20"/>
      <c r="J26" s="20"/>
      <c r="K26" s="20"/>
    </row>
    <row r="27" spans="1:11" x14ac:dyDescent="0.45">
      <c r="A27">
        <v>1</v>
      </c>
      <c r="B27" t="str">
        <f>INDEX($A$5:$A$19, MATCH(LARGE($E$5:$E$19, A27), $E$5:$E$19, 0))</f>
        <v>K. Singh</v>
      </c>
      <c r="C27">
        <f>LARGE($E$5:$E$19, A27)</f>
        <v>23157.50863636364</v>
      </c>
    </row>
    <row r="28" spans="1:11" x14ac:dyDescent="0.45">
      <c r="A28">
        <v>2</v>
      </c>
      <c r="B28" t="str">
        <f t="shared" ref="B28:B29" si="0">INDEX($A$5:$A$19, MATCH(LARGE($E$5:$E$19, A28), $E$5:$E$19, 0))</f>
        <v>M. Rossi</v>
      </c>
      <c r="C28">
        <f t="shared" ref="C28:C29" si="1">LARGE($E$5:$E$19, A28)</f>
        <v>23082.716666666664</v>
      </c>
    </row>
    <row r="29" spans="1:11" x14ac:dyDescent="0.45">
      <c r="A29">
        <v>3</v>
      </c>
      <c r="B29" t="str">
        <f t="shared" si="0"/>
        <v>C. Otieno</v>
      </c>
      <c r="C29">
        <f t="shared" si="1"/>
        <v>22116.652432432435</v>
      </c>
    </row>
    <row r="31" spans="1:11" x14ac:dyDescent="0.45">
      <c r="A31" s="20" t="s">
        <v>1459</v>
      </c>
      <c r="B31" s="20" t="s">
        <v>8</v>
      </c>
      <c r="C31" s="20" t="s">
        <v>1457</v>
      </c>
    </row>
    <row r="32" spans="1:11" x14ac:dyDescent="0.45">
      <c r="A32">
        <v>1</v>
      </c>
      <c r="B32" t="str">
        <f>INDEX($A$5:$A$19, MATCH(LARGE($F$5:$F$19, A32), $F$5:$F$19, 0))</f>
        <v>F. Müller</v>
      </c>
      <c r="C32">
        <f>LARGE($F$5:$F$19, A32)</f>
        <v>4.25</v>
      </c>
    </row>
    <row r="33" spans="1:3" x14ac:dyDescent="0.45">
      <c r="A33">
        <v>2</v>
      </c>
      <c r="B33" t="str">
        <f t="shared" ref="B33:B34" si="2">INDEX($A$5:$A$19, MATCH(LARGE($F$5:$F$19, A33), $F$5:$F$19, 0))</f>
        <v>J. Njeri</v>
      </c>
      <c r="C33">
        <f>LARGE($F$5:$F$19, A33)</f>
        <v>4.166666666666667</v>
      </c>
    </row>
    <row r="34" spans="1:3" x14ac:dyDescent="0.45">
      <c r="A34">
        <v>3</v>
      </c>
      <c r="B34" t="str">
        <f t="shared" si="2"/>
        <v>M. Rossi</v>
      </c>
      <c r="C34">
        <f t="shared" ref="C34" si="3">LARGE($F$5:$F$19, A34)</f>
        <v>4</v>
      </c>
    </row>
    <row r="36" spans="1:3" x14ac:dyDescent="0.45">
      <c r="A36" s="20" t="s">
        <v>1459</v>
      </c>
      <c r="B36" s="20" t="s">
        <v>8</v>
      </c>
      <c r="C36" s="20" t="s">
        <v>1458</v>
      </c>
    </row>
    <row r="37" spans="1:3" x14ac:dyDescent="0.45">
      <c r="A37">
        <v>1</v>
      </c>
      <c r="B37" t="str">
        <f>INDEX($A$5:$A$19, MATCH(LARGE($G$5:$G$19, A37), $G$5:$G$19, 0))</f>
        <v>C. Otieno</v>
      </c>
      <c r="C37">
        <f>LARGE($G$5:$G$19,A37)</f>
        <v>9699.9810810810814</v>
      </c>
    </row>
    <row r="38" spans="1:3" x14ac:dyDescent="0.45">
      <c r="A38">
        <v>2</v>
      </c>
      <c r="B38" t="str">
        <f t="shared" ref="B38:B39" si="4">INDEX($A$5:$A$19, MATCH(LARGE($G$5:$G$19, A38), $G$5:$G$19, 0))</f>
        <v>K. Singh</v>
      </c>
      <c r="C38">
        <f t="shared" ref="C38:C39" si="5">LARGE($G$5:$G$19,A38)</f>
        <v>9416.9209090909117</v>
      </c>
    </row>
    <row r="39" spans="1:3" x14ac:dyDescent="0.45">
      <c r="A39">
        <v>3</v>
      </c>
      <c r="B39" t="str">
        <f t="shared" si="4"/>
        <v>M. Rossi</v>
      </c>
      <c r="C39">
        <f t="shared" si="5"/>
        <v>9256.8431249999994</v>
      </c>
    </row>
    <row r="42" spans="1:3" x14ac:dyDescent="0.45">
      <c r="B42" s="20" t="s">
        <v>1461</v>
      </c>
    </row>
    <row r="44" spans="1:3" x14ac:dyDescent="0.45">
      <c r="A44" s="20" t="s">
        <v>1459</v>
      </c>
      <c r="B44" s="20" t="s">
        <v>8</v>
      </c>
      <c r="C44" s="20" t="s">
        <v>1456</v>
      </c>
    </row>
    <row r="45" spans="1:3" x14ac:dyDescent="0.45">
      <c r="A45">
        <v>1</v>
      </c>
      <c r="B45" t="str">
        <f>INDEX($A$5:$A$19, MATCH(SMALL($E$5:$E$19, A45), $E$5:$E$19, 0))</f>
        <v>N. Brown</v>
      </c>
      <c r="C45">
        <f>SMALL($E$5:$E$19, A45)</f>
        <v>13617.930312499997</v>
      </c>
    </row>
    <row r="46" spans="1:3" x14ac:dyDescent="0.45">
      <c r="A46">
        <v>2</v>
      </c>
      <c r="B46" t="str">
        <f t="shared" ref="B46:B47" si="6">INDEX($A$5:$A$19, MATCH(SMALL($E$5:$E$19, A46), $E$5:$E$19, 0))</f>
        <v>I. Johnson</v>
      </c>
      <c r="C46">
        <f t="shared" ref="C46:C47" si="7">SMALL($E$5:$E$19, A46)</f>
        <v>16475.728947368421</v>
      </c>
    </row>
    <row r="47" spans="1:3" x14ac:dyDescent="0.45">
      <c r="A47">
        <v>3</v>
      </c>
      <c r="B47" t="str">
        <f t="shared" si="6"/>
        <v>D. Smith</v>
      </c>
      <c r="C47">
        <f t="shared" si="7"/>
        <v>16975.906315789471</v>
      </c>
    </row>
    <row r="49" spans="1:3" x14ac:dyDescent="0.45">
      <c r="A49" s="20" t="s">
        <v>1459</v>
      </c>
      <c r="B49" s="20" t="s">
        <v>8</v>
      </c>
      <c r="C49" s="20" t="s">
        <v>1457</v>
      </c>
    </row>
    <row r="50" spans="1:3" x14ac:dyDescent="0.45">
      <c r="A50">
        <v>1</v>
      </c>
      <c r="B50" t="str">
        <f>INDEX($A$5:$A$19, MATCH(SMALL($F$5:$F$19, A50), $F$5:$F$19, 0))</f>
        <v>G. Dubois</v>
      </c>
      <c r="C50">
        <f>SMALL($F$5:$F$19, A50)</f>
        <v>2.5</v>
      </c>
    </row>
    <row r="51" spans="1:3" x14ac:dyDescent="0.45">
      <c r="A51">
        <v>2</v>
      </c>
      <c r="B51" t="str">
        <f t="shared" ref="B51:B52" si="8">INDEX($A$5:$A$19, MATCH(SMALL($F$5:$F$19, A51), $F$5:$F$19, 0))</f>
        <v>N. Brown</v>
      </c>
      <c r="C51">
        <f t="shared" ref="C51:C52" si="9">SMALL($F$5:$F$19, A51)</f>
        <v>2.6666666666666665</v>
      </c>
    </row>
    <row r="52" spans="1:3" x14ac:dyDescent="0.45">
      <c r="A52">
        <v>3</v>
      </c>
      <c r="B52" t="str">
        <f t="shared" si="8"/>
        <v>E. Garcia</v>
      </c>
      <c r="C52">
        <f t="shared" si="9"/>
        <v>2.8333333333333335</v>
      </c>
    </row>
    <row r="54" spans="1:3" x14ac:dyDescent="0.45">
      <c r="A54" s="20" t="s">
        <v>1459</v>
      </c>
      <c r="B54" s="20" t="s">
        <v>8</v>
      </c>
      <c r="C54" s="20" t="s">
        <v>1458</v>
      </c>
    </row>
    <row r="55" spans="1:3" x14ac:dyDescent="0.45">
      <c r="A55">
        <v>1</v>
      </c>
      <c r="B55" t="str">
        <f>INDEX($A$5:$A$19, MATCH(SMALL($G$5:$G$19, A55), $G$5:$G$19, 0))</f>
        <v>N. Brown</v>
      </c>
      <c r="C55">
        <f>SMALL($G$5:$G$19, A55)</f>
        <v>4940.4715625000008</v>
      </c>
    </row>
    <row r="56" spans="1:3" x14ac:dyDescent="0.45">
      <c r="A56">
        <v>2</v>
      </c>
      <c r="B56" t="str">
        <f t="shared" ref="B56:B57" si="10">INDEX($A$5:$A$19, MATCH(SMALL($G$5:$G$19, A56), $G$5:$G$19, 0))</f>
        <v>D. Smith</v>
      </c>
      <c r="C56">
        <f t="shared" ref="C56:C57" si="11">SMALL($G$5:$G$19, A56)</f>
        <v>5772.136315789473</v>
      </c>
    </row>
    <row r="57" spans="1:3" x14ac:dyDescent="0.45">
      <c r="A57">
        <v>3</v>
      </c>
      <c r="B57" t="str">
        <f t="shared" si="10"/>
        <v>H. Kim</v>
      </c>
      <c r="C57">
        <f t="shared" si="11"/>
        <v>5860.0817777777766</v>
      </c>
    </row>
  </sheetData>
  <conditionalFormatting sqref="E5:E19">
    <cfRule type="top10" dxfId="5" priority="5" bottom="1" rank="3"/>
    <cfRule type="top10" dxfId="4" priority="6" rank="3"/>
  </conditionalFormatting>
  <conditionalFormatting sqref="F5:F19">
    <cfRule type="top10" dxfId="3" priority="3" bottom="1" rank="3"/>
    <cfRule type="top10" dxfId="2" priority="4" rank="3"/>
  </conditionalFormatting>
  <conditionalFormatting sqref="G5:G19">
    <cfRule type="top10" dxfId="1" priority="1" bottom="1" rank="3"/>
    <cfRule type="top10" dxfId="0" priority="2" rank="3"/>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7F5C-1FA9-4687-814C-B3AE104DE333}">
  <dimension ref="A5:I174"/>
  <sheetViews>
    <sheetView workbookViewId="0">
      <selection activeCell="G22" sqref="G22"/>
    </sheetView>
  </sheetViews>
  <sheetFormatPr defaultRowHeight="14.25" x14ac:dyDescent="0.45"/>
  <cols>
    <col min="1" max="1" width="19.265625" bestFit="1" customWidth="1"/>
    <col min="2" max="2" width="15.265625" bestFit="1" customWidth="1"/>
    <col min="3" max="3" width="10.73046875" bestFit="1" customWidth="1"/>
    <col min="4" max="4" width="11.265625" bestFit="1" customWidth="1"/>
    <col min="5" max="5" width="10.73046875" bestFit="1" customWidth="1"/>
    <col min="6" max="6" width="9.73046875" bestFit="1" customWidth="1"/>
    <col min="7" max="8" width="11.73046875" bestFit="1" customWidth="1"/>
    <col min="9" max="9" width="9.73046875" bestFit="1" customWidth="1"/>
    <col min="10" max="10" width="11.265625" bestFit="1" customWidth="1"/>
    <col min="11" max="11" width="9.73046875" bestFit="1" customWidth="1"/>
    <col min="12" max="12" width="9.796875" bestFit="1" customWidth="1"/>
    <col min="13" max="13" width="11.265625" bestFit="1" customWidth="1"/>
    <col min="14" max="14" width="10" bestFit="1" customWidth="1"/>
    <col min="15" max="15" width="9.73046875" bestFit="1" customWidth="1"/>
    <col min="16" max="16" width="9.796875" bestFit="1" customWidth="1"/>
    <col min="17" max="17" width="11.265625" bestFit="1" customWidth="1"/>
    <col min="18" max="18" width="9.73046875" bestFit="1" customWidth="1"/>
    <col min="19" max="19" width="13.06640625" bestFit="1" customWidth="1"/>
    <col min="20" max="20" width="9.796875" bestFit="1" customWidth="1"/>
    <col min="21" max="21" width="11.265625" bestFit="1" customWidth="1"/>
    <col min="22" max="24" width="9.73046875" bestFit="1" customWidth="1"/>
    <col min="25" max="25" width="10.73046875" bestFit="1" customWidth="1"/>
    <col min="26" max="26" width="11.73046875" bestFit="1" customWidth="1"/>
  </cols>
  <sheetData>
    <row r="5" spans="1:2" x14ac:dyDescent="0.45">
      <c r="A5" s="11" t="s">
        <v>1433</v>
      </c>
      <c r="B5" t="s">
        <v>1443</v>
      </c>
    </row>
    <row r="6" spans="1:2" x14ac:dyDescent="0.45">
      <c r="A6" s="12" t="s">
        <v>711</v>
      </c>
      <c r="B6" s="14">
        <v>0.24715077262015595</v>
      </c>
    </row>
    <row r="7" spans="1:2" x14ac:dyDescent="0.45">
      <c r="A7" s="12" t="s">
        <v>708</v>
      </c>
      <c r="B7" s="14">
        <v>0.20251860188635448</v>
      </c>
    </row>
    <row r="8" spans="1:2" x14ac:dyDescent="0.45">
      <c r="A8" s="12" t="s">
        <v>709</v>
      </c>
      <c r="B8" s="14">
        <v>0.18805830857583195</v>
      </c>
    </row>
    <row r="9" spans="1:2" x14ac:dyDescent="0.45">
      <c r="A9" s="12" t="s">
        <v>710</v>
      </c>
      <c r="B9" s="14">
        <v>0.18668923910292867</v>
      </c>
    </row>
    <row r="10" spans="1:2" x14ac:dyDescent="0.45">
      <c r="A10" s="12" t="s">
        <v>707</v>
      </c>
      <c r="B10" s="14">
        <v>0.17558307781472884</v>
      </c>
    </row>
    <row r="11" spans="1:2" x14ac:dyDescent="0.45">
      <c r="A11" s="12" t="s">
        <v>1434</v>
      </c>
      <c r="B11" s="14">
        <v>1</v>
      </c>
    </row>
    <row r="20" spans="1:7" x14ac:dyDescent="0.45">
      <c r="A20" s="11" t="s">
        <v>1443</v>
      </c>
      <c r="B20" s="11" t="s">
        <v>1444</v>
      </c>
    </row>
    <row r="21" spans="1:7" x14ac:dyDescent="0.45">
      <c r="A21" s="11" t="s">
        <v>1433</v>
      </c>
      <c r="B21" t="s">
        <v>711</v>
      </c>
      <c r="C21" t="s">
        <v>708</v>
      </c>
      <c r="D21" t="s">
        <v>709</v>
      </c>
      <c r="E21" t="s">
        <v>710</v>
      </c>
      <c r="F21" t="s">
        <v>707</v>
      </c>
      <c r="G21" t="s">
        <v>1434</v>
      </c>
    </row>
    <row r="22" spans="1:7" x14ac:dyDescent="0.45">
      <c r="A22" s="12" t="s">
        <v>647</v>
      </c>
      <c r="B22" s="32">
        <v>731022.85000000009</v>
      </c>
      <c r="C22" s="32">
        <v>508934.85</v>
      </c>
      <c r="D22" s="32">
        <v>661024.28</v>
      </c>
      <c r="E22" s="32">
        <v>593382.07999999984</v>
      </c>
      <c r="F22" s="32">
        <v>749927.79</v>
      </c>
      <c r="G22" s="32">
        <v>3244291.85</v>
      </c>
    </row>
    <row r="23" spans="1:7" x14ac:dyDescent="0.45">
      <c r="A23" s="12" t="s">
        <v>649</v>
      </c>
      <c r="B23" s="32">
        <v>976009.45000000019</v>
      </c>
      <c r="C23" s="32">
        <v>684979.99000000011</v>
      </c>
      <c r="D23" s="32">
        <v>652402.38999999978</v>
      </c>
      <c r="E23" s="32">
        <v>352562.92</v>
      </c>
      <c r="F23" s="32">
        <v>500396.72000000009</v>
      </c>
      <c r="G23" s="32">
        <v>3166351.47</v>
      </c>
    </row>
    <row r="24" spans="1:7" x14ac:dyDescent="0.45">
      <c r="A24" s="12" t="s">
        <v>648</v>
      </c>
      <c r="B24" s="32">
        <v>849408.59999999986</v>
      </c>
      <c r="C24" s="32">
        <v>795484.44</v>
      </c>
      <c r="D24" s="32">
        <v>417523.48000000004</v>
      </c>
      <c r="E24" s="32">
        <v>654893.74</v>
      </c>
      <c r="F24" s="32">
        <v>354591.97999999986</v>
      </c>
      <c r="G24" s="32">
        <v>3071902.2399999998</v>
      </c>
    </row>
    <row r="25" spans="1:7" x14ac:dyDescent="0.45">
      <c r="A25" s="12" t="s">
        <v>646</v>
      </c>
      <c r="B25" s="32">
        <v>522213.66000000003</v>
      </c>
      <c r="C25" s="32">
        <v>533290.85999999987</v>
      </c>
      <c r="D25" s="32">
        <v>611614.12</v>
      </c>
      <c r="E25" s="32">
        <v>724671.6</v>
      </c>
      <c r="F25" s="32">
        <v>582249.00999999978</v>
      </c>
      <c r="G25" s="32">
        <v>2974039.2499999995</v>
      </c>
    </row>
    <row r="26" spans="1:7" x14ac:dyDescent="0.45">
      <c r="A26" s="12" t="s">
        <v>1434</v>
      </c>
      <c r="B26" s="32">
        <v>3078654.56</v>
      </c>
      <c r="C26" s="32">
        <v>2522690.14</v>
      </c>
      <c r="D26" s="32">
        <v>2342564.27</v>
      </c>
      <c r="E26" s="32">
        <v>2325510.34</v>
      </c>
      <c r="F26" s="32">
        <v>2187165.5</v>
      </c>
      <c r="G26" s="32">
        <v>12456584.810000001</v>
      </c>
    </row>
    <row r="38" spans="1:7" x14ac:dyDescent="0.45">
      <c r="A38" s="11" t="s">
        <v>1424</v>
      </c>
      <c r="B38" t="s">
        <v>1482</v>
      </c>
    </row>
    <row r="39" spans="1:7" x14ac:dyDescent="0.45">
      <c r="A39" s="12"/>
    </row>
    <row r="40" spans="1:7" x14ac:dyDescent="0.45">
      <c r="A40" s="11" t="s">
        <v>1443</v>
      </c>
      <c r="B40" s="11" t="s">
        <v>1444</v>
      </c>
    </row>
    <row r="41" spans="1:7" x14ac:dyDescent="0.45">
      <c r="A41" s="11" t="s">
        <v>1433</v>
      </c>
      <c r="B41" t="s">
        <v>711</v>
      </c>
      <c r="C41" t="s">
        <v>710</v>
      </c>
      <c r="D41" t="s">
        <v>709</v>
      </c>
      <c r="E41" t="s">
        <v>708</v>
      </c>
      <c r="F41" t="s">
        <v>707</v>
      </c>
      <c r="G41" t="s">
        <v>1434</v>
      </c>
    </row>
    <row r="42" spans="1:7" x14ac:dyDescent="0.45">
      <c r="A42" s="12" t="s">
        <v>646</v>
      </c>
      <c r="B42">
        <v>82972.710000000006</v>
      </c>
      <c r="C42">
        <v>412589.29</v>
      </c>
      <c r="D42">
        <v>248787.15999999997</v>
      </c>
      <c r="E42">
        <v>62409.770000000004</v>
      </c>
      <c r="F42">
        <v>161480.59999999998</v>
      </c>
      <c r="G42">
        <v>968239.52999999991</v>
      </c>
    </row>
    <row r="43" spans="1:7" x14ac:dyDescent="0.45">
      <c r="A43" s="12" t="s">
        <v>648</v>
      </c>
      <c r="B43">
        <v>249959.12</v>
      </c>
      <c r="C43">
        <v>333817.14</v>
      </c>
      <c r="D43">
        <v>70906.289999999994</v>
      </c>
      <c r="E43">
        <v>255761.50999999998</v>
      </c>
      <c r="F43">
        <v>80361.070000000007</v>
      </c>
      <c r="G43">
        <v>990805.13000000012</v>
      </c>
    </row>
    <row r="44" spans="1:7" x14ac:dyDescent="0.45">
      <c r="A44" s="12" t="s">
        <v>647</v>
      </c>
      <c r="B44">
        <v>287548.47000000003</v>
      </c>
      <c r="C44">
        <v>93760.53</v>
      </c>
      <c r="D44">
        <v>141391.35999999999</v>
      </c>
      <c r="E44">
        <v>119053.67</v>
      </c>
      <c r="F44">
        <v>332109.03000000003</v>
      </c>
      <c r="G44">
        <v>973863.06</v>
      </c>
    </row>
    <row r="45" spans="1:7" x14ac:dyDescent="0.45">
      <c r="A45" s="12" t="s">
        <v>649</v>
      </c>
      <c r="B45">
        <v>355870.49000000011</v>
      </c>
      <c r="C45">
        <v>102646.81</v>
      </c>
      <c r="D45">
        <v>230453.21000000005</v>
      </c>
      <c r="E45">
        <v>221626.83000000002</v>
      </c>
      <c r="F45">
        <v>311133.95999999996</v>
      </c>
      <c r="G45">
        <v>1221731.3</v>
      </c>
    </row>
    <row r="46" spans="1:7" x14ac:dyDescent="0.45">
      <c r="A46" s="12" t="s">
        <v>1434</v>
      </c>
      <c r="B46">
        <v>976350.79000000015</v>
      </c>
      <c r="C46">
        <v>942813.77</v>
      </c>
      <c r="D46">
        <v>691538.02</v>
      </c>
      <c r="E46">
        <v>658851.78</v>
      </c>
      <c r="F46">
        <v>885084.65999999992</v>
      </c>
      <c r="G46">
        <v>4154639.0200000005</v>
      </c>
    </row>
    <row r="53" spans="1:7" x14ac:dyDescent="0.45">
      <c r="A53" s="11" t="s">
        <v>3</v>
      </c>
      <c r="B53" t="s">
        <v>648</v>
      </c>
    </row>
    <row r="55" spans="1:7" x14ac:dyDescent="0.45">
      <c r="A55" s="11" t="s">
        <v>1443</v>
      </c>
      <c r="B55" s="11" t="s">
        <v>1444</v>
      </c>
    </row>
    <row r="56" spans="1:7" x14ac:dyDescent="0.45">
      <c r="A56" s="11" t="s">
        <v>1433</v>
      </c>
      <c r="B56" t="s">
        <v>711</v>
      </c>
      <c r="C56" t="s">
        <v>710</v>
      </c>
      <c r="D56" t="s">
        <v>709</v>
      </c>
      <c r="E56" t="s">
        <v>708</v>
      </c>
      <c r="F56" t="s">
        <v>707</v>
      </c>
      <c r="G56" t="s">
        <v>1434</v>
      </c>
    </row>
    <row r="57" spans="1:7" x14ac:dyDescent="0.45">
      <c r="A57" s="12" t="s">
        <v>1483</v>
      </c>
      <c r="B57">
        <v>849408.6</v>
      </c>
      <c r="C57">
        <v>654893.74</v>
      </c>
      <c r="D57">
        <v>417523.48</v>
      </c>
      <c r="E57">
        <v>795484.44000000006</v>
      </c>
      <c r="F57">
        <v>354591.98</v>
      </c>
      <c r="G57">
        <v>3071902.2399999998</v>
      </c>
    </row>
    <row r="58" spans="1:7" x14ac:dyDescent="0.45">
      <c r="A58" s="13" t="s">
        <v>1462</v>
      </c>
      <c r="B58">
        <v>8221.84</v>
      </c>
      <c r="C58">
        <v>7159.0499999999993</v>
      </c>
      <c r="D58">
        <v>13257.599999999999</v>
      </c>
      <c r="E58">
        <v>23678.77</v>
      </c>
      <c r="F58">
        <v>49282.270000000004</v>
      </c>
      <c r="G58">
        <v>101599.53</v>
      </c>
    </row>
    <row r="59" spans="1:7" x14ac:dyDescent="0.45">
      <c r="A59" s="13" t="s">
        <v>1463</v>
      </c>
      <c r="B59">
        <v>228079.8</v>
      </c>
      <c r="C59">
        <v>28254.019999999997</v>
      </c>
      <c r="D59">
        <v>46380.619999999995</v>
      </c>
      <c r="E59">
        <v>42074.83</v>
      </c>
      <c r="F59">
        <v>36166.400000000001</v>
      </c>
      <c r="G59">
        <v>380955.67</v>
      </c>
    </row>
    <row r="60" spans="1:7" x14ac:dyDescent="0.45">
      <c r="A60" s="13" t="s">
        <v>1464</v>
      </c>
      <c r="B60">
        <v>142798.88</v>
      </c>
      <c r="C60">
        <v>34297.56</v>
      </c>
      <c r="D60">
        <v>39626.979999999996</v>
      </c>
      <c r="E60">
        <v>5484</v>
      </c>
      <c r="F60">
        <v>36250.6</v>
      </c>
      <c r="G60">
        <v>258458.02</v>
      </c>
    </row>
    <row r="61" spans="1:7" x14ac:dyDescent="0.45">
      <c r="A61" s="13" t="s">
        <v>1465</v>
      </c>
      <c r="B61">
        <v>50961.170000000006</v>
      </c>
      <c r="C61">
        <v>124233.82</v>
      </c>
      <c r="D61">
        <v>18922.120000000003</v>
      </c>
      <c r="E61">
        <v>47616.55</v>
      </c>
      <c r="F61">
        <v>8687.51</v>
      </c>
      <c r="G61">
        <v>250421.17000000004</v>
      </c>
    </row>
    <row r="62" spans="1:7" x14ac:dyDescent="0.45">
      <c r="A62" s="13" t="s">
        <v>1466</v>
      </c>
      <c r="B62">
        <v>81209.36</v>
      </c>
      <c r="D62">
        <v>28565.41</v>
      </c>
      <c r="E62">
        <v>117147.9</v>
      </c>
      <c r="F62">
        <v>30235.22</v>
      </c>
      <c r="G62">
        <v>257157.88999999998</v>
      </c>
    </row>
    <row r="63" spans="1:7" x14ac:dyDescent="0.45">
      <c r="A63" s="13" t="s">
        <v>1467</v>
      </c>
      <c r="B63">
        <v>30086</v>
      </c>
      <c r="C63">
        <v>55873.66</v>
      </c>
      <c r="D63">
        <v>101771.41</v>
      </c>
      <c r="E63">
        <v>41673.72</v>
      </c>
      <c r="F63">
        <v>63713.409999999996</v>
      </c>
      <c r="G63">
        <v>293118.2</v>
      </c>
    </row>
    <row r="64" spans="1:7" x14ac:dyDescent="0.45">
      <c r="A64" s="13" t="s">
        <v>1468</v>
      </c>
      <c r="C64">
        <v>127892.09</v>
      </c>
      <c r="D64">
        <v>9609.9399999999987</v>
      </c>
      <c r="E64">
        <v>154540.32</v>
      </c>
      <c r="F64">
        <v>22391.29</v>
      </c>
      <c r="G64">
        <v>314433.63999999996</v>
      </c>
    </row>
    <row r="65" spans="1:7" x14ac:dyDescent="0.45">
      <c r="A65" s="13" t="s">
        <v>1469</v>
      </c>
      <c r="B65">
        <v>71399.53</v>
      </c>
      <c r="C65">
        <v>113870.92000000001</v>
      </c>
      <c r="D65">
        <v>27765.260000000002</v>
      </c>
      <c r="E65">
        <v>191855.14</v>
      </c>
      <c r="G65">
        <v>404890.85000000003</v>
      </c>
    </row>
    <row r="66" spans="1:7" x14ac:dyDescent="0.45">
      <c r="A66" s="13" t="s">
        <v>1470</v>
      </c>
      <c r="B66">
        <v>15672.45</v>
      </c>
      <c r="C66">
        <v>59441.58</v>
      </c>
      <c r="D66">
        <v>102507.50999999998</v>
      </c>
      <c r="E66">
        <v>75578.180000000008</v>
      </c>
      <c r="F66">
        <v>31636.28</v>
      </c>
      <c r="G66">
        <v>284836</v>
      </c>
    </row>
    <row r="67" spans="1:7" x14ac:dyDescent="0.45">
      <c r="A67" s="13" t="s">
        <v>1471</v>
      </c>
      <c r="B67">
        <v>190776.11000000002</v>
      </c>
      <c r="C67">
        <v>74532.180000000008</v>
      </c>
      <c r="D67">
        <v>29116.629999999997</v>
      </c>
      <c r="E67">
        <v>29925.87</v>
      </c>
      <c r="G67">
        <v>324350.79000000004</v>
      </c>
    </row>
    <row r="68" spans="1:7" x14ac:dyDescent="0.45">
      <c r="A68" s="13" t="s">
        <v>1472</v>
      </c>
      <c r="B68">
        <v>30203.46</v>
      </c>
      <c r="C68">
        <v>29338.86</v>
      </c>
      <c r="E68">
        <v>65909.16</v>
      </c>
      <c r="F68">
        <v>76229</v>
      </c>
      <c r="G68">
        <v>201680.48</v>
      </c>
    </row>
    <row r="69" spans="1:7" x14ac:dyDescent="0.45">
      <c r="A69" s="12" t="s">
        <v>1434</v>
      </c>
      <c r="B69">
        <v>849408.6</v>
      </c>
      <c r="C69">
        <v>654893.74</v>
      </c>
      <c r="D69">
        <v>417523.48</v>
      </c>
      <c r="E69">
        <v>795484.44000000006</v>
      </c>
      <c r="F69">
        <v>354591.98</v>
      </c>
      <c r="G69">
        <v>3071902.2399999998</v>
      </c>
    </row>
    <row r="73" spans="1:7" x14ac:dyDescent="0.45">
      <c r="B73" t="s">
        <v>1473</v>
      </c>
    </row>
    <row r="74" spans="1:7" x14ac:dyDescent="0.45">
      <c r="A74" s="16" t="s">
        <v>1443</v>
      </c>
      <c r="B74" s="16" t="s">
        <v>1444</v>
      </c>
      <c r="C74" s="16"/>
      <c r="D74" s="16"/>
      <c r="E74" s="16"/>
      <c r="F74" s="16"/>
      <c r="G74" s="16"/>
    </row>
    <row r="75" spans="1:7" x14ac:dyDescent="0.45">
      <c r="A75" s="17" t="s">
        <v>1433</v>
      </c>
      <c r="B75" s="17" t="s">
        <v>711</v>
      </c>
      <c r="C75" s="17" t="s">
        <v>710</v>
      </c>
      <c r="D75" s="17" t="s">
        <v>709</v>
      </c>
      <c r="E75" s="17" t="s">
        <v>708</v>
      </c>
      <c r="F75" s="17" t="s">
        <v>707</v>
      </c>
      <c r="G75" s="17" t="s">
        <v>1434</v>
      </c>
    </row>
    <row r="76" spans="1:7" x14ac:dyDescent="0.45">
      <c r="A76" s="12" t="s">
        <v>1462</v>
      </c>
      <c r="B76">
        <v>7242.6200000000008</v>
      </c>
      <c r="C76">
        <v>96422.22</v>
      </c>
      <c r="D76">
        <v>85090.37</v>
      </c>
      <c r="E76">
        <v>19581.87</v>
      </c>
      <c r="G76">
        <v>208337.08</v>
      </c>
    </row>
    <row r="77" spans="1:7" x14ac:dyDescent="0.45">
      <c r="A77" s="12" t="s">
        <v>1463</v>
      </c>
      <c r="B77">
        <v>97796.62</v>
      </c>
      <c r="C77">
        <v>3975.66</v>
      </c>
      <c r="D77">
        <v>40580.82</v>
      </c>
      <c r="E77">
        <v>85086.810000000012</v>
      </c>
      <c r="F77">
        <v>68818.75</v>
      </c>
      <c r="G77">
        <v>296258.66000000003</v>
      </c>
    </row>
    <row r="78" spans="1:7" x14ac:dyDescent="0.45">
      <c r="A78" s="12" t="s">
        <v>1464</v>
      </c>
      <c r="B78">
        <v>59391.409999999996</v>
      </c>
      <c r="C78">
        <v>10965.36</v>
      </c>
      <c r="D78">
        <v>24965.629999999997</v>
      </c>
      <c r="E78">
        <v>158634.19</v>
      </c>
      <c r="F78">
        <v>20523.95</v>
      </c>
      <c r="G78">
        <v>274480.53999999998</v>
      </c>
    </row>
    <row r="79" spans="1:7" x14ac:dyDescent="0.45">
      <c r="A79" s="12" t="s">
        <v>1465</v>
      </c>
      <c r="C79">
        <v>70047.06</v>
      </c>
      <c r="D79">
        <v>47649.32</v>
      </c>
      <c r="E79">
        <v>39444.58</v>
      </c>
      <c r="G79">
        <v>157140.96000000002</v>
      </c>
    </row>
    <row r="80" spans="1:7" x14ac:dyDescent="0.45">
      <c r="A80" s="12" t="s">
        <v>1466</v>
      </c>
      <c r="B80">
        <v>5934.0599999999995</v>
      </c>
      <c r="C80">
        <v>2520.9</v>
      </c>
      <c r="D80">
        <v>49096.1</v>
      </c>
      <c r="E80">
        <v>46453.68</v>
      </c>
      <c r="F80">
        <v>38225.97</v>
      </c>
      <c r="G80">
        <v>142230.71</v>
      </c>
    </row>
    <row r="81" spans="1:7" x14ac:dyDescent="0.45">
      <c r="A81" s="12" t="s">
        <v>1467</v>
      </c>
      <c r="B81">
        <v>35334.07</v>
      </c>
      <c r="C81">
        <v>124674.6</v>
      </c>
      <c r="D81">
        <v>89553.93</v>
      </c>
      <c r="E81">
        <v>23891.559999999998</v>
      </c>
      <c r="F81">
        <v>192831.27999999997</v>
      </c>
      <c r="G81">
        <v>466285.44</v>
      </c>
    </row>
    <row r="82" spans="1:7" x14ac:dyDescent="0.45">
      <c r="A82" s="12" t="s">
        <v>1468</v>
      </c>
      <c r="B82">
        <v>4965.2</v>
      </c>
      <c r="C82">
        <v>216929.83</v>
      </c>
      <c r="D82">
        <v>108175.72</v>
      </c>
      <c r="E82">
        <v>468.16</v>
      </c>
      <c r="F82">
        <v>120069.37999999999</v>
      </c>
      <c r="G82">
        <v>450608.29</v>
      </c>
    </row>
    <row r="83" spans="1:7" x14ac:dyDescent="0.45">
      <c r="A83" s="12" t="s">
        <v>1469</v>
      </c>
      <c r="B83">
        <v>63620.039999999994</v>
      </c>
      <c r="C83">
        <v>27072.78</v>
      </c>
      <c r="D83">
        <v>62184.86</v>
      </c>
      <c r="E83">
        <v>45084.24</v>
      </c>
      <c r="F83">
        <v>51472.05</v>
      </c>
      <c r="G83">
        <v>249433.96999999997</v>
      </c>
    </row>
    <row r="84" spans="1:7" x14ac:dyDescent="0.45">
      <c r="A84" s="12" t="s">
        <v>1470</v>
      </c>
      <c r="B84">
        <v>7657.2</v>
      </c>
      <c r="C84">
        <v>112962.14</v>
      </c>
      <c r="D84">
        <v>45254.98</v>
      </c>
      <c r="E84">
        <v>43670.34</v>
      </c>
      <c r="G84">
        <v>209544.66</v>
      </c>
    </row>
    <row r="85" spans="1:7" x14ac:dyDescent="0.45">
      <c r="A85" s="12" t="s">
        <v>1471</v>
      </c>
      <c r="B85">
        <v>70764.89</v>
      </c>
      <c r="C85">
        <v>29190.18</v>
      </c>
      <c r="D85">
        <v>7871.75</v>
      </c>
      <c r="E85">
        <v>2915.16</v>
      </c>
      <c r="F85">
        <v>41411.22</v>
      </c>
      <c r="G85">
        <v>152153.20000000001</v>
      </c>
    </row>
    <row r="86" spans="1:7" x14ac:dyDescent="0.45">
      <c r="A86" s="12" t="s">
        <v>1472</v>
      </c>
      <c r="B86">
        <v>169507.55</v>
      </c>
      <c r="C86">
        <v>29910.87</v>
      </c>
      <c r="D86">
        <v>51190.64</v>
      </c>
      <c r="E86">
        <v>68060.26999999999</v>
      </c>
      <c r="F86">
        <v>43416.31</v>
      </c>
      <c r="G86">
        <v>362085.63999999996</v>
      </c>
    </row>
    <row r="87" spans="1:7" x14ac:dyDescent="0.45">
      <c r="A87" s="23" t="s">
        <v>1434</v>
      </c>
      <c r="B87" s="24">
        <v>522213.66000000003</v>
      </c>
      <c r="C87" s="24">
        <v>724671.60000000009</v>
      </c>
      <c r="D87" s="24">
        <v>611614.12</v>
      </c>
      <c r="E87" s="24">
        <v>533290.85999999987</v>
      </c>
      <c r="F87" s="24">
        <v>576768.90999999992</v>
      </c>
      <c r="G87" s="24">
        <v>2968559.1500000004</v>
      </c>
    </row>
    <row r="90" spans="1:7" x14ac:dyDescent="0.45">
      <c r="B90" t="s">
        <v>1474</v>
      </c>
    </row>
    <row r="91" spans="1:7" x14ac:dyDescent="0.45">
      <c r="A91" s="16" t="s">
        <v>1443</v>
      </c>
      <c r="B91" s="16" t="s">
        <v>1444</v>
      </c>
      <c r="C91" s="16"/>
      <c r="D91" s="16"/>
      <c r="E91" s="16"/>
      <c r="F91" s="16"/>
      <c r="G91" s="16"/>
    </row>
    <row r="92" spans="1:7" x14ac:dyDescent="0.45">
      <c r="A92" s="17" t="s">
        <v>1433</v>
      </c>
      <c r="B92" s="17" t="s">
        <v>711</v>
      </c>
      <c r="C92" s="17" t="s">
        <v>710</v>
      </c>
      <c r="D92" s="17" t="s">
        <v>709</v>
      </c>
      <c r="E92" s="17" t="s">
        <v>708</v>
      </c>
      <c r="F92" s="17" t="s">
        <v>707</v>
      </c>
      <c r="G92" s="17" t="s">
        <v>1434</v>
      </c>
    </row>
    <row r="93" spans="1:7" x14ac:dyDescent="0.45">
      <c r="A93" s="12" t="s">
        <v>1462</v>
      </c>
      <c r="B93">
        <v>8221.84</v>
      </c>
      <c r="C93">
        <v>7159.0499999999993</v>
      </c>
      <c r="D93">
        <v>13257.599999999999</v>
      </c>
      <c r="E93">
        <v>23678.77</v>
      </c>
      <c r="F93">
        <v>49282.270000000004</v>
      </c>
      <c r="G93">
        <v>101599.53</v>
      </c>
    </row>
    <row r="94" spans="1:7" x14ac:dyDescent="0.45">
      <c r="A94" s="12" t="s">
        <v>1463</v>
      </c>
      <c r="B94">
        <v>228079.8</v>
      </c>
      <c r="C94">
        <v>28254.019999999997</v>
      </c>
      <c r="D94">
        <v>46380.619999999995</v>
      </c>
      <c r="E94">
        <v>42074.83</v>
      </c>
      <c r="F94">
        <v>36166.400000000001</v>
      </c>
      <c r="G94">
        <v>380955.67</v>
      </c>
    </row>
    <row r="95" spans="1:7" x14ac:dyDescent="0.45">
      <c r="A95" s="12" t="s">
        <v>1464</v>
      </c>
      <c r="B95">
        <v>142798.88</v>
      </c>
      <c r="C95">
        <v>34297.56</v>
      </c>
      <c r="D95">
        <v>39626.979999999996</v>
      </c>
      <c r="E95">
        <v>5484</v>
      </c>
      <c r="F95">
        <v>36250.6</v>
      </c>
      <c r="G95">
        <v>258458.02</v>
      </c>
    </row>
    <row r="96" spans="1:7" x14ac:dyDescent="0.45">
      <c r="A96" s="12" t="s">
        <v>1465</v>
      </c>
      <c r="B96">
        <v>50961.170000000006</v>
      </c>
      <c r="C96">
        <v>124233.82</v>
      </c>
      <c r="D96">
        <v>18922.120000000003</v>
      </c>
      <c r="E96">
        <v>47616.55</v>
      </c>
      <c r="F96">
        <v>8687.51</v>
      </c>
      <c r="G96">
        <v>250421.17000000004</v>
      </c>
    </row>
    <row r="97" spans="1:7" x14ac:dyDescent="0.45">
      <c r="A97" s="12" t="s">
        <v>1466</v>
      </c>
      <c r="B97">
        <v>81209.36</v>
      </c>
      <c r="D97">
        <v>28565.41</v>
      </c>
      <c r="E97">
        <v>117147.9</v>
      </c>
      <c r="F97">
        <v>30235.22</v>
      </c>
      <c r="G97">
        <v>257157.88999999998</v>
      </c>
    </row>
    <row r="98" spans="1:7" x14ac:dyDescent="0.45">
      <c r="A98" s="12" t="s">
        <v>1467</v>
      </c>
      <c r="B98">
        <v>30086</v>
      </c>
      <c r="C98">
        <v>55873.66</v>
      </c>
      <c r="D98">
        <v>101771.41</v>
      </c>
      <c r="E98">
        <v>41673.72</v>
      </c>
      <c r="F98">
        <v>63713.409999999996</v>
      </c>
      <c r="G98">
        <v>293118.2</v>
      </c>
    </row>
    <row r="99" spans="1:7" x14ac:dyDescent="0.45">
      <c r="A99" s="12" t="s">
        <v>1468</v>
      </c>
      <c r="C99">
        <v>127892.09</v>
      </c>
      <c r="D99">
        <v>9609.9399999999987</v>
      </c>
      <c r="E99">
        <v>154540.32</v>
      </c>
      <c r="F99">
        <v>22391.29</v>
      </c>
      <c r="G99">
        <v>314433.63999999996</v>
      </c>
    </row>
    <row r="100" spans="1:7" x14ac:dyDescent="0.45">
      <c r="A100" s="12" t="s">
        <v>1469</v>
      </c>
      <c r="B100">
        <v>71399.53</v>
      </c>
      <c r="C100">
        <v>113870.92000000001</v>
      </c>
      <c r="D100">
        <v>27765.260000000002</v>
      </c>
      <c r="E100">
        <v>191855.14</v>
      </c>
      <c r="G100">
        <v>404890.85000000003</v>
      </c>
    </row>
    <row r="101" spans="1:7" x14ac:dyDescent="0.45">
      <c r="A101" s="12" t="s">
        <v>1470</v>
      </c>
      <c r="B101">
        <v>15672.45</v>
      </c>
      <c r="C101">
        <v>59441.58</v>
      </c>
      <c r="D101">
        <v>102507.50999999998</v>
      </c>
      <c r="E101">
        <v>75578.180000000008</v>
      </c>
      <c r="F101">
        <v>31636.28</v>
      </c>
      <c r="G101">
        <v>284836</v>
      </c>
    </row>
    <row r="102" spans="1:7" x14ac:dyDescent="0.45">
      <c r="A102" s="12" t="s">
        <v>1471</v>
      </c>
      <c r="B102">
        <v>190776.11000000002</v>
      </c>
      <c r="C102">
        <v>74532.180000000008</v>
      </c>
      <c r="D102">
        <v>29116.629999999997</v>
      </c>
      <c r="E102">
        <v>29925.87</v>
      </c>
      <c r="G102">
        <v>324350.79000000004</v>
      </c>
    </row>
    <row r="103" spans="1:7" x14ac:dyDescent="0.45">
      <c r="A103" s="12" t="s">
        <v>1472</v>
      </c>
      <c r="B103">
        <v>30203.46</v>
      </c>
      <c r="C103">
        <v>29338.86</v>
      </c>
      <c r="E103">
        <v>65909.16</v>
      </c>
      <c r="F103">
        <v>76229</v>
      </c>
      <c r="G103">
        <v>201680.48</v>
      </c>
    </row>
    <row r="104" spans="1:7" x14ac:dyDescent="0.45">
      <c r="A104" s="23" t="s">
        <v>1434</v>
      </c>
      <c r="B104" s="24">
        <v>849408.6</v>
      </c>
      <c r="C104" s="24">
        <v>654893.74</v>
      </c>
      <c r="D104" s="24">
        <v>417523.48</v>
      </c>
      <c r="E104" s="24">
        <v>795484.44000000006</v>
      </c>
      <c r="F104" s="24">
        <v>354591.98</v>
      </c>
      <c r="G104" s="24">
        <v>3071902.2399999998</v>
      </c>
    </row>
    <row r="109" spans="1:7" x14ac:dyDescent="0.45">
      <c r="B109" t="s">
        <v>1475</v>
      </c>
    </row>
    <row r="110" spans="1:7" x14ac:dyDescent="0.45">
      <c r="A110" s="16" t="s">
        <v>1443</v>
      </c>
      <c r="B110" s="16" t="s">
        <v>1444</v>
      </c>
      <c r="C110" s="16"/>
      <c r="D110" s="16"/>
      <c r="E110" s="16"/>
      <c r="F110" s="16"/>
      <c r="G110" s="16"/>
    </row>
    <row r="111" spans="1:7" x14ac:dyDescent="0.45">
      <c r="A111" s="17" t="s">
        <v>1433</v>
      </c>
      <c r="B111" s="17" t="s">
        <v>711</v>
      </c>
      <c r="C111" s="17" t="s">
        <v>710</v>
      </c>
      <c r="D111" s="17" t="s">
        <v>709</v>
      </c>
      <c r="E111" s="17" t="s">
        <v>708</v>
      </c>
      <c r="F111" s="17" t="s">
        <v>707</v>
      </c>
      <c r="G111" s="17" t="s">
        <v>1434</v>
      </c>
    </row>
    <row r="112" spans="1:7" x14ac:dyDescent="0.45">
      <c r="A112" s="12" t="s">
        <v>1462</v>
      </c>
      <c r="B112">
        <v>106666.58</v>
      </c>
      <c r="C112">
        <v>41067.51</v>
      </c>
      <c r="D112">
        <v>10470.08</v>
      </c>
      <c r="E112">
        <v>45182.54</v>
      </c>
      <c r="F112">
        <v>79922.460000000006</v>
      </c>
      <c r="G112">
        <v>283309.17</v>
      </c>
    </row>
    <row r="113" spans="1:7" x14ac:dyDescent="0.45">
      <c r="A113" s="12" t="s">
        <v>1463</v>
      </c>
      <c r="B113">
        <v>110480.62000000001</v>
      </c>
      <c r="C113">
        <v>95590.549999999988</v>
      </c>
      <c r="D113">
        <v>183931.3</v>
      </c>
      <c r="E113">
        <v>84366.11</v>
      </c>
      <c r="G113">
        <v>474368.57999999996</v>
      </c>
    </row>
    <row r="114" spans="1:7" x14ac:dyDescent="0.45">
      <c r="A114" s="12" t="s">
        <v>1464</v>
      </c>
      <c r="B114">
        <v>50087.17</v>
      </c>
      <c r="C114">
        <v>16680.18</v>
      </c>
      <c r="D114">
        <v>7354.16</v>
      </c>
      <c r="E114">
        <v>38345.06</v>
      </c>
      <c r="F114">
        <v>48777.39</v>
      </c>
      <c r="G114">
        <v>161243.96000000002</v>
      </c>
    </row>
    <row r="115" spans="1:7" x14ac:dyDescent="0.45">
      <c r="A115" s="12" t="s">
        <v>1465</v>
      </c>
      <c r="B115">
        <v>73209.14</v>
      </c>
      <c r="C115">
        <v>21780.720000000001</v>
      </c>
      <c r="D115">
        <v>55417.11</v>
      </c>
      <c r="E115">
        <v>9786.24</v>
      </c>
      <c r="F115">
        <v>77180.260000000009</v>
      </c>
      <c r="G115">
        <v>237373.47</v>
      </c>
    </row>
    <row r="116" spans="1:7" x14ac:dyDescent="0.45">
      <c r="A116" s="12" t="s">
        <v>1466</v>
      </c>
      <c r="B116">
        <v>70282.59</v>
      </c>
      <c r="C116">
        <v>103070.96</v>
      </c>
      <c r="D116">
        <v>5868.38</v>
      </c>
      <c r="E116">
        <v>116212.4</v>
      </c>
      <c r="F116">
        <v>64030.23</v>
      </c>
      <c r="G116">
        <v>359464.55999999994</v>
      </c>
    </row>
    <row r="117" spans="1:7" x14ac:dyDescent="0.45">
      <c r="A117" s="12" t="s">
        <v>1467</v>
      </c>
      <c r="B117">
        <v>39447.759999999995</v>
      </c>
      <c r="C117">
        <v>177081.37999999998</v>
      </c>
      <c r="D117">
        <v>12983.320000000002</v>
      </c>
      <c r="E117">
        <v>12241.079999999998</v>
      </c>
      <c r="F117">
        <v>42399.360000000001</v>
      </c>
      <c r="G117">
        <v>284152.89999999997</v>
      </c>
    </row>
    <row r="118" spans="1:7" x14ac:dyDescent="0.45">
      <c r="A118" s="12" t="s">
        <v>1468</v>
      </c>
      <c r="B118">
        <v>79491.47</v>
      </c>
      <c r="C118">
        <v>24587.519999999997</v>
      </c>
      <c r="D118">
        <v>14701.23</v>
      </c>
      <c r="E118">
        <v>47048.289999999994</v>
      </c>
      <c r="F118">
        <v>126766.49999999999</v>
      </c>
      <c r="G118">
        <v>292595.00999999995</v>
      </c>
    </row>
    <row r="119" spans="1:7" x14ac:dyDescent="0.45">
      <c r="A119" s="12" t="s">
        <v>1469</v>
      </c>
      <c r="B119">
        <v>40516.519999999997</v>
      </c>
      <c r="C119">
        <v>11239.18</v>
      </c>
      <c r="D119">
        <v>140831.36000000002</v>
      </c>
      <c r="E119">
        <v>17140.879999999997</v>
      </c>
      <c r="F119">
        <v>119436.19</v>
      </c>
      <c r="G119">
        <v>329164.13</v>
      </c>
    </row>
    <row r="120" spans="1:7" x14ac:dyDescent="0.45">
      <c r="A120" s="12" t="s">
        <v>1470</v>
      </c>
      <c r="B120">
        <v>124054.34</v>
      </c>
      <c r="C120">
        <v>26150.5</v>
      </c>
      <c r="D120">
        <v>123836.62</v>
      </c>
      <c r="E120">
        <v>48673.649999999994</v>
      </c>
      <c r="F120">
        <v>128207.74</v>
      </c>
      <c r="G120">
        <v>450922.85</v>
      </c>
    </row>
    <row r="121" spans="1:7" x14ac:dyDescent="0.45">
      <c r="A121" s="12" t="s">
        <v>1471</v>
      </c>
      <c r="B121">
        <v>28181.279999999999</v>
      </c>
      <c r="C121">
        <v>6324.78</v>
      </c>
      <c r="D121">
        <v>60802.94</v>
      </c>
      <c r="E121">
        <v>17036.599999999999</v>
      </c>
      <c r="F121">
        <v>48239.81</v>
      </c>
      <c r="G121">
        <v>160585.41</v>
      </c>
    </row>
    <row r="122" spans="1:7" x14ac:dyDescent="0.45">
      <c r="A122" s="12" t="s">
        <v>1472</v>
      </c>
      <c r="B122">
        <v>8605.3799999999992</v>
      </c>
      <c r="C122">
        <v>69808.799999999988</v>
      </c>
      <c r="D122">
        <v>44827.78</v>
      </c>
      <c r="E122">
        <v>72902</v>
      </c>
      <c r="F122">
        <v>14967.849999999999</v>
      </c>
      <c r="G122">
        <v>211111.81</v>
      </c>
    </row>
    <row r="123" spans="1:7" x14ac:dyDescent="0.45">
      <c r="A123" s="23" t="s">
        <v>1434</v>
      </c>
      <c r="B123" s="24">
        <v>731022.85</v>
      </c>
      <c r="C123" s="24">
        <v>593382.07999999996</v>
      </c>
      <c r="D123" s="24">
        <v>661024.28</v>
      </c>
      <c r="E123" s="24">
        <v>508934.85</v>
      </c>
      <c r="F123" s="24">
        <v>749927.78999999992</v>
      </c>
      <c r="G123" s="24">
        <v>3244291.85</v>
      </c>
    </row>
    <row r="127" spans="1:7" x14ac:dyDescent="0.45">
      <c r="B127" t="s">
        <v>1476</v>
      </c>
    </row>
    <row r="128" spans="1:7" x14ac:dyDescent="0.45">
      <c r="A128" s="16" t="s">
        <v>1443</v>
      </c>
      <c r="B128" s="16" t="s">
        <v>1444</v>
      </c>
      <c r="C128" s="16"/>
      <c r="D128" s="16"/>
      <c r="E128" s="16"/>
      <c r="F128" s="16"/>
      <c r="G128" s="16"/>
    </row>
    <row r="129" spans="1:7" x14ac:dyDescent="0.45">
      <c r="A129" s="17" t="s">
        <v>1433</v>
      </c>
      <c r="B129" s="17" t="s">
        <v>711</v>
      </c>
      <c r="C129" s="17" t="s">
        <v>710</v>
      </c>
      <c r="D129" s="17" t="s">
        <v>709</v>
      </c>
      <c r="E129" s="17" t="s">
        <v>708</v>
      </c>
      <c r="F129" s="17" t="s">
        <v>707</v>
      </c>
      <c r="G129" s="17" t="s">
        <v>1434</v>
      </c>
    </row>
    <row r="130" spans="1:7" x14ac:dyDescent="0.45">
      <c r="A130" s="12" t="s">
        <v>1462</v>
      </c>
      <c r="B130">
        <v>122508.90000000001</v>
      </c>
      <c r="C130">
        <v>19027.410000000003</v>
      </c>
      <c r="D130">
        <v>27041.040000000001</v>
      </c>
      <c r="E130">
        <v>143561.29999999999</v>
      </c>
      <c r="F130">
        <v>21047.4</v>
      </c>
      <c r="G130">
        <v>333186.05000000005</v>
      </c>
    </row>
    <row r="131" spans="1:7" x14ac:dyDescent="0.45">
      <c r="A131" s="12" t="s">
        <v>1463</v>
      </c>
      <c r="B131">
        <v>54709.78</v>
      </c>
      <c r="C131">
        <v>58895.1</v>
      </c>
      <c r="D131">
        <v>50486.67</v>
      </c>
      <c r="E131">
        <v>13403.380000000001</v>
      </c>
      <c r="F131">
        <v>68280.72</v>
      </c>
      <c r="G131">
        <v>245775.65</v>
      </c>
    </row>
    <row r="132" spans="1:7" x14ac:dyDescent="0.45">
      <c r="A132" s="12" t="s">
        <v>1464</v>
      </c>
      <c r="B132">
        <v>101471.4</v>
      </c>
      <c r="C132">
        <v>12285.9</v>
      </c>
      <c r="D132">
        <v>9625.7100000000009</v>
      </c>
      <c r="E132">
        <v>37600.479999999996</v>
      </c>
      <c r="F132">
        <v>45674.91</v>
      </c>
      <c r="G132">
        <v>206658.4</v>
      </c>
    </row>
    <row r="133" spans="1:7" x14ac:dyDescent="0.45">
      <c r="A133" s="12" t="s">
        <v>1465</v>
      </c>
      <c r="B133">
        <v>138710.32</v>
      </c>
      <c r="C133">
        <v>52068.7</v>
      </c>
      <c r="D133">
        <v>66746.09</v>
      </c>
      <c r="E133">
        <v>61199.19</v>
      </c>
      <c r="F133">
        <v>256101.87999999998</v>
      </c>
      <c r="G133">
        <v>574826.18000000005</v>
      </c>
    </row>
    <row r="134" spans="1:7" x14ac:dyDescent="0.45">
      <c r="A134" s="12" t="s">
        <v>1466</v>
      </c>
      <c r="B134">
        <v>148775.65</v>
      </c>
      <c r="C134">
        <v>11355.55</v>
      </c>
      <c r="D134">
        <v>184252.39</v>
      </c>
      <c r="F134">
        <v>2318.6999999999998</v>
      </c>
      <c r="G134">
        <v>346702.29</v>
      </c>
    </row>
    <row r="135" spans="1:7" x14ac:dyDescent="0.45">
      <c r="A135" s="12" t="s">
        <v>1467</v>
      </c>
      <c r="B135">
        <v>168987.32</v>
      </c>
      <c r="C135">
        <v>23061.99</v>
      </c>
      <c r="D135">
        <v>17223.84</v>
      </c>
      <c r="E135">
        <v>160900.49</v>
      </c>
      <c r="F135">
        <v>46010.63</v>
      </c>
      <c r="G135">
        <v>416184.27</v>
      </c>
    </row>
    <row r="136" spans="1:7" x14ac:dyDescent="0.45">
      <c r="A136" s="12" t="s">
        <v>1468</v>
      </c>
      <c r="B136">
        <v>46435.770000000004</v>
      </c>
      <c r="C136">
        <v>21015.5</v>
      </c>
      <c r="D136">
        <v>112344.51000000001</v>
      </c>
      <c r="E136">
        <v>13199.34</v>
      </c>
      <c r="F136">
        <v>13296.6</v>
      </c>
      <c r="G136">
        <v>206291.72000000003</v>
      </c>
    </row>
    <row r="137" spans="1:7" x14ac:dyDescent="0.45">
      <c r="A137" s="12" t="s">
        <v>1469</v>
      </c>
      <c r="B137">
        <v>9093.5</v>
      </c>
      <c r="C137">
        <v>13450.74</v>
      </c>
      <c r="D137">
        <v>69956.039999999994</v>
      </c>
      <c r="E137">
        <v>71141.31</v>
      </c>
      <c r="G137">
        <v>163641.59</v>
      </c>
    </row>
    <row r="138" spans="1:7" x14ac:dyDescent="0.45">
      <c r="A138" s="12" t="s">
        <v>1470</v>
      </c>
      <c r="B138">
        <v>94401.27</v>
      </c>
      <c r="C138">
        <v>93606.049999999988</v>
      </c>
      <c r="D138">
        <v>14666.8</v>
      </c>
      <c r="E138">
        <v>142345.17000000001</v>
      </c>
      <c r="F138">
        <v>16323</v>
      </c>
      <c r="G138">
        <v>361342.29000000004</v>
      </c>
    </row>
    <row r="139" spans="1:7" x14ac:dyDescent="0.45">
      <c r="A139" s="12" t="s">
        <v>1471</v>
      </c>
      <c r="B139">
        <v>48215.5</v>
      </c>
      <c r="C139">
        <v>10535.2</v>
      </c>
      <c r="D139">
        <v>24321.57</v>
      </c>
      <c r="E139">
        <v>3667</v>
      </c>
      <c r="F139">
        <v>20688.079999999998</v>
      </c>
      <c r="G139">
        <v>107427.34999999999</v>
      </c>
    </row>
    <row r="140" spans="1:7" x14ac:dyDescent="0.45">
      <c r="A140" s="12" t="s">
        <v>1472</v>
      </c>
      <c r="B140">
        <v>42700.04</v>
      </c>
      <c r="C140">
        <v>37260.78</v>
      </c>
      <c r="D140">
        <v>75737.73</v>
      </c>
      <c r="E140">
        <v>37962.33</v>
      </c>
      <c r="F140">
        <v>10654.8</v>
      </c>
      <c r="G140">
        <v>204315.68</v>
      </c>
    </row>
    <row r="141" spans="1:7" x14ac:dyDescent="0.45">
      <c r="A141" s="23" t="s">
        <v>1434</v>
      </c>
      <c r="B141" s="24">
        <v>976009.45</v>
      </c>
      <c r="C141" s="24">
        <v>352562.91999999993</v>
      </c>
      <c r="D141" s="24">
        <v>652402.39</v>
      </c>
      <c r="E141" s="24">
        <v>684979.99</v>
      </c>
      <c r="F141" s="24">
        <v>500396.72</v>
      </c>
      <c r="G141" s="24">
        <v>3166351.4700000007</v>
      </c>
    </row>
    <row r="151" spans="1:9" ht="28.5" x14ac:dyDescent="0.45">
      <c r="A151" s="20" t="s">
        <v>1433</v>
      </c>
      <c r="B151" s="20" t="s">
        <v>708</v>
      </c>
      <c r="C151" s="20" t="s">
        <v>707</v>
      </c>
      <c r="D151" s="25" t="s">
        <v>1477</v>
      </c>
      <c r="E151" s="25" t="s">
        <v>1478</v>
      </c>
      <c r="F151" s="25" t="s">
        <v>1479</v>
      </c>
      <c r="G151" s="25" t="s">
        <v>1480</v>
      </c>
      <c r="H151" s="20" t="s">
        <v>1481</v>
      </c>
      <c r="I151" t="s">
        <v>1434</v>
      </c>
    </row>
    <row r="152" spans="1:9" x14ac:dyDescent="0.45">
      <c r="A152" t="s">
        <v>646</v>
      </c>
      <c r="B152">
        <v>533290.85999999987</v>
      </c>
      <c r="C152">
        <v>582249.00999999978</v>
      </c>
      <c r="D152" s="19">
        <f>B152/I152</f>
        <v>0.17931534023970933</v>
      </c>
      <c r="E152" s="19">
        <f>C152/I152</f>
        <v>0.19577717745318926</v>
      </c>
      <c r="I152">
        <v>2974039.2499999995</v>
      </c>
    </row>
    <row r="153" spans="1:9" x14ac:dyDescent="0.45">
      <c r="A153" t="s">
        <v>648</v>
      </c>
      <c r="B153">
        <v>795484.44</v>
      </c>
      <c r="C153">
        <v>354591.97999999986</v>
      </c>
      <c r="D153" s="19">
        <f t="shared" ref="D153:D155" si="0">B153/I153</f>
        <v>0.2589549985158382</v>
      </c>
      <c r="E153" s="19">
        <f t="shared" ref="E153:E155" si="1">C153/I153</f>
        <v>0.11543075016605994</v>
      </c>
      <c r="I153">
        <v>3071902.2399999998</v>
      </c>
    </row>
    <row r="154" spans="1:9" x14ac:dyDescent="0.45">
      <c r="A154" t="s">
        <v>647</v>
      </c>
      <c r="B154">
        <v>508934.85</v>
      </c>
      <c r="C154">
        <v>749927.79</v>
      </c>
      <c r="D154" s="19">
        <f t="shared" si="0"/>
        <v>0.1568708591984411</v>
      </c>
      <c r="E154" s="19">
        <f t="shared" si="1"/>
        <v>0.23115299876612519</v>
      </c>
      <c r="I154">
        <v>3244291.85</v>
      </c>
    </row>
    <row r="155" spans="1:9" x14ac:dyDescent="0.45">
      <c r="A155" t="s">
        <v>649</v>
      </c>
      <c r="B155">
        <v>684979.99000000011</v>
      </c>
      <c r="C155">
        <v>500396.72000000009</v>
      </c>
      <c r="D155" s="19">
        <f t="shared" si="0"/>
        <v>0.21633100320350732</v>
      </c>
      <c r="E155" s="19">
        <f t="shared" si="1"/>
        <v>0.15803574705495346</v>
      </c>
      <c r="I155">
        <v>3166351.47</v>
      </c>
    </row>
    <row r="160" spans="1:9" x14ac:dyDescent="0.45">
      <c r="A160" s="11" t="s">
        <v>1443</v>
      </c>
      <c r="B160" s="11" t="s">
        <v>1444</v>
      </c>
    </row>
    <row r="161" spans="1:7" x14ac:dyDescent="0.45">
      <c r="A161" s="11" t="s">
        <v>1433</v>
      </c>
      <c r="B161" t="s">
        <v>711</v>
      </c>
      <c r="C161" t="s">
        <v>710</v>
      </c>
      <c r="D161" t="s">
        <v>709</v>
      </c>
      <c r="E161" t="s">
        <v>708</v>
      </c>
      <c r="F161" t="s">
        <v>707</v>
      </c>
      <c r="G161" t="s">
        <v>1434</v>
      </c>
    </row>
    <row r="162" spans="1:7" x14ac:dyDescent="0.45">
      <c r="A162" s="12" t="s">
        <v>1483</v>
      </c>
      <c r="B162">
        <v>3078654.56</v>
      </c>
      <c r="C162">
        <v>2325510.3400000003</v>
      </c>
      <c r="D162">
        <v>2342564.2699999996</v>
      </c>
      <c r="E162">
        <v>2522690.1399999997</v>
      </c>
      <c r="F162">
        <v>2181685.4000000004</v>
      </c>
      <c r="G162">
        <v>12451104.710000001</v>
      </c>
    </row>
    <row r="163" spans="1:7" x14ac:dyDescent="0.45">
      <c r="A163" s="13" t="s">
        <v>1462</v>
      </c>
      <c r="B163">
        <v>244639.94</v>
      </c>
      <c r="C163">
        <v>163676.19</v>
      </c>
      <c r="D163">
        <v>135859.09000000003</v>
      </c>
      <c r="E163">
        <v>232004.48000000001</v>
      </c>
      <c r="F163">
        <v>150252.13</v>
      </c>
      <c r="G163">
        <v>926431.83</v>
      </c>
    </row>
    <row r="164" spans="1:7" x14ac:dyDescent="0.45">
      <c r="A164" s="13" t="s">
        <v>1463</v>
      </c>
      <c r="B164">
        <v>491066.82</v>
      </c>
      <c r="C164">
        <v>186715.33</v>
      </c>
      <c r="D164">
        <v>321379.40999999997</v>
      </c>
      <c r="E164">
        <v>224931.13</v>
      </c>
      <c r="F164">
        <v>173265.87</v>
      </c>
      <c r="G164">
        <v>1397358.56</v>
      </c>
    </row>
    <row r="165" spans="1:7" x14ac:dyDescent="0.45">
      <c r="A165" s="13" t="s">
        <v>1464</v>
      </c>
      <c r="B165">
        <v>353748.85999999993</v>
      </c>
      <c r="C165">
        <v>74229</v>
      </c>
      <c r="D165">
        <v>81572.48000000001</v>
      </c>
      <c r="E165">
        <v>240063.72999999998</v>
      </c>
      <c r="F165">
        <v>151226.85</v>
      </c>
      <c r="G165">
        <v>900840.91999999993</v>
      </c>
    </row>
    <row r="166" spans="1:7" x14ac:dyDescent="0.45">
      <c r="A166" s="13" t="s">
        <v>1465</v>
      </c>
      <c r="B166">
        <v>262880.63000000006</v>
      </c>
      <c r="C166">
        <v>268130.3</v>
      </c>
      <c r="D166">
        <v>188734.63999999998</v>
      </c>
      <c r="E166">
        <v>158046.56</v>
      </c>
      <c r="F166">
        <v>341969.64999999997</v>
      </c>
      <c r="G166">
        <v>1219761.78</v>
      </c>
    </row>
    <row r="167" spans="1:7" x14ac:dyDescent="0.45">
      <c r="A167" s="13" t="s">
        <v>1466</v>
      </c>
      <c r="B167">
        <v>306201.66000000003</v>
      </c>
      <c r="C167">
        <v>116947.41000000002</v>
      </c>
      <c r="D167">
        <v>267782.28000000003</v>
      </c>
      <c r="E167">
        <v>279813.98</v>
      </c>
      <c r="F167">
        <v>134810.12</v>
      </c>
      <c r="G167">
        <v>1105555.4500000002</v>
      </c>
    </row>
    <row r="168" spans="1:7" x14ac:dyDescent="0.45">
      <c r="A168" s="13" t="s">
        <v>1467</v>
      </c>
      <c r="B168">
        <v>273855.14999999997</v>
      </c>
      <c r="C168">
        <v>380691.62999999995</v>
      </c>
      <c r="D168">
        <v>221532.5</v>
      </c>
      <c r="E168">
        <v>238706.85</v>
      </c>
      <c r="F168">
        <v>344954.68</v>
      </c>
      <c r="G168">
        <v>1459740.8099999998</v>
      </c>
    </row>
    <row r="169" spans="1:7" x14ac:dyDescent="0.45">
      <c r="A169" s="13" t="s">
        <v>1468</v>
      </c>
      <c r="B169">
        <v>130892.44</v>
      </c>
      <c r="C169">
        <v>390424.93999999994</v>
      </c>
      <c r="D169">
        <v>244831.40000000002</v>
      </c>
      <c r="E169">
        <v>215256.11</v>
      </c>
      <c r="F169">
        <v>282523.76999999996</v>
      </c>
      <c r="G169">
        <v>1263928.6599999999</v>
      </c>
    </row>
    <row r="170" spans="1:7" x14ac:dyDescent="0.45">
      <c r="A170" s="13" t="s">
        <v>1469</v>
      </c>
      <c r="B170">
        <v>184629.59</v>
      </c>
      <c r="C170">
        <v>165633.62000000002</v>
      </c>
      <c r="D170">
        <v>300737.51999999996</v>
      </c>
      <c r="E170">
        <v>325221.57</v>
      </c>
      <c r="F170">
        <v>170908.24</v>
      </c>
      <c r="G170">
        <v>1147130.54</v>
      </c>
    </row>
    <row r="171" spans="1:7" x14ac:dyDescent="0.45">
      <c r="A171" s="13" t="s">
        <v>1470</v>
      </c>
      <c r="B171">
        <v>241785.25999999998</v>
      </c>
      <c r="C171">
        <v>292160.27</v>
      </c>
      <c r="D171">
        <v>286265.90999999997</v>
      </c>
      <c r="E171">
        <v>310267.33999999997</v>
      </c>
      <c r="F171">
        <v>176167.02</v>
      </c>
      <c r="G171">
        <v>1306645.7999999998</v>
      </c>
    </row>
    <row r="172" spans="1:7" x14ac:dyDescent="0.45">
      <c r="A172" s="13" t="s">
        <v>1471</v>
      </c>
      <c r="B172">
        <v>337937.78</v>
      </c>
      <c r="C172">
        <v>120582.34</v>
      </c>
      <c r="D172">
        <v>122112.89000000001</v>
      </c>
      <c r="E172">
        <v>53544.630000000005</v>
      </c>
      <c r="F172">
        <v>110339.11</v>
      </c>
      <c r="G172">
        <v>744516.75</v>
      </c>
    </row>
    <row r="173" spans="1:7" x14ac:dyDescent="0.45">
      <c r="A173" s="13" t="s">
        <v>1472</v>
      </c>
      <c r="B173">
        <v>251016.43</v>
      </c>
      <c r="C173">
        <v>166319.31000000003</v>
      </c>
      <c r="D173">
        <v>171756.15</v>
      </c>
      <c r="E173">
        <v>244833.76</v>
      </c>
      <c r="F173">
        <v>145267.96</v>
      </c>
      <c r="G173">
        <v>979193.61</v>
      </c>
    </row>
    <row r="174" spans="1:7" x14ac:dyDescent="0.45">
      <c r="A174" s="12" t="s">
        <v>1434</v>
      </c>
      <c r="B174">
        <v>3078654.56</v>
      </c>
      <c r="C174">
        <v>2325510.3400000003</v>
      </c>
      <c r="D174">
        <v>2342564.2699999996</v>
      </c>
      <c r="E174">
        <v>2522690.1399999997</v>
      </c>
      <c r="F174">
        <v>2181685.4000000004</v>
      </c>
      <c r="G174">
        <v>12451104.710000001</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9F937-7C51-4E5F-A8BC-728A0E69EE80}">
  <dimension ref="A2:D735"/>
  <sheetViews>
    <sheetView workbookViewId="0">
      <selection activeCell="C101" sqref="C101"/>
    </sheetView>
  </sheetViews>
  <sheetFormatPr defaultRowHeight="14.25" x14ac:dyDescent="0.45"/>
  <cols>
    <col min="1" max="1" width="16.19921875" style="6" bestFit="1" customWidth="1"/>
    <col min="2" max="2" width="15.265625" bestFit="1" customWidth="1"/>
    <col min="3" max="3" width="6.796875" bestFit="1" customWidth="1"/>
    <col min="4" max="4" width="10.73046875" bestFit="1" customWidth="1"/>
    <col min="5" max="5" width="10.46484375" bestFit="1" customWidth="1"/>
  </cols>
  <sheetData>
    <row r="2" spans="1:4" x14ac:dyDescent="0.45">
      <c r="A2"/>
    </row>
    <row r="3" spans="1:4" x14ac:dyDescent="0.45">
      <c r="A3" s="11" t="s">
        <v>1442</v>
      </c>
      <c r="B3" s="11" t="s">
        <v>1444</v>
      </c>
    </row>
    <row r="4" spans="1:4" x14ac:dyDescent="0.45">
      <c r="A4" s="11" t="s">
        <v>1433</v>
      </c>
      <c r="B4" t="s">
        <v>1485</v>
      </c>
      <c r="C4" t="s">
        <v>1486</v>
      </c>
      <c r="D4" t="s">
        <v>1434</v>
      </c>
    </row>
    <row r="5" spans="1:4" x14ac:dyDescent="0.45">
      <c r="A5" s="12" t="s">
        <v>655</v>
      </c>
      <c r="B5" s="14">
        <v>0.70967741935483875</v>
      </c>
      <c r="C5" s="14">
        <v>0.29032258064516131</v>
      </c>
      <c r="D5" s="14">
        <v>1</v>
      </c>
    </row>
    <row r="6" spans="1:4" x14ac:dyDescent="0.45">
      <c r="A6" s="13" t="s">
        <v>733</v>
      </c>
      <c r="B6" s="14">
        <v>0.6</v>
      </c>
      <c r="C6" s="14">
        <v>0.4</v>
      </c>
      <c r="D6" s="14">
        <v>1</v>
      </c>
    </row>
    <row r="7" spans="1:4" x14ac:dyDescent="0.45">
      <c r="A7" s="13" t="s">
        <v>727</v>
      </c>
      <c r="B7" s="14">
        <v>0.8571428571428571</v>
      </c>
      <c r="C7" s="14">
        <v>0.14285714285714285</v>
      </c>
      <c r="D7" s="14">
        <v>1</v>
      </c>
    </row>
    <row r="8" spans="1:4" x14ac:dyDescent="0.45">
      <c r="A8" s="13" t="s">
        <v>731</v>
      </c>
      <c r="B8" s="14">
        <v>0.8</v>
      </c>
      <c r="C8" s="14">
        <v>0.2</v>
      </c>
      <c r="D8" s="14">
        <v>1</v>
      </c>
    </row>
    <row r="9" spans="1:4" x14ac:dyDescent="0.45">
      <c r="A9" s="13" t="s">
        <v>732</v>
      </c>
      <c r="B9" s="14">
        <v>0.75</v>
      </c>
      <c r="C9" s="14">
        <v>0.25</v>
      </c>
      <c r="D9" s="14">
        <v>1</v>
      </c>
    </row>
    <row r="10" spans="1:4" x14ac:dyDescent="0.45">
      <c r="A10" s="13" t="s">
        <v>729</v>
      </c>
      <c r="B10" s="14">
        <v>0.83333333333333337</v>
      </c>
      <c r="C10" s="14">
        <v>0.16666666666666666</v>
      </c>
      <c r="D10" s="14">
        <v>1</v>
      </c>
    </row>
    <row r="11" spans="1:4" x14ac:dyDescent="0.45">
      <c r="A11" s="13" t="s">
        <v>730</v>
      </c>
      <c r="B11" s="14">
        <v>0.44444444444444442</v>
      </c>
      <c r="C11" s="14">
        <v>0.55555555555555558</v>
      </c>
      <c r="D11" s="14">
        <v>1</v>
      </c>
    </row>
    <row r="12" spans="1:4" x14ac:dyDescent="0.45">
      <c r="A12" s="13" t="s">
        <v>728</v>
      </c>
      <c r="B12" s="14">
        <v>0.7142857142857143</v>
      </c>
      <c r="C12" s="14">
        <v>0.2857142857142857</v>
      </c>
      <c r="D12" s="14">
        <v>1</v>
      </c>
    </row>
    <row r="13" spans="1:4" x14ac:dyDescent="0.45">
      <c r="A13" s="12" t="s">
        <v>653</v>
      </c>
      <c r="B13" s="14">
        <v>0.79545454545454541</v>
      </c>
      <c r="C13" s="14">
        <v>0.20454545454545456</v>
      </c>
      <c r="D13" s="14">
        <v>1</v>
      </c>
    </row>
    <row r="14" spans="1:4" x14ac:dyDescent="0.45">
      <c r="A14" s="13" t="s">
        <v>733</v>
      </c>
      <c r="B14" s="14">
        <v>0.66666666666666663</v>
      </c>
      <c r="C14" s="14">
        <v>0.33333333333333331</v>
      </c>
      <c r="D14" s="14">
        <v>1</v>
      </c>
    </row>
    <row r="15" spans="1:4" x14ac:dyDescent="0.45">
      <c r="A15" s="13" t="s">
        <v>727</v>
      </c>
      <c r="B15" s="14">
        <v>0.5</v>
      </c>
      <c r="C15" s="14">
        <v>0.5</v>
      </c>
      <c r="D15" s="14">
        <v>1</v>
      </c>
    </row>
    <row r="16" spans="1:4" x14ac:dyDescent="0.45">
      <c r="A16" s="13" t="s">
        <v>731</v>
      </c>
      <c r="B16" s="14">
        <v>0.66666666666666663</v>
      </c>
      <c r="C16" s="14">
        <v>0.33333333333333331</v>
      </c>
      <c r="D16" s="14">
        <v>1</v>
      </c>
    </row>
    <row r="17" spans="1:4" x14ac:dyDescent="0.45">
      <c r="A17" s="13" t="s">
        <v>732</v>
      </c>
      <c r="B17" s="14">
        <v>1</v>
      </c>
      <c r="C17" s="14">
        <v>0</v>
      </c>
      <c r="D17" s="14">
        <v>1</v>
      </c>
    </row>
    <row r="18" spans="1:4" x14ac:dyDescent="0.45">
      <c r="A18" s="13" t="s">
        <v>729</v>
      </c>
      <c r="B18" s="14">
        <v>1</v>
      </c>
      <c r="C18" s="14">
        <v>0</v>
      </c>
      <c r="D18" s="14">
        <v>1</v>
      </c>
    </row>
    <row r="19" spans="1:4" x14ac:dyDescent="0.45">
      <c r="A19" s="13" t="s">
        <v>730</v>
      </c>
      <c r="B19" s="14">
        <v>1</v>
      </c>
      <c r="C19" s="14">
        <v>0</v>
      </c>
      <c r="D19" s="14">
        <v>1</v>
      </c>
    </row>
    <row r="20" spans="1:4" x14ac:dyDescent="0.45">
      <c r="A20" s="13" t="s">
        <v>728</v>
      </c>
      <c r="B20" s="14">
        <v>0.84615384615384615</v>
      </c>
      <c r="C20" s="14">
        <v>0.15384615384615385</v>
      </c>
      <c r="D20" s="14">
        <v>1</v>
      </c>
    </row>
    <row r="21" spans="1:4" x14ac:dyDescent="0.45">
      <c r="A21" s="12" t="s">
        <v>659</v>
      </c>
      <c r="B21" s="14">
        <v>0.80392156862745101</v>
      </c>
      <c r="C21" s="14">
        <v>0.19607843137254902</v>
      </c>
      <c r="D21" s="14">
        <v>1</v>
      </c>
    </row>
    <row r="22" spans="1:4" x14ac:dyDescent="0.45">
      <c r="A22" s="13" t="s">
        <v>733</v>
      </c>
      <c r="B22" s="14">
        <v>0.25</v>
      </c>
      <c r="C22" s="14">
        <v>0.75</v>
      </c>
      <c r="D22" s="14">
        <v>1</v>
      </c>
    </row>
    <row r="23" spans="1:4" x14ac:dyDescent="0.45">
      <c r="A23" s="13" t="s">
        <v>727</v>
      </c>
      <c r="B23" s="14">
        <v>1</v>
      </c>
      <c r="C23" s="14">
        <v>0</v>
      </c>
      <c r="D23" s="14">
        <v>1</v>
      </c>
    </row>
    <row r="24" spans="1:4" x14ac:dyDescent="0.45">
      <c r="A24" s="13" t="s">
        <v>731</v>
      </c>
      <c r="B24" s="14">
        <v>0.8</v>
      </c>
      <c r="C24" s="14">
        <v>0.2</v>
      </c>
      <c r="D24" s="14">
        <v>1</v>
      </c>
    </row>
    <row r="25" spans="1:4" x14ac:dyDescent="0.45">
      <c r="A25" s="13" t="s">
        <v>732</v>
      </c>
      <c r="B25" s="14">
        <v>0.83333333333333337</v>
      </c>
      <c r="C25" s="14">
        <v>0.16666666666666666</v>
      </c>
      <c r="D25" s="14">
        <v>1</v>
      </c>
    </row>
    <row r="26" spans="1:4" x14ac:dyDescent="0.45">
      <c r="A26" s="13" t="s">
        <v>729</v>
      </c>
      <c r="B26" s="14">
        <v>0.5</v>
      </c>
      <c r="C26" s="14">
        <v>0.5</v>
      </c>
      <c r="D26" s="14">
        <v>1</v>
      </c>
    </row>
    <row r="27" spans="1:4" x14ac:dyDescent="0.45">
      <c r="A27" s="13" t="s">
        <v>730</v>
      </c>
      <c r="B27" s="14">
        <v>0.8571428571428571</v>
      </c>
      <c r="C27" s="14">
        <v>0.14285714285714285</v>
      </c>
      <c r="D27" s="14">
        <v>1</v>
      </c>
    </row>
    <row r="28" spans="1:4" x14ac:dyDescent="0.45">
      <c r="A28" s="13" t="s">
        <v>728</v>
      </c>
      <c r="B28" s="14">
        <v>1</v>
      </c>
      <c r="C28" s="14">
        <v>0</v>
      </c>
      <c r="D28" s="14">
        <v>1</v>
      </c>
    </row>
    <row r="29" spans="1:4" x14ac:dyDescent="0.45">
      <c r="A29" s="12" t="s">
        <v>657</v>
      </c>
      <c r="B29" s="14">
        <v>0.7592592592592593</v>
      </c>
      <c r="C29" s="14">
        <v>0.24074074074074073</v>
      </c>
      <c r="D29" s="14">
        <v>1</v>
      </c>
    </row>
    <row r="30" spans="1:4" x14ac:dyDescent="0.45">
      <c r="A30" s="13" t="s">
        <v>733</v>
      </c>
      <c r="B30" s="14">
        <v>0.8571428571428571</v>
      </c>
      <c r="C30" s="14">
        <v>0.14285714285714285</v>
      </c>
      <c r="D30" s="14">
        <v>1</v>
      </c>
    </row>
    <row r="31" spans="1:4" x14ac:dyDescent="0.45">
      <c r="A31" s="13" t="s">
        <v>727</v>
      </c>
      <c r="B31" s="14">
        <v>0.7</v>
      </c>
      <c r="C31" s="14">
        <v>0.3</v>
      </c>
      <c r="D31" s="14">
        <v>1</v>
      </c>
    </row>
    <row r="32" spans="1:4" x14ac:dyDescent="0.45">
      <c r="A32" s="13" t="s">
        <v>731</v>
      </c>
      <c r="B32" s="14">
        <v>0.66666666666666663</v>
      </c>
      <c r="C32" s="14">
        <v>0.33333333333333331</v>
      </c>
      <c r="D32" s="14">
        <v>1</v>
      </c>
    </row>
    <row r="33" spans="1:4" x14ac:dyDescent="0.45">
      <c r="A33" s="13" t="s">
        <v>732</v>
      </c>
      <c r="B33" s="14">
        <v>0.7</v>
      </c>
      <c r="C33" s="14">
        <v>0.3</v>
      </c>
      <c r="D33" s="14">
        <v>1</v>
      </c>
    </row>
    <row r="34" spans="1:4" x14ac:dyDescent="0.45">
      <c r="A34" s="13" t="s">
        <v>729</v>
      </c>
      <c r="B34" s="14">
        <v>0.66666666666666663</v>
      </c>
      <c r="C34" s="14">
        <v>0.33333333333333331</v>
      </c>
      <c r="D34" s="14">
        <v>1</v>
      </c>
    </row>
    <row r="35" spans="1:4" x14ac:dyDescent="0.45">
      <c r="A35" s="13" t="s">
        <v>730</v>
      </c>
      <c r="B35" s="14">
        <v>1</v>
      </c>
      <c r="C35" s="14">
        <v>0</v>
      </c>
      <c r="D35" s="14">
        <v>1</v>
      </c>
    </row>
    <row r="36" spans="1:4" x14ac:dyDescent="0.45">
      <c r="A36" s="13" t="s">
        <v>728</v>
      </c>
      <c r="B36" s="14">
        <v>0.83333333333333337</v>
      </c>
      <c r="C36" s="14">
        <v>0.16666666666666666</v>
      </c>
      <c r="D36" s="14">
        <v>1</v>
      </c>
    </row>
    <row r="37" spans="1:4" x14ac:dyDescent="0.45">
      <c r="A37" s="12" t="s">
        <v>656</v>
      </c>
      <c r="B37" s="14">
        <v>0.76470588235294112</v>
      </c>
      <c r="C37" s="14">
        <v>0.23529411764705882</v>
      </c>
      <c r="D37" s="14">
        <v>1</v>
      </c>
    </row>
    <row r="38" spans="1:4" x14ac:dyDescent="0.45">
      <c r="A38" s="13" t="s">
        <v>733</v>
      </c>
      <c r="B38" s="14">
        <v>0.55555555555555558</v>
      </c>
      <c r="C38" s="14">
        <v>0.44444444444444442</v>
      </c>
      <c r="D38" s="14">
        <v>1</v>
      </c>
    </row>
    <row r="39" spans="1:4" x14ac:dyDescent="0.45">
      <c r="A39" s="13" t="s">
        <v>727</v>
      </c>
      <c r="B39" s="14">
        <v>0.66666666666666663</v>
      </c>
      <c r="C39" s="14">
        <v>0.33333333333333331</v>
      </c>
      <c r="D39" s="14">
        <v>1</v>
      </c>
    </row>
    <row r="40" spans="1:4" x14ac:dyDescent="0.45">
      <c r="A40" s="13" t="s">
        <v>731</v>
      </c>
      <c r="B40" s="14">
        <v>0.7142857142857143</v>
      </c>
      <c r="C40" s="14">
        <v>0.2857142857142857</v>
      </c>
      <c r="D40" s="14">
        <v>1</v>
      </c>
    </row>
    <row r="41" spans="1:4" x14ac:dyDescent="0.45">
      <c r="A41" s="13" t="s">
        <v>732</v>
      </c>
      <c r="B41" s="14">
        <v>0.9</v>
      </c>
      <c r="C41" s="14">
        <v>0.1</v>
      </c>
      <c r="D41" s="14">
        <v>1</v>
      </c>
    </row>
    <row r="42" spans="1:4" x14ac:dyDescent="0.45">
      <c r="A42" s="13" t="s">
        <v>729</v>
      </c>
      <c r="B42" s="14">
        <v>0.75</v>
      </c>
      <c r="C42" s="14">
        <v>0.25</v>
      </c>
      <c r="D42" s="14">
        <v>1</v>
      </c>
    </row>
    <row r="43" spans="1:4" x14ac:dyDescent="0.45">
      <c r="A43" s="13" t="s">
        <v>730</v>
      </c>
      <c r="B43" s="14">
        <v>0.8571428571428571</v>
      </c>
      <c r="C43" s="14">
        <v>0.14285714285714285</v>
      </c>
      <c r="D43" s="14">
        <v>1</v>
      </c>
    </row>
    <row r="44" spans="1:4" x14ac:dyDescent="0.45">
      <c r="A44" s="13" t="s">
        <v>728</v>
      </c>
      <c r="B44" s="14">
        <v>0.875</v>
      </c>
      <c r="C44" s="14">
        <v>0.125</v>
      </c>
      <c r="D44" s="14">
        <v>1</v>
      </c>
    </row>
    <row r="45" spans="1:4" x14ac:dyDescent="0.45">
      <c r="A45" s="12" t="s">
        <v>654</v>
      </c>
      <c r="B45" s="14">
        <v>0.8</v>
      </c>
      <c r="C45" s="14">
        <v>0.2</v>
      </c>
      <c r="D45" s="14">
        <v>1</v>
      </c>
    </row>
    <row r="46" spans="1:4" x14ac:dyDescent="0.45">
      <c r="A46" s="13" t="s">
        <v>733</v>
      </c>
      <c r="B46" s="14">
        <v>0.7142857142857143</v>
      </c>
      <c r="C46" s="14">
        <v>0.2857142857142857</v>
      </c>
      <c r="D46" s="14">
        <v>1</v>
      </c>
    </row>
    <row r="47" spans="1:4" x14ac:dyDescent="0.45">
      <c r="A47" s="13" t="s">
        <v>727</v>
      </c>
      <c r="B47" s="14">
        <v>0.8</v>
      </c>
      <c r="C47" s="14">
        <v>0.2</v>
      </c>
      <c r="D47" s="14">
        <v>1</v>
      </c>
    </row>
    <row r="48" spans="1:4" x14ac:dyDescent="0.45">
      <c r="A48" s="13" t="s">
        <v>731</v>
      </c>
      <c r="B48" s="14">
        <v>0.88888888888888884</v>
      </c>
      <c r="C48" s="14">
        <v>0.1111111111111111</v>
      </c>
      <c r="D48" s="14">
        <v>1</v>
      </c>
    </row>
    <row r="49" spans="1:4" x14ac:dyDescent="0.45">
      <c r="A49" s="13" t="s">
        <v>732</v>
      </c>
      <c r="B49" s="14">
        <v>0.83333333333333337</v>
      </c>
      <c r="C49" s="14">
        <v>0.16666666666666666</v>
      </c>
      <c r="D49" s="14">
        <v>1</v>
      </c>
    </row>
    <row r="50" spans="1:4" x14ac:dyDescent="0.45">
      <c r="A50" s="13" t="s">
        <v>729</v>
      </c>
      <c r="B50" s="14">
        <v>0.8571428571428571</v>
      </c>
      <c r="C50" s="14">
        <v>0.14285714285714285</v>
      </c>
      <c r="D50" s="14">
        <v>1</v>
      </c>
    </row>
    <row r="51" spans="1:4" x14ac:dyDescent="0.45">
      <c r="A51" s="13" t="s">
        <v>730</v>
      </c>
      <c r="B51" s="14">
        <v>0.77777777777777779</v>
      </c>
      <c r="C51" s="14">
        <v>0.22222222222222221</v>
      </c>
      <c r="D51" s="14">
        <v>1</v>
      </c>
    </row>
    <row r="52" spans="1:4" x14ac:dyDescent="0.45">
      <c r="A52" s="13" t="s">
        <v>728</v>
      </c>
      <c r="B52" s="14">
        <v>0.66666666666666663</v>
      </c>
      <c r="C52" s="14">
        <v>0.33333333333333331</v>
      </c>
      <c r="D52" s="14">
        <v>1</v>
      </c>
    </row>
    <row r="53" spans="1:4" x14ac:dyDescent="0.45">
      <c r="A53" s="12" t="s">
        <v>652</v>
      </c>
      <c r="B53" s="14">
        <v>0.76271186440677963</v>
      </c>
      <c r="C53" s="14">
        <v>0.23728813559322035</v>
      </c>
      <c r="D53" s="14">
        <v>1</v>
      </c>
    </row>
    <row r="54" spans="1:4" x14ac:dyDescent="0.45">
      <c r="A54" s="13" t="s">
        <v>733</v>
      </c>
      <c r="B54" s="14">
        <v>0.8</v>
      </c>
      <c r="C54" s="14">
        <v>0.2</v>
      </c>
      <c r="D54" s="14">
        <v>1</v>
      </c>
    </row>
    <row r="55" spans="1:4" x14ac:dyDescent="0.45">
      <c r="A55" s="13" t="s">
        <v>727</v>
      </c>
      <c r="B55" s="14">
        <v>0.625</v>
      </c>
      <c r="C55" s="14">
        <v>0.375</v>
      </c>
      <c r="D55" s="14">
        <v>1</v>
      </c>
    </row>
    <row r="56" spans="1:4" x14ac:dyDescent="0.45">
      <c r="A56" s="13" t="s">
        <v>731</v>
      </c>
      <c r="B56" s="14">
        <v>0.5714285714285714</v>
      </c>
      <c r="C56" s="14">
        <v>0.42857142857142855</v>
      </c>
      <c r="D56" s="14">
        <v>1</v>
      </c>
    </row>
    <row r="57" spans="1:4" x14ac:dyDescent="0.45">
      <c r="A57" s="13" t="s">
        <v>732</v>
      </c>
      <c r="B57" s="14">
        <v>0.7142857142857143</v>
      </c>
      <c r="C57" s="14">
        <v>0.2857142857142857</v>
      </c>
      <c r="D57" s="14">
        <v>1</v>
      </c>
    </row>
    <row r="58" spans="1:4" x14ac:dyDescent="0.45">
      <c r="A58" s="13" t="s">
        <v>729</v>
      </c>
      <c r="B58" s="14">
        <v>0.91666666666666663</v>
      </c>
      <c r="C58" s="14">
        <v>8.3333333333333329E-2</v>
      </c>
      <c r="D58" s="14">
        <v>1</v>
      </c>
    </row>
    <row r="59" spans="1:4" x14ac:dyDescent="0.45">
      <c r="A59" s="13" t="s">
        <v>730</v>
      </c>
      <c r="B59" s="14">
        <v>0.90909090909090906</v>
      </c>
      <c r="C59" s="14">
        <v>9.0909090909090912E-2</v>
      </c>
      <c r="D59" s="14">
        <v>1</v>
      </c>
    </row>
    <row r="60" spans="1:4" x14ac:dyDescent="0.45">
      <c r="A60" s="13" t="s">
        <v>728</v>
      </c>
      <c r="B60" s="14">
        <v>0.66666666666666663</v>
      </c>
      <c r="C60" s="14">
        <v>0.33333333333333331</v>
      </c>
      <c r="D60" s="14">
        <v>1</v>
      </c>
    </row>
    <row r="61" spans="1:4" x14ac:dyDescent="0.45">
      <c r="A61" s="12" t="s">
        <v>650</v>
      </c>
      <c r="B61" s="14">
        <v>0.6964285714285714</v>
      </c>
      <c r="C61" s="14">
        <v>0.30357142857142855</v>
      </c>
      <c r="D61" s="14">
        <v>1</v>
      </c>
    </row>
    <row r="62" spans="1:4" x14ac:dyDescent="0.45">
      <c r="A62" s="13" t="s">
        <v>733</v>
      </c>
      <c r="B62" s="14">
        <v>0.6</v>
      </c>
      <c r="C62" s="14">
        <v>0.4</v>
      </c>
      <c r="D62" s="14">
        <v>1</v>
      </c>
    </row>
    <row r="63" spans="1:4" x14ac:dyDescent="0.45">
      <c r="A63" s="13" t="s">
        <v>727</v>
      </c>
      <c r="B63" s="14">
        <v>0.8</v>
      </c>
      <c r="C63" s="14">
        <v>0.2</v>
      </c>
      <c r="D63" s="14">
        <v>1</v>
      </c>
    </row>
    <row r="64" spans="1:4" x14ac:dyDescent="0.45">
      <c r="A64" s="13" t="s">
        <v>731</v>
      </c>
      <c r="B64" s="14">
        <v>0.3</v>
      </c>
      <c r="C64" s="14">
        <v>0.7</v>
      </c>
      <c r="D64" s="14">
        <v>1</v>
      </c>
    </row>
    <row r="65" spans="1:4" x14ac:dyDescent="0.45">
      <c r="A65" s="13" t="s">
        <v>732</v>
      </c>
      <c r="B65" s="14">
        <v>1</v>
      </c>
      <c r="C65" s="14">
        <v>0</v>
      </c>
      <c r="D65" s="14">
        <v>1</v>
      </c>
    </row>
    <row r="66" spans="1:4" x14ac:dyDescent="0.45">
      <c r="A66" s="13" t="s">
        <v>729</v>
      </c>
      <c r="B66" s="14">
        <v>0.66666666666666663</v>
      </c>
      <c r="C66" s="14">
        <v>0.33333333333333331</v>
      </c>
      <c r="D66" s="14">
        <v>1</v>
      </c>
    </row>
    <row r="67" spans="1:4" x14ac:dyDescent="0.45">
      <c r="A67" s="13" t="s">
        <v>730</v>
      </c>
      <c r="B67" s="14">
        <v>0.8666666666666667</v>
      </c>
      <c r="C67" s="14">
        <v>0.13333333333333333</v>
      </c>
      <c r="D67" s="14">
        <v>1</v>
      </c>
    </row>
    <row r="68" spans="1:4" x14ac:dyDescent="0.45">
      <c r="A68" s="13" t="s">
        <v>728</v>
      </c>
      <c r="B68" s="14">
        <v>0.875</v>
      </c>
      <c r="C68" s="14">
        <v>0.125</v>
      </c>
      <c r="D68" s="14">
        <v>1</v>
      </c>
    </row>
    <row r="69" spans="1:4" x14ac:dyDescent="0.45">
      <c r="A69" s="12" t="s">
        <v>651</v>
      </c>
      <c r="B69" s="14">
        <v>0.56818181818181823</v>
      </c>
      <c r="C69" s="14">
        <v>0.43181818181818182</v>
      </c>
      <c r="D69" s="14">
        <v>1</v>
      </c>
    </row>
    <row r="70" spans="1:4" x14ac:dyDescent="0.45">
      <c r="A70" s="13" t="s">
        <v>733</v>
      </c>
      <c r="B70" s="14">
        <v>0.53846153846153844</v>
      </c>
      <c r="C70" s="14">
        <v>0.46153846153846156</v>
      </c>
      <c r="D70" s="14">
        <v>1</v>
      </c>
    </row>
    <row r="71" spans="1:4" x14ac:dyDescent="0.45">
      <c r="A71" s="13" t="s">
        <v>727</v>
      </c>
      <c r="B71" s="14">
        <v>0.66666666666666663</v>
      </c>
      <c r="C71" s="14">
        <v>0.33333333333333331</v>
      </c>
      <c r="D71" s="14">
        <v>1</v>
      </c>
    </row>
    <row r="72" spans="1:4" x14ac:dyDescent="0.45">
      <c r="A72" s="13" t="s">
        <v>731</v>
      </c>
      <c r="B72" s="14">
        <v>0.5</v>
      </c>
      <c r="C72" s="14">
        <v>0.5</v>
      </c>
      <c r="D72" s="14">
        <v>1</v>
      </c>
    </row>
    <row r="73" spans="1:4" x14ac:dyDescent="0.45">
      <c r="A73" s="13" t="s">
        <v>732</v>
      </c>
      <c r="B73" s="14">
        <v>0.4</v>
      </c>
      <c r="C73" s="14">
        <v>0.6</v>
      </c>
      <c r="D73" s="14">
        <v>1</v>
      </c>
    </row>
    <row r="74" spans="1:4" x14ac:dyDescent="0.45">
      <c r="A74" s="13" t="s">
        <v>729</v>
      </c>
      <c r="B74" s="14">
        <v>0.5</v>
      </c>
      <c r="C74" s="14">
        <v>0.5</v>
      </c>
      <c r="D74" s="14">
        <v>1</v>
      </c>
    </row>
    <row r="75" spans="1:4" x14ac:dyDescent="0.45">
      <c r="A75" s="13" t="s">
        <v>730</v>
      </c>
      <c r="B75" s="14">
        <v>0.83333333333333337</v>
      </c>
      <c r="C75" s="14">
        <v>0.16666666666666666</v>
      </c>
      <c r="D75" s="14">
        <v>1</v>
      </c>
    </row>
    <row r="76" spans="1:4" x14ac:dyDescent="0.45">
      <c r="A76" s="13" t="s">
        <v>728</v>
      </c>
      <c r="B76" s="14">
        <v>0.5</v>
      </c>
      <c r="C76" s="14">
        <v>0.5</v>
      </c>
      <c r="D76" s="14">
        <v>1</v>
      </c>
    </row>
    <row r="77" spans="1:4" x14ac:dyDescent="0.45">
      <c r="A77" s="12" t="s">
        <v>661</v>
      </c>
      <c r="B77" s="14">
        <v>0.66666666666666663</v>
      </c>
      <c r="C77" s="14">
        <v>0.33333333333333331</v>
      </c>
      <c r="D77" s="14">
        <v>1</v>
      </c>
    </row>
    <row r="78" spans="1:4" x14ac:dyDescent="0.45">
      <c r="A78" s="13" t="s">
        <v>733</v>
      </c>
      <c r="B78" s="14">
        <v>0.5</v>
      </c>
      <c r="C78" s="14">
        <v>0.5</v>
      </c>
      <c r="D78" s="14">
        <v>1</v>
      </c>
    </row>
    <row r="79" spans="1:4" x14ac:dyDescent="0.45">
      <c r="A79" s="13" t="s">
        <v>727</v>
      </c>
      <c r="B79" s="14">
        <v>0.54545454545454541</v>
      </c>
      <c r="C79" s="14">
        <v>0.45454545454545453</v>
      </c>
      <c r="D79" s="14">
        <v>1</v>
      </c>
    </row>
    <row r="80" spans="1:4" x14ac:dyDescent="0.45">
      <c r="A80" s="13" t="s">
        <v>731</v>
      </c>
      <c r="B80" s="14">
        <v>0.7142857142857143</v>
      </c>
      <c r="C80" s="14">
        <v>0.2857142857142857</v>
      </c>
      <c r="D80" s="14">
        <v>1</v>
      </c>
    </row>
    <row r="81" spans="1:4" x14ac:dyDescent="0.45">
      <c r="A81" s="13" t="s">
        <v>732</v>
      </c>
      <c r="B81" s="14">
        <v>0.8571428571428571</v>
      </c>
      <c r="C81" s="14">
        <v>0.14285714285714285</v>
      </c>
      <c r="D81" s="14">
        <v>1</v>
      </c>
    </row>
    <row r="82" spans="1:4" x14ac:dyDescent="0.45">
      <c r="A82" s="13" t="s">
        <v>729</v>
      </c>
      <c r="B82" s="14">
        <v>0.7142857142857143</v>
      </c>
      <c r="C82" s="14">
        <v>0.2857142857142857</v>
      </c>
      <c r="D82" s="14">
        <v>1</v>
      </c>
    </row>
    <row r="83" spans="1:4" x14ac:dyDescent="0.45">
      <c r="A83" s="13" t="s">
        <v>730</v>
      </c>
      <c r="B83" s="14">
        <v>0.5</v>
      </c>
      <c r="C83" s="14">
        <v>0.5</v>
      </c>
      <c r="D83" s="14">
        <v>1</v>
      </c>
    </row>
    <row r="84" spans="1:4" x14ac:dyDescent="0.45">
      <c r="A84" s="13" t="s">
        <v>728</v>
      </c>
      <c r="B84" s="14">
        <v>0.8</v>
      </c>
      <c r="C84" s="14">
        <v>0.2</v>
      </c>
      <c r="D84" s="14">
        <v>1</v>
      </c>
    </row>
    <row r="85" spans="1:4" x14ac:dyDescent="0.45">
      <c r="A85" s="12" t="s">
        <v>658</v>
      </c>
      <c r="B85" s="14">
        <v>0.72222222222222221</v>
      </c>
      <c r="C85" s="14">
        <v>0.27777777777777779</v>
      </c>
      <c r="D85" s="14">
        <v>1</v>
      </c>
    </row>
    <row r="86" spans="1:4" x14ac:dyDescent="0.45">
      <c r="A86" s="13" t="s">
        <v>733</v>
      </c>
      <c r="B86" s="14">
        <v>0.875</v>
      </c>
      <c r="C86" s="14">
        <v>0.125</v>
      </c>
      <c r="D86" s="14">
        <v>1</v>
      </c>
    </row>
    <row r="87" spans="1:4" x14ac:dyDescent="0.45">
      <c r="A87" s="13" t="s">
        <v>727</v>
      </c>
      <c r="B87" s="14">
        <v>0.7142857142857143</v>
      </c>
      <c r="C87" s="14">
        <v>0.2857142857142857</v>
      </c>
      <c r="D87" s="14">
        <v>1</v>
      </c>
    </row>
    <row r="88" spans="1:4" x14ac:dyDescent="0.45">
      <c r="A88" s="13" t="s">
        <v>731</v>
      </c>
      <c r="B88" s="14">
        <v>0.55555555555555558</v>
      </c>
      <c r="C88" s="14">
        <v>0.44444444444444442</v>
      </c>
      <c r="D88" s="14">
        <v>1</v>
      </c>
    </row>
    <row r="89" spans="1:4" x14ac:dyDescent="0.45">
      <c r="A89" s="13" t="s">
        <v>732</v>
      </c>
      <c r="B89" s="14">
        <v>0.7142857142857143</v>
      </c>
      <c r="C89" s="14">
        <v>0.2857142857142857</v>
      </c>
      <c r="D89" s="14">
        <v>1</v>
      </c>
    </row>
    <row r="90" spans="1:4" x14ac:dyDescent="0.45">
      <c r="A90" s="13" t="s">
        <v>729</v>
      </c>
      <c r="B90" s="14">
        <v>0.77777777777777779</v>
      </c>
      <c r="C90" s="14">
        <v>0.22222222222222221</v>
      </c>
      <c r="D90" s="14">
        <v>1</v>
      </c>
    </row>
    <row r="91" spans="1:4" x14ac:dyDescent="0.45">
      <c r="A91" s="13" t="s">
        <v>730</v>
      </c>
      <c r="B91" s="14">
        <v>0.75</v>
      </c>
      <c r="C91" s="14">
        <v>0.25</v>
      </c>
      <c r="D91" s="14">
        <v>1</v>
      </c>
    </row>
    <row r="92" spans="1:4" x14ac:dyDescent="0.45">
      <c r="A92" s="13" t="s">
        <v>728</v>
      </c>
      <c r="B92" s="14">
        <v>0.7</v>
      </c>
      <c r="C92" s="14">
        <v>0.3</v>
      </c>
      <c r="D92" s="14">
        <v>1</v>
      </c>
    </row>
    <row r="93" spans="1:4" x14ac:dyDescent="0.45">
      <c r="A93" s="12" t="s">
        <v>660</v>
      </c>
      <c r="B93" s="14">
        <v>0.6470588235294118</v>
      </c>
      <c r="C93" s="14">
        <v>0.35294117647058826</v>
      </c>
      <c r="D93" s="14">
        <v>1</v>
      </c>
    </row>
    <row r="94" spans="1:4" x14ac:dyDescent="0.45">
      <c r="A94" s="13" t="s">
        <v>733</v>
      </c>
      <c r="B94" s="14">
        <v>0.5</v>
      </c>
      <c r="C94" s="14">
        <v>0.5</v>
      </c>
      <c r="D94" s="14">
        <v>1</v>
      </c>
    </row>
    <row r="95" spans="1:4" x14ac:dyDescent="0.45">
      <c r="A95" s="13" t="s">
        <v>727</v>
      </c>
      <c r="B95" s="14">
        <v>0.6</v>
      </c>
      <c r="C95" s="14">
        <v>0.4</v>
      </c>
      <c r="D95" s="14">
        <v>1</v>
      </c>
    </row>
    <row r="96" spans="1:4" x14ac:dyDescent="0.45">
      <c r="A96" s="13" t="s">
        <v>731</v>
      </c>
      <c r="B96" s="14">
        <v>0.8</v>
      </c>
      <c r="C96" s="14">
        <v>0.2</v>
      </c>
      <c r="D96" s="14">
        <v>1</v>
      </c>
    </row>
    <row r="97" spans="1:4" x14ac:dyDescent="0.45">
      <c r="A97" s="13" t="s">
        <v>732</v>
      </c>
      <c r="B97" s="14">
        <v>0.88888888888888884</v>
      </c>
      <c r="C97" s="14">
        <v>0.1111111111111111</v>
      </c>
      <c r="D97" s="14">
        <v>1</v>
      </c>
    </row>
    <row r="98" spans="1:4" x14ac:dyDescent="0.45">
      <c r="A98" s="13" t="s">
        <v>729</v>
      </c>
      <c r="B98" s="14">
        <v>0.5</v>
      </c>
      <c r="C98" s="14">
        <v>0.5</v>
      </c>
      <c r="D98" s="14">
        <v>1</v>
      </c>
    </row>
    <row r="99" spans="1:4" x14ac:dyDescent="0.45">
      <c r="A99" s="13" t="s">
        <v>730</v>
      </c>
      <c r="B99" s="14">
        <v>0.9</v>
      </c>
      <c r="C99" s="14">
        <v>0.1</v>
      </c>
      <c r="D99" s="14">
        <v>1</v>
      </c>
    </row>
    <row r="100" spans="1:4" x14ac:dyDescent="0.45">
      <c r="A100" s="13" t="s">
        <v>728</v>
      </c>
      <c r="B100" s="14">
        <v>0.25</v>
      </c>
      <c r="C100" s="14">
        <v>0.75</v>
      </c>
      <c r="D100" s="14">
        <v>1</v>
      </c>
    </row>
    <row r="101" spans="1:4" x14ac:dyDescent="0.45">
      <c r="A101" s="12" t="s">
        <v>1434</v>
      </c>
      <c r="B101" s="14">
        <v>0.72741679873217113</v>
      </c>
      <c r="C101" s="14">
        <v>0.27258320126782887</v>
      </c>
      <c r="D101" s="14">
        <v>1</v>
      </c>
    </row>
    <row r="102" spans="1:4" x14ac:dyDescent="0.45">
      <c r="A102"/>
    </row>
    <row r="103" spans="1:4" x14ac:dyDescent="0.45">
      <c r="A103"/>
    </row>
    <row r="104" spans="1:4" x14ac:dyDescent="0.45">
      <c r="A104"/>
    </row>
    <row r="105" spans="1:4" x14ac:dyDescent="0.45">
      <c r="A105"/>
    </row>
    <row r="106" spans="1:4" x14ac:dyDescent="0.45">
      <c r="A106"/>
    </row>
    <row r="107" spans="1:4" x14ac:dyDescent="0.45">
      <c r="A107"/>
    </row>
    <row r="108" spans="1:4" x14ac:dyDescent="0.45">
      <c r="A108"/>
    </row>
    <row r="109" spans="1:4" x14ac:dyDescent="0.45">
      <c r="A109"/>
    </row>
    <row r="110" spans="1:4" x14ac:dyDescent="0.45">
      <c r="A110"/>
    </row>
    <row r="111" spans="1:4" x14ac:dyDescent="0.45">
      <c r="A111"/>
    </row>
    <row r="112" spans="1:4"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row r="671" spans="1:1" x14ac:dyDescent="0.45">
      <c r="A671"/>
    </row>
    <row r="672" spans="1:1" x14ac:dyDescent="0.45">
      <c r="A672"/>
    </row>
    <row r="673" spans="1:1" x14ac:dyDescent="0.45">
      <c r="A673"/>
    </row>
    <row r="674" spans="1:1" x14ac:dyDescent="0.45">
      <c r="A674"/>
    </row>
    <row r="675" spans="1:1" x14ac:dyDescent="0.45">
      <c r="A675"/>
    </row>
    <row r="676" spans="1:1" x14ac:dyDescent="0.45">
      <c r="A676"/>
    </row>
    <row r="677" spans="1:1" x14ac:dyDescent="0.45">
      <c r="A677"/>
    </row>
    <row r="678" spans="1:1" x14ac:dyDescent="0.45">
      <c r="A678"/>
    </row>
    <row r="679" spans="1:1" x14ac:dyDescent="0.45">
      <c r="A679"/>
    </row>
    <row r="680" spans="1:1" x14ac:dyDescent="0.45">
      <c r="A680"/>
    </row>
    <row r="681" spans="1:1" x14ac:dyDescent="0.45">
      <c r="A681"/>
    </row>
    <row r="682" spans="1:1" x14ac:dyDescent="0.45">
      <c r="A682"/>
    </row>
    <row r="683" spans="1:1" x14ac:dyDescent="0.45">
      <c r="A683"/>
    </row>
    <row r="684" spans="1:1" x14ac:dyDescent="0.45">
      <c r="A684"/>
    </row>
    <row r="685" spans="1:1" x14ac:dyDescent="0.45">
      <c r="A685"/>
    </row>
    <row r="686" spans="1:1" x14ac:dyDescent="0.45">
      <c r="A686"/>
    </row>
    <row r="687" spans="1:1" x14ac:dyDescent="0.45">
      <c r="A687"/>
    </row>
    <row r="688" spans="1:1" x14ac:dyDescent="0.45">
      <c r="A688"/>
    </row>
    <row r="689" spans="1:1" x14ac:dyDescent="0.45">
      <c r="A689"/>
    </row>
    <row r="690" spans="1:1" x14ac:dyDescent="0.45">
      <c r="A690"/>
    </row>
    <row r="691" spans="1:1" x14ac:dyDescent="0.45">
      <c r="A691"/>
    </row>
    <row r="692" spans="1:1" x14ac:dyDescent="0.45">
      <c r="A692"/>
    </row>
    <row r="693" spans="1:1" x14ac:dyDescent="0.45">
      <c r="A693"/>
    </row>
    <row r="694" spans="1:1" x14ac:dyDescent="0.45">
      <c r="A694"/>
    </row>
    <row r="695" spans="1:1" x14ac:dyDescent="0.45">
      <c r="A695"/>
    </row>
    <row r="696" spans="1:1" x14ac:dyDescent="0.45">
      <c r="A696"/>
    </row>
    <row r="697" spans="1:1" x14ac:dyDescent="0.45">
      <c r="A697"/>
    </row>
    <row r="698" spans="1:1" x14ac:dyDescent="0.45">
      <c r="A698"/>
    </row>
    <row r="699" spans="1:1" x14ac:dyDescent="0.45">
      <c r="A699"/>
    </row>
    <row r="700" spans="1:1" x14ac:dyDescent="0.45">
      <c r="A700"/>
    </row>
    <row r="701" spans="1:1" x14ac:dyDescent="0.45">
      <c r="A701"/>
    </row>
    <row r="702" spans="1:1" x14ac:dyDescent="0.45">
      <c r="A702"/>
    </row>
    <row r="703" spans="1:1" x14ac:dyDescent="0.45">
      <c r="A703"/>
    </row>
    <row r="704" spans="1:1" x14ac:dyDescent="0.45">
      <c r="A704"/>
    </row>
    <row r="705" spans="1:1" x14ac:dyDescent="0.45">
      <c r="A705"/>
    </row>
    <row r="706" spans="1:1" x14ac:dyDescent="0.45">
      <c r="A706"/>
    </row>
    <row r="707" spans="1:1" x14ac:dyDescent="0.45">
      <c r="A707"/>
    </row>
    <row r="708" spans="1:1" x14ac:dyDescent="0.45">
      <c r="A708"/>
    </row>
    <row r="709" spans="1:1" x14ac:dyDescent="0.45">
      <c r="A709"/>
    </row>
    <row r="710" spans="1:1" x14ac:dyDescent="0.45">
      <c r="A710"/>
    </row>
    <row r="711" spans="1:1" x14ac:dyDescent="0.45">
      <c r="A711"/>
    </row>
    <row r="712" spans="1:1" x14ac:dyDescent="0.45">
      <c r="A712"/>
    </row>
    <row r="713" spans="1:1" x14ac:dyDescent="0.45">
      <c r="A713"/>
    </row>
    <row r="714" spans="1:1" x14ac:dyDescent="0.45">
      <c r="A714"/>
    </row>
    <row r="715" spans="1:1" x14ac:dyDescent="0.45">
      <c r="A715"/>
    </row>
    <row r="716" spans="1:1" x14ac:dyDescent="0.45">
      <c r="A716"/>
    </row>
    <row r="717" spans="1:1" x14ac:dyDescent="0.45">
      <c r="A717"/>
    </row>
    <row r="718" spans="1:1" x14ac:dyDescent="0.45">
      <c r="A718"/>
    </row>
    <row r="719" spans="1:1" x14ac:dyDescent="0.45">
      <c r="A719"/>
    </row>
    <row r="720" spans="1:1" x14ac:dyDescent="0.45">
      <c r="A720"/>
    </row>
    <row r="721" spans="1:1" x14ac:dyDescent="0.45">
      <c r="A721"/>
    </row>
    <row r="722" spans="1:1" x14ac:dyDescent="0.45">
      <c r="A722"/>
    </row>
    <row r="723" spans="1:1" x14ac:dyDescent="0.45">
      <c r="A723"/>
    </row>
    <row r="724" spans="1:1" x14ac:dyDescent="0.45">
      <c r="A724"/>
    </row>
    <row r="725" spans="1:1" x14ac:dyDescent="0.45">
      <c r="A725"/>
    </row>
    <row r="726" spans="1:1" x14ac:dyDescent="0.45">
      <c r="A726"/>
    </row>
    <row r="727" spans="1:1" x14ac:dyDescent="0.45">
      <c r="A727"/>
    </row>
    <row r="728" spans="1:1" x14ac:dyDescent="0.45">
      <c r="A728"/>
    </row>
    <row r="729" spans="1:1" x14ac:dyDescent="0.45">
      <c r="A729"/>
    </row>
    <row r="730" spans="1:1" x14ac:dyDescent="0.45">
      <c r="A730"/>
    </row>
    <row r="731" spans="1:1" x14ac:dyDescent="0.45">
      <c r="A731"/>
    </row>
    <row r="732" spans="1:1" x14ac:dyDescent="0.45">
      <c r="A732"/>
    </row>
    <row r="733" spans="1:1" x14ac:dyDescent="0.45">
      <c r="A733"/>
    </row>
    <row r="734" spans="1:1" x14ac:dyDescent="0.45">
      <c r="A734"/>
    </row>
    <row r="735" spans="1:1" x14ac:dyDescent="0.45">
      <c r="A73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F8BD-F5CD-4E23-8E4F-B1F212AF5FD0}">
  <dimension ref="A2:D97"/>
  <sheetViews>
    <sheetView tabSelected="1" topLeftCell="A33" workbookViewId="0">
      <selection activeCell="Q39" sqref="Q39"/>
    </sheetView>
  </sheetViews>
  <sheetFormatPr defaultRowHeight="14.25" x14ac:dyDescent="0.45"/>
  <cols>
    <col min="1" max="1" width="12.33203125" bestFit="1" customWidth="1"/>
    <col min="2" max="2" width="19.265625" bestFit="1" customWidth="1"/>
    <col min="3" max="3" width="20.33203125" bestFit="1" customWidth="1"/>
    <col min="4" max="4" width="25.265625" bestFit="1" customWidth="1"/>
  </cols>
  <sheetData>
    <row r="2" spans="1:4" x14ac:dyDescent="0.45">
      <c r="A2" s="11" t="s">
        <v>1433</v>
      </c>
      <c r="B2" t="s">
        <v>1442</v>
      </c>
      <c r="C2" t="s">
        <v>1488</v>
      </c>
      <c r="D2" t="s">
        <v>1490</v>
      </c>
    </row>
    <row r="3" spans="1:4" x14ac:dyDescent="0.45">
      <c r="A3" s="12" t="s">
        <v>646</v>
      </c>
      <c r="B3" s="32">
        <v>145</v>
      </c>
      <c r="C3" s="32">
        <v>22</v>
      </c>
      <c r="D3" s="14">
        <v>1.7696629213483146</v>
      </c>
    </row>
    <row r="4" spans="1:4" x14ac:dyDescent="0.45">
      <c r="A4" s="13" t="s">
        <v>726</v>
      </c>
      <c r="B4" s="32">
        <v>10</v>
      </c>
      <c r="C4" s="32">
        <v>2</v>
      </c>
      <c r="D4" s="27">
        <v>7.0786516853932584</v>
      </c>
    </row>
    <row r="5" spans="1:4" x14ac:dyDescent="0.45">
      <c r="A5" s="13" t="s">
        <v>712</v>
      </c>
      <c r="B5" s="32">
        <v>8</v>
      </c>
      <c r="C5" s="32">
        <v>2</v>
      </c>
      <c r="D5" s="27">
        <v>7.0786516853932584</v>
      </c>
    </row>
    <row r="6" spans="1:4" x14ac:dyDescent="0.45">
      <c r="A6" s="13" t="s">
        <v>724</v>
      </c>
      <c r="B6" s="32">
        <v>16</v>
      </c>
      <c r="C6" s="32">
        <v>5</v>
      </c>
      <c r="D6" s="27">
        <v>4.4241573033707864</v>
      </c>
    </row>
    <row r="7" spans="1:4" x14ac:dyDescent="0.45">
      <c r="A7" s="13" t="s">
        <v>1440</v>
      </c>
      <c r="B7" s="32">
        <v>2</v>
      </c>
      <c r="C7" s="32">
        <v>1</v>
      </c>
      <c r="D7" s="27">
        <v>3.5393258426966292</v>
      </c>
    </row>
    <row r="8" spans="1:4" x14ac:dyDescent="0.45">
      <c r="A8" s="13" t="s">
        <v>722</v>
      </c>
      <c r="B8" s="32">
        <v>7</v>
      </c>
      <c r="C8" s="32">
        <v>1</v>
      </c>
      <c r="D8" s="27">
        <v>3.5393258426966292</v>
      </c>
    </row>
    <row r="9" spans="1:4" x14ac:dyDescent="0.45">
      <c r="A9" s="13" t="s">
        <v>713</v>
      </c>
      <c r="B9" s="32">
        <v>12</v>
      </c>
      <c r="C9" s="32">
        <v>3</v>
      </c>
      <c r="D9" s="27">
        <v>2.654494382022472</v>
      </c>
    </row>
    <row r="10" spans="1:4" x14ac:dyDescent="0.45">
      <c r="A10" s="13" t="s">
        <v>716</v>
      </c>
      <c r="B10" s="32">
        <v>10</v>
      </c>
      <c r="C10" s="32">
        <v>2</v>
      </c>
      <c r="D10" s="27">
        <v>2.3595505617977528</v>
      </c>
    </row>
    <row r="11" spans="1:4" x14ac:dyDescent="0.45">
      <c r="A11" s="13" t="s">
        <v>718</v>
      </c>
      <c r="B11" s="32">
        <v>5</v>
      </c>
      <c r="C11" s="32">
        <v>1</v>
      </c>
      <c r="D11" s="14">
        <v>1.7696629213483146</v>
      </c>
    </row>
    <row r="12" spans="1:4" x14ac:dyDescent="0.45">
      <c r="A12" s="13" t="s">
        <v>720</v>
      </c>
      <c r="B12" s="32">
        <v>16</v>
      </c>
      <c r="C12" s="32">
        <v>3</v>
      </c>
      <c r="D12" s="14">
        <v>1.7696629213483146</v>
      </c>
    </row>
    <row r="13" spans="1:4" x14ac:dyDescent="0.45">
      <c r="A13" s="13" t="s">
        <v>714</v>
      </c>
      <c r="B13" s="32">
        <v>8</v>
      </c>
      <c r="C13" s="32">
        <v>2</v>
      </c>
      <c r="D13" s="14">
        <v>1.4157303370786518</v>
      </c>
    </row>
    <row r="14" spans="1:4" x14ac:dyDescent="0.45">
      <c r="A14" s="13" t="s">
        <v>721</v>
      </c>
      <c r="B14" s="32">
        <v>13</v>
      </c>
      <c r="C14" s="32">
        <v>0</v>
      </c>
      <c r="D14" s="14">
        <v>0</v>
      </c>
    </row>
    <row r="15" spans="1:4" x14ac:dyDescent="0.45">
      <c r="A15" s="13" t="s">
        <v>719</v>
      </c>
      <c r="B15" s="32">
        <v>9</v>
      </c>
      <c r="C15" s="32">
        <v>0</v>
      </c>
      <c r="D15" s="14">
        <v>0</v>
      </c>
    </row>
    <row r="16" spans="1:4" x14ac:dyDescent="0.45">
      <c r="A16" s="13" t="s">
        <v>715</v>
      </c>
      <c r="B16" s="32">
        <v>3</v>
      </c>
      <c r="C16" s="32">
        <v>0</v>
      </c>
      <c r="D16" s="14">
        <v>0</v>
      </c>
    </row>
    <row r="17" spans="1:4" x14ac:dyDescent="0.45">
      <c r="A17" s="13" t="s">
        <v>723</v>
      </c>
      <c r="B17" s="32">
        <v>14</v>
      </c>
      <c r="C17" s="32">
        <v>0</v>
      </c>
      <c r="D17" s="14">
        <v>0</v>
      </c>
    </row>
    <row r="18" spans="1:4" x14ac:dyDescent="0.45">
      <c r="A18" s="13" t="s">
        <v>725</v>
      </c>
      <c r="B18" s="32">
        <v>4</v>
      </c>
      <c r="C18" s="32">
        <v>0</v>
      </c>
      <c r="D18" s="14">
        <v>0</v>
      </c>
    </row>
    <row r="19" spans="1:4" x14ac:dyDescent="0.45">
      <c r="A19" s="13" t="s">
        <v>717</v>
      </c>
      <c r="B19" s="32">
        <v>8</v>
      </c>
      <c r="C19" s="32">
        <v>0</v>
      </c>
      <c r="D19" s="14">
        <v>0</v>
      </c>
    </row>
    <row r="20" spans="1:4" x14ac:dyDescent="0.45">
      <c r="A20" s="12" t="s">
        <v>648</v>
      </c>
      <c r="B20" s="32">
        <v>157</v>
      </c>
      <c r="C20" s="32">
        <v>27</v>
      </c>
      <c r="D20" s="14">
        <v>0.90152639389442446</v>
      </c>
    </row>
    <row r="21" spans="1:4" x14ac:dyDescent="0.45">
      <c r="A21" s="13" t="s">
        <v>726</v>
      </c>
      <c r="B21" s="32">
        <v>8</v>
      </c>
      <c r="C21" s="32">
        <v>4</v>
      </c>
      <c r="D21" s="27">
        <v>2.8314606741573036</v>
      </c>
    </row>
    <row r="22" spans="1:4" x14ac:dyDescent="0.45">
      <c r="A22" s="13" t="s">
        <v>714</v>
      </c>
      <c r="B22" s="32">
        <v>14</v>
      </c>
      <c r="C22" s="32">
        <v>5</v>
      </c>
      <c r="D22" s="27">
        <v>2.2120786516853932</v>
      </c>
    </row>
    <row r="23" spans="1:4" x14ac:dyDescent="0.45">
      <c r="A23" s="13" t="s">
        <v>720</v>
      </c>
      <c r="B23" s="32">
        <v>10</v>
      </c>
      <c r="C23" s="32">
        <v>5</v>
      </c>
      <c r="D23" s="27">
        <v>2.2120786516853932</v>
      </c>
    </row>
    <row r="24" spans="1:4" x14ac:dyDescent="0.45">
      <c r="A24" s="13" t="s">
        <v>716</v>
      </c>
      <c r="B24" s="32">
        <v>12</v>
      </c>
      <c r="C24" s="32">
        <v>3</v>
      </c>
      <c r="D24" s="27">
        <v>1.327247191011236</v>
      </c>
    </row>
    <row r="25" spans="1:4" x14ac:dyDescent="0.45">
      <c r="A25" s="13" t="s">
        <v>1440</v>
      </c>
      <c r="B25" s="32">
        <v>3</v>
      </c>
      <c r="C25" s="32">
        <v>1</v>
      </c>
      <c r="D25" s="27">
        <v>1.1797752808988764</v>
      </c>
    </row>
    <row r="26" spans="1:4" x14ac:dyDescent="0.45">
      <c r="A26" s="13" t="s">
        <v>724</v>
      </c>
      <c r="B26" s="32">
        <v>12</v>
      </c>
      <c r="C26" s="32">
        <v>2</v>
      </c>
      <c r="D26" s="27">
        <v>1.0112359550561798</v>
      </c>
    </row>
    <row r="27" spans="1:4" x14ac:dyDescent="0.45">
      <c r="A27" s="13" t="s">
        <v>715</v>
      </c>
      <c r="B27" s="32">
        <v>8</v>
      </c>
      <c r="C27" s="32">
        <v>1</v>
      </c>
      <c r="D27" s="14">
        <v>0.8848314606741573</v>
      </c>
    </row>
    <row r="28" spans="1:4" x14ac:dyDescent="0.45">
      <c r="A28" s="13" t="s">
        <v>725</v>
      </c>
      <c r="B28" s="32">
        <v>7</v>
      </c>
      <c r="C28" s="32">
        <v>1</v>
      </c>
      <c r="D28" s="14">
        <v>0.70786516853932591</v>
      </c>
    </row>
    <row r="29" spans="1:4" x14ac:dyDescent="0.45">
      <c r="A29" s="13" t="s">
        <v>712</v>
      </c>
      <c r="B29" s="32">
        <v>14</v>
      </c>
      <c r="C29" s="32">
        <v>2</v>
      </c>
      <c r="D29" s="14">
        <v>0.64351378958120531</v>
      </c>
    </row>
    <row r="30" spans="1:4" x14ac:dyDescent="0.45">
      <c r="A30" s="13" t="s">
        <v>717</v>
      </c>
      <c r="B30" s="32">
        <v>8</v>
      </c>
      <c r="C30" s="32">
        <v>1</v>
      </c>
      <c r="D30" s="14">
        <v>0.5056179775280899</v>
      </c>
    </row>
    <row r="31" spans="1:4" x14ac:dyDescent="0.45">
      <c r="A31" s="13" t="s">
        <v>723</v>
      </c>
      <c r="B31" s="32">
        <v>10</v>
      </c>
      <c r="C31" s="32">
        <v>1</v>
      </c>
      <c r="D31" s="14">
        <v>0.44241573033707865</v>
      </c>
    </row>
    <row r="32" spans="1:4" x14ac:dyDescent="0.45">
      <c r="A32" s="13" t="s">
        <v>721</v>
      </c>
      <c r="B32" s="32">
        <v>15</v>
      </c>
      <c r="C32" s="32">
        <v>1</v>
      </c>
      <c r="D32" s="14">
        <v>0.2949438202247191</v>
      </c>
    </row>
    <row r="33" spans="1:4" x14ac:dyDescent="0.45">
      <c r="A33" s="13" t="s">
        <v>719</v>
      </c>
      <c r="B33" s="32">
        <v>12</v>
      </c>
      <c r="C33" s="32">
        <v>0</v>
      </c>
      <c r="D33" s="14">
        <v>0</v>
      </c>
    </row>
    <row r="34" spans="1:4" x14ac:dyDescent="0.45">
      <c r="A34" s="13" t="s">
        <v>713</v>
      </c>
      <c r="B34" s="32">
        <v>10</v>
      </c>
      <c r="C34" s="32">
        <v>0</v>
      </c>
      <c r="D34" s="14">
        <v>0</v>
      </c>
    </row>
    <row r="35" spans="1:4" x14ac:dyDescent="0.45">
      <c r="A35" s="13" t="s">
        <v>718</v>
      </c>
      <c r="B35" s="32">
        <v>5</v>
      </c>
      <c r="C35" s="32">
        <v>0</v>
      </c>
      <c r="D35" s="14">
        <v>0</v>
      </c>
    </row>
    <row r="36" spans="1:4" x14ac:dyDescent="0.45">
      <c r="A36" s="13" t="s">
        <v>722</v>
      </c>
      <c r="B36" s="32">
        <v>9</v>
      </c>
      <c r="C36" s="32">
        <v>0</v>
      </c>
      <c r="D36" s="14">
        <v>0</v>
      </c>
    </row>
    <row r="37" spans="1:4" x14ac:dyDescent="0.45">
      <c r="A37" s="12" t="s">
        <v>647</v>
      </c>
      <c r="B37" s="32">
        <v>170</v>
      </c>
      <c r="C37" s="32">
        <v>23</v>
      </c>
      <c r="D37" s="14">
        <v>0.73337382326146372</v>
      </c>
    </row>
    <row r="38" spans="1:4" x14ac:dyDescent="0.45">
      <c r="A38" s="13" t="s">
        <v>719</v>
      </c>
      <c r="B38" s="32">
        <v>8</v>
      </c>
      <c r="C38" s="32">
        <v>4</v>
      </c>
      <c r="D38" s="27">
        <v>2.0224719101123596</v>
      </c>
    </row>
    <row r="39" spans="1:4" x14ac:dyDescent="0.45">
      <c r="A39" s="13" t="s">
        <v>721</v>
      </c>
      <c r="B39" s="32">
        <v>12</v>
      </c>
      <c r="C39" s="32">
        <v>3</v>
      </c>
      <c r="D39" s="27">
        <v>1.7696629213483146</v>
      </c>
    </row>
    <row r="40" spans="1:4" x14ac:dyDescent="0.45">
      <c r="A40" s="13" t="s">
        <v>712</v>
      </c>
      <c r="B40" s="32">
        <v>10</v>
      </c>
      <c r="C40" s="32">
        <v>3</v>
      </c>
      <c r="D40" s="27">
        <v>1.327247191011236</v>
      </c>
    </row>
    <row r="41" spans="1:4" x14ac:dyDescent="0.45">
      <c r="A41" s="13" t="s">
        <v>725</v>
      </c>
      <c r="B41" s="32">
        <v>10</v>
      </c>
      <c r="C41" s="32">
        <v>1</v>
      </c>
      <c r="D41" s="27">
        <v>1.1797752808988764</v>
      </c>
    </row>
    <row r="42" spans="1:4" x14ac:dyDescent="0.45">
      <c r="A42" s="13" t="s">
        <v>716</v>
      </c>
      <c r="B42" s="32">
        <v>14</v>
      </c>
      <c r="C42" s="32">
        <v>3</v>
      </c>
      <c r="D42" s="27">
        <v>1.0617977528089888</v>
      </c>
    </row>
    <row r="43" spans="1:4" x14ac:dyDescent="0.45">
      <c r="A43" s="13" t="s">
        <v>714</v>
      </c>
      <c r="B43" s="32">
        <v>8</v>
      </c>
      <c r="C43" s="32">
        <v>1</v>
      </c>
      <c r="D43" s="27">
        <v>0.8848314606741573</v>
      </c>
    </row>
    <row r="44" spans="1:4" x14ac:dyDescent="0.45">
      <c r="A44" s="13" t="s">
        <v>722</v>
      </c>
      <c r="B44" s="32">
        <v>16</v>
      </c>
      <c r="C44" s="32">
        <v>2</v>
      </c>
      <c r="D44" s="27">
        <v>0.8848314606741573</v>
      </c>
    </row>
    <row r="45" spans="1:4" x14ac:dyDescent="0.45">
      <c r="A45" s="13" t="s">
        <v>726</v>
      </c>
      <c r="B45" s="32">
        <v>9</v>
      </c>
      <c r="C45" s="32">
        <v>1</v>
      </c>
      <c r="D45" s="14">
        <v>0.70786516853932591</v>
      </c>
    </row>
    <row r="46" spans="1:4" x14ac:dyDescent="0.45">
      <c r="A46" s="13" t="s">
        <v>723</v>
      </c>
      <c r="B46" s="32">
        <v>7</v>
      </c>
      <c r="C46" s="32">
        <v>1</v>
      </c>
      <c r="D46" s="14">
        <v>0.5898876404494382</v>
      </c>
    </row>
    <row r="47" spans="1:4" x14ac:dyDescent="0.45">
      <c r="A47" s="13" t="s">
        <v>713</v>
      </c>
      <c r="B47" s="32">
        <v>19</v>
      </c>
      <c r="C47" s="32">
        <v>2</v>
      </c>
      <c r="D47" s="14">
        <v>0.47191011235955055</v>
      </c>
    </row>
    <row r="48" spans="1:4" x14ac:dyDescent="0.45">
      <c r="A48" s="13" t="s">
        <v>715</v>
      </c>
      <c r="B48" s="32">
        <v>11</v>
      </c>
      <c r="C48" s="32">
        <v>1</v>
      </c>
      <c r="D48" s="14">
        <v>0.44241573033707865</v>
      </c>
    </row>
    <row r="49" spans="1:4" x14ac:dyDescent="0.45">
      <c r="A49" s="13" t="s">
        <v>717</v>
      </c>
      <c r="B49" s="32">
        <v>16</v>
      </c>
      <c r="C49" s="32">
        <v>1</v>
      </c>
      <c r="D49" s="14">
        <v>0.3932584269662921</v>
      </c>
    </row>
    <row r="50" spans="1:4" x14ac:dyDescent="0.45">
      <c r="A50" s="13" t="s">
        <v>724</v>
      </c>
      <c r="B50" s="32">
        <v>10</v>
      </c>
      <c r="C50" s="32">
        <v>0</v>
      </c>
      <c r="D50" s="14">
        <v>0</v>
      </c>
    </row>
    <row r="51" spans="1:4" x14ac:dyDescent="0.45">
      <c r="A51" s="13" t="s">
        <v>720</v>
      </c>
      <c r="B51" s="32">
        <v>10</v>
      </c>
      <c r="C51" s="32">
        <v>0</v>
      </c>
      <c r="D51" s="14">
        <v>0</v>
      </c>
    </row>
    <row r="52" spans="1:4" x14ac:dyDescent="0.45">
      <c r="A52" s="13" t="s">
        <v>718</v>
      </c>
      <c r="B52" s="32">
        <v>8</v>
      </c>
      <c r="C52" s="32">
        <v>0</v>
      </c>
      <c r="D52" s="14">
        <v>0</v>
      </c>
    </row>
    <row r="53" spans="1:4" x14ac:dyDescent="0.45">
      <c r="A53" s="13" t="s">
        <v>1440</v>
      </c>
      <c r="B53" s="32">
        <v>2</v>
      </c>
      <c r="C53" s="32">
        <v>0</v>
      </c>
      <c r="D53" s="14">
        <v>0</v>
      </c>
    </row>
    <row r="54" spans="1:4" x14ac:dyDescent="0.45">
      <c r="A54" s="12" t="s">
        <v>649</v>
      </c>
      <c r="B54" s="32">
        <v>159</v>
      </c>
      <c r="C54" s="32">
        <v>17</v>
      </c>
      <c r="D54" s="14">
        <v>1.1142322097378277</v>
      </c>
    </row>
    <row r="55" spans="1:4" x14ac:dyDescent="0.45">
      <c r="A55" s="13" t="s">
        <v>712</v>
      </c>
      <c r="B55" s="32">
        <v>5</v>
      </c>
      <c r="C55" s="32">
        <v>1</v>
      </c>
      <c r="D55" s="27">
        <v>3.5393258426966292</v>
      </c>
    </row>
    <row r="56" spans="1:4" x14ac:dyDescent="0.45">
      <c r="A56" s="13" t="s">
        <v>718</v>
      </c>
      <c r="B56" s="32">
        <v>16</v>
      </c>
      <c r="C56" s="32">
        <v>2</v>
      </c>
      <c r="D56" s="27">
        <v>1.7696629213483146</v>
      </c>
    </row>
    <row r="57" spans="1:4" x14ac:dyDescent="0.45">
      <c r="A57" s="13" t="s">
        <v>720</v>
      </c>
      <c r="B57" s="32">
        <v>10</v>
      </c>
      <c r="C57" s="32">
        <v>1</v>
      </c>
      <c r="D57" s="27">
        <v>1.7696629213483146</v>
      </c>
    </row>
    <row r="58" spans="1:4" x14ac:dyDescent="0.45">
      <c r="A58" s="13" t="s">
        <v>717</v>
      </c>
      <c r="B58" s="32">
        <v>15</v>
      </c>
      <c r="C58" s="32">
        <v>2</v>
      </c>
      <c r="D58" s="27">
        <v>1.7696629213483146</v>
      </c>
    </row>
    <row r="59" spans="1:4" x14ac:dyDescent="0.45">
      <c r="A59" s="13" t="s">
        <v>715</v>
      </c>
      <c r="B59" s="32">
        <v>8</v>
      </c>
      <c r="C59" s="32">
        <v>1</v>
      </c>
      <c r="D59" s="27">
        <v>1.7696629213483146</v>
      </c>
    </row>
    <row r="60" spans="1:4" x14ac:dyDescent="0.45">
      <c r="A60" s="13" t="s">
        <v>725</v>
      </c>
      <c r="B60" s="32">
        <v>11</v>
      </c>
      <c r="C60" s="32">
        <v>3</v>
      </c>
      <c r="D60" s="27">
        <v>1.5168539325842696</v>
      </c>
    </row>
    <row r="61" spans="1:4" x14ac:dyDescent="0.45">
      <c r="A61" s="13" t="s">
        <v>723</v>
      </c>
      <c r="B61" s="32">
        <v>13</v>
      </c>
      <c r="C61" s="32">
        <v>2</v>
      </c>
      <c r="D61" s="27">
        <v>1.1797752808988764</v>
      </c>
    </row>
    <row r="62" spans="1:4" x14ac:dyDescent="0.45">
      <c r="A62" s="13" t="s">
        <v>724</v>
      </c>
      <c r="B62" s="32">
        <v>10</v>
      </c>
      <c r="C62" s="32">
        <v>1</v>
      </c>
      <c r="D62" s="27">
        <v>1.1797752808988764</v>
      </c>
    </row>
    <row r="63" spans="1:4" x14ac:dyDescent="0.45">
      <c r="A63" s="13" t="s">
        <v>714</v>
      </c>
      <c r="B63" s="32">
        <v>8</v>
      </c>
      <c r="C63" s="32">
        <v>1</v>
      </c>
      <c r="D63" s="27">
        <v>1.1797752808988764</v>
      </c>
    </row>
    <row r="64" spans="1:4" x14ac:dyDescent="0.45">
      <c r="A64" s="13" t="s">
        <v>713</v>
      </c>
      <c r="B64" s="32">
        <v>9</v>
      </c>
      <c r="C64" s="32">
        <v>1</v>
      </c>
      <c r="D64" s="14">
        <v>0.8848314606741573</v>
      </c>
    </row>
    <row r="65" spans="1:4" x14ac:dyDescent="0.45">
      <c r="A65" s="13" t="s">
        <v>722</v>
      </c>
      <c r="B65" s="32">
        <v>13</v>
      </c>
      <c r="C65" s="32">
        <v>1</v>
      </c>
      <c r="D65" s="14">
        <v>0.8848314606741573</v>
      </c>
    </row>
    <row r="66" spans="1:4" x14ac:dyDescent="0.45">
      <c r="A66" s="13" t="s">
        <v>726</v>
      </c>
      <c r="B66" s="32">
        <v>11</v>
      </c>
      <c r="C66" s="32">
        <v>1</v>
      </c>
      <c r="D66" s="14">
        <v>0.5056179775280899</v>
      </c>
    </row>
    <row r="67" spans="1:4" x14ac:dyDescent="0.45">
      <c r="A67" s="13" t="s">
        <v>1440</v>
      </c>
      <c r="B67" s="32">
        <v>1</v>
      </c>
      <c r="C67" s="32">
        <v>0</v>
      </c>
      <c r="D67" s="14">
        <v>0</v>
      </c>
    </row>
    <row r="68" spans="1:4" x14ac:dyDescent="0.45">
      <c r="A68" s="13" t="s">
        <v>719</v>
      </c>
      <c r="B68" s="32">
        <v>8</v>
      </c>
      <c r="C68" s="32">
        <v>0</v>
      </c>
      <c r="D68" s="14">
        <v>0</v>
      </c>
    </row>
    <row r="69" spans="1:4" x14ac:dyDescent="0.45">
      <c r="A69" s="13" t="s">
        <v>721</v>
      </c>
      <c r="B69" s="32">
        <v>11</v>
      </c>
      <c r="C69" s="32">
        <v>0</v>
      </c>
      <c r="D69" s="14">
        <v>0</v>
      </c>
    </row>
    <row r="70" spans="1:4" x14ac:dyDescent="0.45">
      <c r="A70" s="13" t="s">
        <v>716</v>
      </c>
      <c r="B70" s="32">
        <v>10</v>
      </c>
      <c r="C70" s="32">
        <v>0</v>
      </c>
      <c r="D70" s="14">
        <v>0</v>
      </c>
    </row>
    <row r="71" spans="1:4" x14ac:dyDescent="0.45">
      <c r="A71" s="12" t="s">
        <v>1434</v>
      </c>
      <c r="B71" s="32">
        <v>631</v>
      </c>
      <c r="C71" s="32">
        <v>89</v>
      </c>
      <c r="D71" s="14">
        <v>1</v>
      </c>
    </row>
    <row r="80" spans="1:4" x14ac:dyDescent="0.45">
      <c r="A80" s="11" t="s">
        <v>1433</v>
      </c>
      <c r="B80" t="s">
        <v>1443</v>
      </c>
      <c r="C80" t="s">
        <v>1447</v>
      </c>
    </row>
    <row r="81" spans="1:3" x14ac:dyDescent="0.45">
      <c r="A81" s="12" t="s">
        <v>720</v>
      </c>
      <c r="B81" s="8">
        <v>1001397.02</v>
      </c>
      <c r="C81" s="14">
        <v>8.0390976762434133E-2</v>
      </c>
    </row>
    <row r="82" spans="1:3" x14ac:dyDescent="0.45">
      <c r="A82" s="12" t="s">
        <v>717</v>
      </c>
      <c r="B82" s="8">
        <v>962924.38999999978</v>
      </c>
      <c r="C82" s="14">
        <v>7.7302439206850287E-2</v>
      </c>
    </row>
    <row r="83" spans="1:3" x14ac:dyDescent="0.45">
      <c r="A83" s="12" t="s">
        <v>712</v>
      </c>
      <c r="B83" s="8">
        <v>818316.14</v>
      </c>
      <c r="C83" s="14">
        <v>6.5693458719364675E-2</v>
      </c>
    </row>
    <row r="84" spans="1:3" x14ac:dyDescent="0.45">
      <c r="A84" s="12" t="s">
        <v>726</v>
      </c>
      <c r="B84" s="8">
        <v>645084.43999999983</v>
      </c>
      <c r="C84" s="14">
        <v>5.1786621280186976E-2</v>
      </c>
    </row>
    <row r="85" spans="1:3" x14ac:dyDescent="0.45">
      <c r="A85" s="12" t="s">
        <v>718</v>
      </c>
      <c r="B85" s="8">
        <v>605057.20000000007</v>
      </c>
      <c r="C85" s="14">
        <v>4.8573281459478944E-2</v>
      </c>
    </row>
    <row r="86" spans="1:3" x14ac:dyDescent="0.45">
      <c r="A86" s="12" t="s">
        <v>721</v>
      </c>
      <c r="B86" s="8">
        <v>900169.83999999985</v>
      </c>
      <c r="C86" s="14">
        <v>7.2264577629444146E-2</v>
      </c>
    </row>
    <row r="87" spans="1:3" x14ac:dyDescent="0.45">
      <c r="A87" s="12" t="s">
        <v>715</v>
      </c>
      <c r="B87" s="8">
        <v>571314.68000000005</v>
      </c>
      <c r="C87" s="14">
        <v>4.5864471579831041E-2</v>
      </c>
    </row>
    <row r="88" spans="1:3" x14ac:dyDescent="0.45">
      <c r="A88" s="12" t="s">
        <v>722</v>
      </c>
      <c r="B88" s="8">
        <v>824251.17</v>
      </c>
      <c r="C88" s="14">
        <v>6.6169915957887654E-2</v>
      </c>
    </row>
    <row r="89" spans="1:3" x14ac:dyDescent="0.45">
      <c r="A89" s="12" t="s">
        <v>714</v>
      </c>
      <c r="B89" s="8">
        <v>626077.70000000007</v>
      </c>
      <c r="C89" s="14">
        <v>5.0260782513790798E-2</v>
      </c>
    </row>
    <row r="90" spans="1:3" x14ac:dyDescent="0.45">
      <c r="A90" s="12" t="s">
        <v>713</v>
      </c>
      <c r="B90" s="8">
        <v>928770.27999999991</v>
      </c>
      <c r="C90" s="14">
        <v>7.4560587365358283E-2</v>
      </c>
    </row>
    <row r="91" spans="1:3" x14ac:dyDescent="0.45">
      <c r="A91" s="12" t="s">
        <v>723</v>
      </c>
      <c r="B91" s="8">
        <v>1018930.3800000002</v>
      </c>
      <c r="C91" s="14">
        <v>8.1798534312712654E-2</v>
      </c>
    </row>
    <row r="92" spans="1:3" x14ac:dyDescent="0.45">
      <c r="A92" s="12" t="s">
        <v>716</v>
      </c>
      <c r="B92" s="8">
        <v>955289.38</v>
      </c>
      <c r="C92" s="14">
        <v>7.6689509570320183E-2</v>
      </c>
    </row>
    <row r="93" spans="1:3" x14ac:dyDescent="0.45">
      <c r="A93" s="12" t="s">
        <v>724</v>
      </c>
      <c r="B93" s="8">
        <v>1107970.3999999999</v>
      </c>
      <c r="C93" s="14">
        <v>8.8946562553046976E-2</v>
      </c>
    </row>
    <row r="94" spans="1:3" x14ac:dyDescent="0.45">
      <c r="A94" s="12" t="s">
        <v>725</v>
      </c>
      <c r="B94" s="8">
        <v>435773.7699999999</v>
      </c>
      <c r="C94" s="14">
        <v>3.4983406499200793E-2</v>
      </c>
    </row>
    <row r="95" spans="1:3" x14ac:dyDescent="0.45">
      <c r="A95" s="12" t="s">
        <v>719</v>
      </c>
      <c r="B95" s="8">
        <v>758241.6100000001</v>
      </c>
      <c r="C95" s="14">
        <v>6.0870746000243392E-2</v>
      </c>
    </row>
    <row r="96" spans="1:3" x14ac:dyDescent="0.45">
      <c r="A96" s="12" t="s">
        <v>1440</v>
      </c>
      <c r="B96" s="8">
        <v>297016.40999999997</v>
      </c>
      <c r="C96" s="14">
        <v>2.3844128589849016E-2</v>
      </c>
    </row>
    <row r="97" spans="1:3" x14ac:dyDescent="0.45">
      <c r="A97" s="12" t="s">
        <v>1434</v>
      </c>
      <c r="B97" s="8">
        <v>12456584.810000001</v>
      </c>
      <c r="C97" s="14">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CBDE-6E81-4837-BC34-1E6880D199BA}">
  <dimension ref="A2:EE9"/>
  <sheetViews>
    <sheetView workbookViewId="0">
      <selection activeCell="D11" sqref="D11"/>
    </sheetView>
  </sheetViews>
  <sheetFormatPr defaultRowHeight="14.25" x14ac:dyDescent="0.45"/>
  <cols>
    <col min="1" max="1" width="12.33203125" bestFit="1" customWidth="1"/>
    <col min="2" max="2" width="19.265625" bestFit="1" customWidth="1"/>
    <col min="3" max="3" width="20.33203125" bestFit="1" customWidth="1"/>
    <col min="4" max="4" width="19.265625" bestFit="1" customWidth="1"/>
    <col min="5" max="5" width="20.33203125" bestFit="1" customWidth="1"/>
    <col min="6" max="6" width="19.265625" bestFit="1" customWidth="1"/>
    <col min="7" max="7" width="20.33203125" bestFit="1" customWidth="1"/>
    <col min="8" max="8" width="19.265625" bestFit="1" customWidth="1"/>
    <col min="9" max="9" width="20.33203125" bestFit="1" customWidth="1"/>
    <col min="10" max="10" width="19.265625" bestFit="1" customWidth="1"/>
    <col min="11" max="11" width="20.33203125" bestFit="1" customWidth="1"/>
    <col min="12" max="12" width="19.265625" bestFit="1" customWidth="1"/>
    <col min="13" max="13" width="20.33203125" bestFit="1" customWidth="1"/>
    <col min="14" max="14" width="19.265625" bestFit="1" customWidth="1"/>
    <col min="15" max="15" width="20.33203125" bestFit="1" customWidth="1"/>
    <col min="16" max="16" width="19.265625" bestFit="1" customWidth="1"/>
    <col min="17" max="17" width="20.33203125" bestFit="1" customWidth="1"/>
    <col min="18" max="18" width="19.265625" bestFit="1" customWidth="1"/>
    <col min="19" max="19" width="20.33203125" bestFit="1" customWidth="1"/>
    <col min="20" max="20" width="19.265625" bestFit="1" customWidth="1"/>
    <col min="21" max="21" width="20.33203125" bestFit="1" customWidth="1"/>
    <col min="22" max="22" width="19.265625" bestFit="1" customWidth="1"/>
    <col min="23" max="23" width="20.33203125" bestFit="1" customWidth="1"/>
    <col min="24" max="24" width="19.265625" bestFit="1" customWidth="1"/>
    <col min="25" max="25" width="20.33203125" bestFit="1" customWidth="1"/>
    <col min="26" max="26" width="19.265625" bestFit="1" customWidth="1"/>
    <col min="27" max="27" width="20.33203125" bestFit="1" customWidth="1"/>
    <col min="28" max="28" width="19.265625" bestFit="1" customWidth="1"/>
    <col min="29" max="29" width="20.33203125" bestFit="1" customWidth="1"/>
    <col min="30" max="30" width="19.265625" bestFit="1" customWidth="1"/>
    <col min="31" max="31" width="20.33203125" bestFit="1" customWidth="1"/>
    <col min="32" max="32" width="19.265625" bestFit="1" customWidth="1"/>
    <col min="33" max="33" width="20.33203125" bestFit="1" customWidth="1"/>
    <col min="34" max="34" width="19.265625" bestFit="1" customWidth="1"/>
    <col min="35" max="35" width="20.33203125" bestFit="1" customWidth="1"/>
    <col min="36" max="36" width="19.265625" bestFit="1" customWidth="1"/>
    <col min="37" max="37" width="20.33203125" bestFit="1" customWidth="1"/>
    <col min="38" max="38" width="19.265625" bestFit="1" customWidth="1"/>
    <col min="39" max="39" width="20.33203125" bestFit="1" customWidth="1"/>
    <col min="40" max="40" width="19.265625" bestFit="1" customWidth="1"/>
    <col min="41" max="41" width="20.33203125" bestFit="1" customWidth="1"/>
    <col min="42" max="42" width="19.265625" bestFit="1" customWidth="1"/>
    <col min="43" max="43" width="20.33203125" bestFit="1" customWidth="1"/>
    <col min="44" max="44" width="19.265625" bestFit="1" customWidth="1"/>
    <col min="45" max="45" width="20.33203125" bestFit="1" customWidth="1"/>
    <col min="46" max="46" width="19.265625" bestFit="1" customWidth="1"/>
    <col min="47" max="47" width="20.33203125" bestFit="1" customWidth="1"/>
    <col min="48" max="48" width="19.265625" bestFit="1" customWidth="1"/>
    <col min="49" max="49" width="20.33203125" bestFit="1" customWidth="1"/>
    <col min="50" max="50" width="19.265625" bestFit="1" customWidth="1"/>
    <col min="51" max="51" width="20.33203125" bestFit="1" customWidth="1"/>
    <col min="52" max="52" width="19.265625" bestFit="1" customWidth="1"/>
    <col min="53" max="53" width="20.33203125" bestFit="1" customWidth="1"/>
    <col min="54" max="54" width="19.265625" bestFit="1" customWidth="1"/>
    <col min="55" max="55" width="20.33203125" bestFit="1" customWidth="1"/>
    <col min="56" max="56" width="19.265625" bestFit="1" customWidth="1"/>
    <col min="57" max="57" width="20.33203125" bestFit="1" customWidth="1"/>
    <col min="58" max="58" width="19.265625" bestFit="1" customWidth="1"/>
    <col min="59" max="59" width="20.33203125" bestFit="1" customWidth="1"/>
    <col min="60" max="60" width="19.265625" bestFit="1" customWidth="1"/>
    <col min="61" max="61" width="20.33203125" bestFit="1" customWidth="1"/>
    <col min="62" max="62" width="19.265625" bestFit="1" customWidth="1"/>
    <col min="63" max="63" width="20.33203125" bestFit="1" customWidth="1"/>
    <col min="64" max="64" width="19.265625" bestFit="1" customWidth="1"/>
    <col min="65" max="65" width="20.33203125" bestFit="1" customWidth="1"/>
    <col min="66" max="66" width="19.265625" bestFit="1" customWidth="1"/>
    <col min="67" max="67" width="20.33203125" bestFit="1" customWidth="1"/>
    <col min="68" max="68" width="19.265625" bestFit="1" customWidth="1"/>
    <col min="69" max="69" width="20.33203125" bestFit="1" customWidth="1"/>
    <col min="70" max="70" width="19.265625" bestFit="1" customWidth="1"/>
    <col min="71" max="71" width="20.33203125" bestFit="1" customWidth="1"/>
    <col min="72" max="72" width="19.265625" bestFit="1" customWidth="1"/>
    <col min="73" max="73" width="20.33203125" bestFit="1" customWidth="1"/>
    <col min="74" max="74" width="19.265625" bestFit="1" customWidth="1"/>
    <col min="75" max="75" width="20.33203125" bestFit="1" customWidth="1"/>
    <col min="76" max="76" width="19.265625" bestFit="1" customWidth="1"/>
    <col min="77" max="77" width="20.33203125" bestFit="1" customWidth="1"/>
    <col min="78" max="78" width="19.265625" bestFit="1" customWidth="1"/>
    <col min="79" max="79" width="20.33203125" bestFit="1" customWidth="1"/>
    <col min="80" max="80" width="19.265625" bestFit="1" customWidth="1"/>
    <col min="81" max="81" width="20.33203125" bestFit="1" customWidth="1"/>
    <col min="82" max="82" width="19.265625" bestFit="1" customWidth="1"/>
    <col min="83" max="83" width="20.33203125" bestFit="1" customWidth="1"/>
    <col min="84" max="84" width="19.265625" bestFit="1" customWidth="1"/>
    <col min="85" max="85" width="20.33203125" bestFit="1" customWidth="1"/>
    <col min="86" max="86" width="19.265625" bestFit="1" customWidth="1"/>
    <col min="87" max="87" width="20.33203125" bestFit="1" customWidth="1"/>
    <col min="88" max="88" width="19.265625" bestFit="1" customWidth="1"/>
    <col min="89" max="89" width="20.33203125" bestFit="1" customWidth="1"/>
    <col min="90" max="90" width="19.265625" bestFit="1" customWidth="1"/>
    <col min="91" max="91" width="20.33203125" bestFit="1" customWidth="1"/>
    <col min="92" max="92" width="19.265625" bestFit="1" customWidth="1"/>
    <col min="93" max="93" width="20.33203125" bestFit="1" customWidth="1"/>
    <col min="94" max="94" width="19.265625" bestFit="1" customWidth="1"/>
    <col min="95" max="95" width="20.33203125" bestFit="1" customWidth="1"/>
    <col min="96" max="96" width="19.265625" bestFit="1" customWidth="1"/>
    <col min="97" max="97" width="20.33203125" bestFit="1" customWidth="1"/>
    <col min="98" max="98" width="19.265625" bestFit="1" customWidth="1"/>
    <col min="99" max="99" width="20.33203125" bestFit="1" customWidth="1"/>
    <col min="100" max="100" width="19.265625" bestFit="1" customWidth="1"/>
    <col min="101" max="101" width="20.33203125" bestFit="1" customWidth="1"/>
    <col min="102" max="102" width="19.265625" bestFit="1" customWidth="1"/>
    <col min="103" max="103" width="20.33203125" bestFit="1" customWidth="1"/>
    <col min="104" max="104" width="19.265625" bestFit="1" customWidth="1"/>
    <col min="105" max="105" width="20.33203125" bestFit="1" customWidth="1"/>
    <col min="106" max="106" width="19.265625" bestFit="1" customWidth="1"/>
    <col min="107" max="107" width="20.33203125" bestFit="1" customWidth="1"/>
    <col min="108" max="108" width="19.265625" bestFit="1" customWidth="1"/>
    <col min="109" max="109" width="20.33203125" bestFit="1" customWidth="1"/>
    <col min="110" max="110" width="19.265625" bestFit="1" customWidth="1"/>
    <col min="111" max="111" width="20.33203125" bestFit="1" customWidth="1"/>
    <col min="112" max="112" width="19.265625" bestFit="1" customWidth="1"/>
    <col min="113" max="113" width="20.33203125" bestFit="1" customWidth="1"/>
    <col min="114" max="114" width="19.265625" bestFit="1" customWidth="1"/>
    <col min="115" max="115" width="20.33203125" bestFit="1" customWidth="1"/>
    <col min="116" max="116" width="19.265625" bestFit="1" customWidth="1"/>
    <col min="117" max="117" width="20.33203125" bestFit="1" customWidth="1"/>
    <col min="118" max="118" width="19.265625" bestFit="1" customWidth="1"/>
    <col min="119" max="119" width="20.33203125" bestFit="1" customWidth="1"/>
    <col min="120" max="120" width="19.265625" bestFit="1" customWidth="1"/>
    <col min="121" max="121" width="20.33203125" bestFit="1" customWidth="1"/>
    <col min="122" max="122" width="19.265625" bestFit="1" customWidth="1"/>
    <col min="123" max="123" width="20.33203125" bestFit="1" customWidth="1"/>
    <col min="124" max="124" width="19.265625" bestFit="1" customWidth="1"/>
    <col min="125" max="125" width="20.33203125" bestFit="1" customWidth="1"/>
    <col min="126" max="126" width="19.265625" bestFit="1" customWidth="1"/>
    <col min="127" max="127" width="20.33203125" bestFit="1" customWidth="1"/>
    <col min="128" max="128" width="19.265625" bestFit="1" customWidth="1"/>
    <col min="129" max="129" width="20.33203125" bestFit="1" customWidth="1"/>
    <col min="130" max="130" width="19.265625" bestFit="1" customWidth="1"/>
    <col min="131" max="131" width="20.33203125" bestFit="1" customWidth="1"/>
    <col min="132" max="132" width="19.265625" bestFit="1" customWidth="1"/>
    <col min="133" max="133" width="20.33203125" bestFit="1" customWidth="1"/>
    <col min="134" max="134" width="24.06640625" bestFit="1" customWidth="1"/>
    <col min="135" max="135" width="25" bestFit="1" customWidth="1"/>
  </cols>
  <sheetData>
    <row r="2" spans="1:135" x14ac:dyDescent="0.45">
      <c r="B2" s="11" t="s">
        <v>1444</v>
      </c>
    </row>
    <row r="3" spans="1:135" x14ac:dyDescent="0.45">
      <c r="B3" s="6">
        <v>0</v>
      </c>
      <c r="D3" s="6">
        <v>1</v>
      </c>
      <c r="F3" s="6">
        <v>2</v>
      </c>
      <c r="H3" s="6">
        <v>3</v>
      </c>
      <c r="J3" s="6">
        <v>4</v>
      </c>
      <c r="L3" s="6">
        <v>5</v>
      </c>
      <c r="N3" s="6">
        <v>6</v>
      </c>
      <c r="P3" s="6">
        <v>7</v>
      </c>
      <c r="R3" s="6">
        <v>8</v>
      </c>
      <c r="T3" s="6">
        <v>9</v>
      </c>
      <c r="V3" s="6">
        <v>10</v>
      </c>
      <c r="X3" s="6">
        <v>11</v>
      </c>
      <c r="Z3" s="6">
        <v>12</v>
      </c>
      <c r="AB3" s="6">
        <v>13</v>
      </c>
      <c r="AD3" s="6">
        <v>14</v>
      </c>
      <c r="AF3" s="6">
        <v>15</v>
      </c>
      <c r="AH3" s="6">
        <v>16</v>
      </c>
      <c r="AJ3" s="6">
        <v>17</v>
      </c>
      <c r="AL3" s="6">
        <v>18</v>
      </c>
      <c r="AN3" s="6">
        <v>19</v>
      </c>
      <c r="AP3" s="6">
        <v>20</v>
      </c>
      <c r="AR3" s="6">
        <v>21</v>
      </c>
      <c r="AT3" s="6">
        <v>22</v>
      </c>
      <c r="AV3" s="6">
        <v>23</v>
      </c>
      <c r="AX3" s="6">
        <v>24</v>
      </c>
      <c r="AZ3" s="6">
        <v>25</v>
      </c>
      <c r="BB3" s="6">
        <v>26</v>
      </c>
      <c r="BD3" s="6">
        <v>27</v>
      </c>
      <c r="BF3" s="6">
        <v>28</v>
      </c>
      <c r="BH3" s="6">
        <v>29</v>
      </c>
      <c r="BJ3" s="6">
        <v>30</v>
      </c>
      <c r="BL3" s="6">
        <v>31</v>
      </c>
      <c r="BN3" s="6">
        <v>32</v>
      </c>
      <c r="BP3" s="6">
        <v>0</v>
      </c>
      <c r="BR3" s="6">
        <v>1</v>
      </c>
      <c r="BT3" s="6">
        <v>2</v>
      </c>
      <c r="BV3" s="6">
        <v>3</v>
      </c>
      <c r="BX3" s="6">
        <v>4</v>
      </c>
      <c r="BZ3" s="6">
        <v>5</v>
      </c>
      <c r="CB3" s="6">
        <v>6</v>
      </c>
      <c r="CD3" s="6">
        <v>7</v>
      </c>
      <c r="CF3" s="6">
        <v>8</v>
      </c>
      <c r="CH3" s="6">
        <v>9</v>
      </c>
      <c r="CJ3" s="6">
        <v>10</v>
      </c>
      <c r="CL3" s="6">
        <v>11</v>
      </c>
      <c r="CN3" s="6">
        <v>12</v>
      </c>
      <c r="CP3" s="6">
        <v>13</v>
      </c>
      <c r="CR3" s="6">
        <v>14</v>
      </c>
      <c r="CT3" s="6">
        <v>15</v>
      </c>
      <c r="CV3" s="6">
        <v>16</v>
      </c>
      <c r="CX3" s="6">
        <v>17</v>
      </c>
      <c r="CZ3" s="6">
        <v>18</v>
      </c>
      <c r="DB3" s="6">
        <v>19</v>
      </c>
      <c r="DD3" s="6">
        <v>20</v>
      </c>
      <c r="DF3" s="6">
        <v>21</v>
      </c>
      <c r="DH3" s="6">
        <v>22</v>
      </c>
      <c r="DJ3" s="6">
        <v>23</v>
      </c>
      <c r="DL3" s="6">
        <v>24</v>
      </c>
      <c r="DN3" s="6">
        <v>25</v>
      </c>
      <c r="DP3" s="6">
        <v>26</v>
      </c>
      <c r="DR3" s="6">
        <v>27</v>
      </c>
      <c r="DT3" s="6">
        <v>28</v>
      </c>
      <c r="DV3" s="6">
        <v>29</v>
      </c>
      <c r="DX3" s="6">
        <v>30</v>
      </c>
      <c r="DZ3" s="6">
        <v>31</v>
      </c>
      <c r="EB3" s="6">
        <v>32</v>
      </c>
      <c r="ED3" s="6" t="s">
        <v>1445</v>
      </c>
      <c r="EE3" s="6" t="s">
        <v>1446</v>
      </c>
    </row>
    <row r="4" spans="1:135" x14ac:dyDescent="0.45">
      <c r="A4" s="11" t="s">
        <v>1433</v>
      </c>
      <c r="B4" t="s">
        <v>1443</v>
      </c>
      <c r="C4" t="s">
        <v>1447</v>
      </c>
      <c r="D4" t="s">
        <v>1443</v>
      </c>
      <c r="E4" t="s">
        <v>1447</v>
      </c>
      <c r="F4" t="s">
        <v>1443</v>
      </c>
      <c r="G4" t="s">
        <v>1447</v>
      </c>
      <c r="H4" t="s">
        <v>1443</v>
      </c>
      <c r="I4" t="s">
        <v>1447</v>
      </c>
      <c r="J4" t="s">
        <v>1443</v>
      </c>
      <c r="K4" t="s">
        <v>1447</v>
      </c>
      <c r="L4" t="s">
        <v>1443</v>
      </c>
      <c r="M4" t="s">
        <v>1447</v>
      </c>
      <c r="N4" t="s">
        <v>1443</v>
      </c>
      <c r="O4" t="s">
        <v>1447</v>
      </c>
      <c r="P4" t="s">
        <v>1443</v>
      </c>
      <c r="Q4" t="s">
        <v>1447</v>
      </c>
      <c r="R4" t="s">
        <v>1443</v>
      </c>
      <c r="S4" t="s">
        <v>1447</v>
      </c>
      <c r="T4" t="s">
        <v>1443</v>
      </c>
      <c r="U4" t="s">
        <v>1447</v>
      </c>
      <c r="V4" t="s">
        <v>1443</v>
      </c>
      <c r="W4" t="s">
        <v>1447</v>
      </c>
      <c r="X4" t="s">
        <v>1443</v>
      </c>
      <c r="Y4" t="s">
        <v>1447</v>
      </c>
      <c r="Z4" t="s">
        <v>1443</v>
      </c>
      <c r="AA4" t="s">
        <v>1447</v>
      </c>
      <c r="AB4" t="s">
        <v>1443</v>
      </c>
      <c r="AC4" t="s">
        <v>1447</v>
      </c>
      <c r="AD4" t="s">
        <v>1443</v>
      </c>
      <c r="AE4" t="s">
        <v>1447</v>
      </c>
      <c r="AF4" t="s">
        <v>1443</v>
      </c>
      <c r="AG4" t="s">
        <v>1447</v>
      </c>
      <c r="AH4" t="s">
        <v>1443</v>
      </c>
      <c r="AI4" t="s">
        <v>1447</v>
      </c>
      <c r="AJ4" t="s">
        <v>1443</v>
      </c>
      <c r="AK4" t="s">
        <v>1447</v>
      </c>
      <c r="AL4" t="s">
        <v>1443</v>
      </c>
      <c r="AM4" t="s">
        <v>1447</v>
      </c>
      <c r="AN4" t="s">
        <v>1443</v>
      </c>
      <c r="AO4" t="s">
        <v>1447</v>
      </c>
      <c r="AP4" t="s">
        <v>1443</v>
      </c>
      <c r="AQ4" t="s">
        <v>1447</v>
      </c>
      <c r="AR4" t="s">
        <v>1443</v>
      </c>
      <c r="AS4" t="s">
        <v>1447</v>
      </c>
      <c r="AT4" t="s">
        <v>1443</v>
      </c>
      <c r="AU4" t="s">
        <v>1447</v>
      </c>
      <c r="AV4" t="s">
        <v>1443</v>
      </c>
      <c r="AW4" t="s">
        <v>1447</v>
      </c>
      <c r="AX4" t="s">
        <v>1443</v>
      </c>
      <c r="AY4" t="s">
        <v>1447</v>
      </c>
      <c r="AZ4" t="s">
        <v>1443</v>
      </c>
      <c r="BA4" t="s">
        <v>1447</v>
      </c>
      <c r="BB4" t="s">
        <v>1443</v>
      </c>
      <c r="BC4" t="s">
        <v>1447</v>
      </c>
      <c r="BD4" t="s">
        <v>1443</v>
      </c>
      <c r="BE4" t="s">
        <v>1447</v>
      </c>
      <c r="BF4" t="s">
        <v>1443</v>
      </c>
      <c r="BG4" t="s">
        <v>1447</v>
      </c>
      <c r="BH4" t="s">
        <v>1443</v>
      </c>
      <c r="BI4" t="s">
        <v>1447</v>
      </c>
      <c r="BJ4" t="s">
        <v>1443</v>
      </c>
      <c r="BK4" t="s">
        <v>1447</v>
      </c>
      <c r="BL4" t="s">
        <v>1443</v>
      </c>
      <c r="BM4" t="s">
        <v>1447</v>
      </c>
      <c r="BN4" t="s">
        <v>1443</v>
      </c>
      <c r="BO4" t="s">
        <v>1447</v>
      </c>
      <c r="BP4" t="s">
        <v>1443</v>
      </c>
      <c r="BQ4" t="s">
        <v>1447</v>
      </c>
      <c r="BR4" t="s">
        <v>1443</v>
      </c>
      <c r="BS4" t="s">
        <v>1447</v>
      </c>
      <c r="BT4" t="s">
        <v>1443</v>
      </c>
      <c r="BU4" t="s">
        <v>1447</v>
      </c>
      <c r="BV4" t="s">
        <v>1443</v>
      </c>
      <c r="BW4" t="s">
        <v>1447</v>
      </c>
      <c r="BX4" t="s">
        <v>1443</v>
      </c>
      <c r="BY4" t="s">
        <v>1447</v>
      </c>
      <c r="BZ4" t="s">
        <v>1443</v>
      </c>
      <c r="CA4" t="s">
        <v>1447</v>
      </c>
      <c r="CB4" t="s">
        <v>1443</v>
      </c>
      <c r="CC4" t="s">
        <v>1447</v>
      </c>
      <c r="CD4" t="s">
        <v>1443</v>
      </c>
      <c r="CE4" t="s">
        <v>1447</v>
      </c>
      <c r="CF4" t="s">
        <v>1443</v>
      </c>
      <c r="CG4" t="s">
        <v>1447</v>
      </c>
      <c r="CH4" t="s">
        <v>1443</v>
      </c>
      <c r="CI4" t="s">
        <v>1447</v>
      </c>
      <c r="CJ4" t="s">
        <v>1443</v>
      </c>
      <c r="CK4" t="s">
        <v>1447</v>
      </c>
      <c r="CL4" t="s">
        <v>1443</v>
      </c>
      <c r="CM4" t="s">
        <v>1447</v>
      </c>
      <c r="CN4" t="s">
        <v>1443</v>
      </c>
      <c r="CO4" t="s">
        <v>1447</v>
      </c>
      <c r="CP4" t="s">
        <v>1443</v>
      </c>
      <c r="CQ4" t="s">
        <v>1447</v>
      </c>
      <c r="CR4" t="s">
        <v>1443</v>
      </c>
      <c r="CS4" t="s">
        <v>1447</v>
      </c>
      <c r="CT4" t="s">
        <v>1443</v>
      </c>
      <c r="CU4" t="s">
        <v>1447</v>
      </c>
      <c r="CV4" t="s">
        <v>1443</v>
      </c>
      <c r="CW4" t="s">
        <v>1447</v>
      </c>
      <c r="CX4" t="s">
        <v>1443</v>
      </c>
      <c r="CY4" t="s">
        <v>1447</v>
      </c>
      <c r="CZ4" t="s">
        <v>1443</v>
      </c>
      <c r="DA4" t="s">
        <v>1447</v>
      </c>
      <c r="DB4" t="s">
        <v>1443</v>
      </c>
      <c r="DC4" t="s">
        <v>1447</v>
      </c>
      <c r="DD4" t="s">
        <v>1443</v>
      </c>
      <c r="DE4" t="s">
        <v>1447</v>
      </c>
      <c r="DF4" t="s">
        <v>1443</v>
      </c>
      <c r="DG4" t="s">
        <v>1447</v>
      </c>
      <c r="DH4" t="s">
        <v>1443</v>
      </c>
      <c r="DI4" t="s">
        <v>1447</v>
      </c>
      <c r="DJ4" t="s">
        <v>1443</v>
      </c>
      <c r="DK4" t="s">
        <v>1447</v>
      </c>
      <c r="DL4" t="s">
        <v>1443</v>
      </c>
      <c r="DM4" t="s">
        <v>1447</v>
      </c>
      <c r="DN4" t="s">
        <v>1443</v>
      </c>
      <c r="DO4" t="s">
        <v>1447</v>
      </c>
      <c r="DP4" t="s">
        <v>1443</v>
      </c>
      <c r="DQ4" t="s">
        <v>1447</v>
      </c>
      <c r="DR4" t="s">
        <v>1443</v>
      </c>
      <c r="DS4" t="s">
        <v>1447</v>
      </c>
      <c r="DT4" t="s">
        <v>1443</v>
      </c>
      <c r="DU4" t="s">
        <v>1447</v>
      </c>
      <c r="DV4" t="s">
        <v>1443</v>
      </c>
      <c r="DW4" t="s">
        <v>1447</v>
      </c>
      <c r="DX4" t="s">
        <v>1443</v>
      </c>
      <c r="DY4" t="s">
        <v>1447</v>
      </c>
      <c r="DZ4" t="s">
        <v>1443</v>
      </c>
      <c r="EA4" t="s">
        <v>1447</v>
      </c>
      <c r="EB4" t="s">
        <v>1443</v>
      </c>
      <c r="EC4" t="s">
        <v>1447</v>
      </c>
    </row>
    <row r="5" spans="1:135" x14ac:dyDescent="0.45">
      <c r="A5" s="15">
        <v>202301</v>
      </c>
      <c r="B5" s="8">
        <v>50429.9</v>
      </c>
      <c r="C5" s="14">
        <v>9.2196640243559311E-3</v>
      </c>
      <c r="D5" s="8">
        <v>75572.73</v>
      </c>
      <c r="E5" s="14">
        <v>1.381631095844656E-2</v>
      </c>
      <c r="F5" s="8">
        <v>83492.649999999994</v>
      </c>
      <c r="G5" s="14">
        <v>1.5264241680097346E-2</v>
      </c>
      <c r="H5" s="8">
        <v>166553.15</v>
      </c>
      <c r="I5" s="14">
        <v>3.0449477099858555E-2</v>
      </c>
      <c r="J5" s="8">
        <v>156673.34</v>
      </c>
      <c r="K5" s="14">
        <v>2.8643236579364326E-2</v>
      </c>
      <c r="L5" s="8">
        <v>150435.42000000001</v>
      </c>
      <c r="M5" s="14">
        <v>2.7502811422645591E-2</v>
      </c>
      <c r="N5" s="8">
        <v>316409.63</v>
      </c>
      <c r="O5" s="14">
        <v>5.7846445911468619E-2</v>
      </c>
      <c r="P5" s="8">
        <v>241533.69000000003</v>
      </c>
      <c r="Q5" s="14">
        <v>4.415752306395488E-2</v>
      </c>
      <c r="R5" s="8">
        <v>44836.74</v>
      </c>
      <c r="S5" s="14">
        <v>8.1971147820519286E-3</v>
      </c>
      <c r="T5" s="8">
        <v>187541.51</v>
      </c>
      <c r="U5" s="14">
        <v>3.428659808606379E-2</v>
      </c>
      <c r="V5" s="8">
        <v>32717.97</v>
      </c>
      <c r="W5" s="14">
        <v>5.9815444995718146E-3</v>
      </c>
      <c r="X5" s="8">
        <v>138651.38999999998</v>
      </c>
      <c r="Y5" s="14">
        <v>2.5348438769657356E-2</v>
      </c>
      <c r="Z5" s="8">
        <v>66820.5</v>
      </c>
      <c r="AA5" s="14">
        <v>1.2216216172141438E-2</v>
      </c>
      <c r="AB5" s="8">
        <v>166483.03</v>
      </c>
      <c r="AC5" s="14">
        <v>3.0436657664535707E-2</v>
      </c>
      <c r="AD5" s="8">
        <v>144575.59999999998</v>
      </c>
      <c r="AE5" s="14">
        <v>2.643151103055277E-2</v>
      </c>
      <c r="AF5" s="8">
        <v>164325.19</v>
      </c>
      <c r="AG5" s="14">
        <v>3.0042158373077343E-2</v>
      </c>
      <c r="AH5" s="8">
        <v>218874.78999999998</v>
      </c>
      <c r="AI5" s="14">
        <v>4.0014991645858096E-2</v>
      </c>
      <c r="AJ5" s="8">
        <v>274357.43000000005</v>
      </c>
      <c r="AK5" s="14">
        <v>5.0158404581126498E-2</v>
      </c>
      <c r="AL5" s="8">
        <v>154191.43</v>
      </c>
      <c r="AM5" s="14">
        <v>2.8189490362562603E-2</v>
      </c>
      <c r="AN5" s="8">
        <v>83648.229999999981</v>
      </c>
      <c r="AO5" s="14">
        <v>1.5292685030746647E-2</v>
      </c>
      <c r="AP5" s="8">
        <v>222959.84000000003</v>
      </c>
      <c r="AQ5" s="14">
        <v>4.0761826133388225E-2</v>
      </c>
      <c r="AR5" s="8">
        <v>302395.52000000002</v>
      </c>
      <c r="AS5" s="14">
        <v>5.528436695036882E-2</v>
      </c>
      <c r="AT5" s="8">
        <v>132899.04999999999</v>
      </c>
      <c r="AU5" s="14">
        <v>2.4296788019727979E-2</v>
      </c>
      <c r="AV5" s="8">
        <v>189808.24000000002</v>
      </c>
      <c r="AW5" s="14">
        <v>3.4701004797834549E-2</v>
      </c>
      <c r="AX5" s="8">
        <v>98137.409999999989</v>
      </c>
      <c r="AY5" s="14">
        <v>1.7941616945908435E-2</v>
      </c>
      <c r="AZ5" s="8">
        <v>147169.07</v>
      </c>
      <c r="BA5" s="14">
        <v>2.6905652800757483E-2</v>
      </c>
      <c r="BB5" s="8">
        <v>110456.54</v>
      </c>
      <c r="BC5" s="14">
        <v>2.0193817320534678E-2</v>
      </c>
      <c r="BD5" s="8">
        <v>261388.48</v>
      </c>
      <c r="BE5" s="14">
        <v>4.7787403215891366E-2</v>
      </c>
      <c r="BF5" s="8">
        <v>214294.72</v>
      </c>
      <c r="BG5" s="14">
        <v>3.9177656917690248E-2</v>
      </c>
      <c r="BH5" s="8">
        <v>189440.50999999998</v>
      </c>
      <c r="BI5" s="14">
        <v>3.4633775890942471E-2</v>
      </c>
      <c r="BJ5" s="8">
        <v>446827.41000000003</v>
      </c>
      <c r="BK5" s="14">
        <v>8.1689604720079509E-2</v>
      </c>
      <c r="BL5" s="8">
        <v>179935.49</v>
      </c>
      <c r="BM5" s="14">
        <v>3.2896054996298947E-2</v>
      </c>
      <c r="BN5" s="8">
        <v>55983.11</v>
      </c>
      <c r="BO5" s="14">
        <v>1.0234909552439341E-2</v>
      </c>
      <c r="BP5" s="8"/>
      <c r="BQ5" s="14">
        <v>0</v>
      </c>
      <c r="BR5" s="8"/>
      <c r="BS5" s="14">
        <v>0</v>
      </c>
      <c r="BT5" s="8"/>
      <c r="BU5" s="14">
        <v>0</v>
      </c>
      <c r="BV5" s="8"/>
      <c r="BW5" s="14">
        <v>0</v>
      </c>
      <c r="BX5" s="8"/>
      <c r="BY5" s="14">
        <v>0</v>
      </c>
      <c r="BZ5" s="8"/>
      <c r="CA5" s="14">
        <v>0</v>
      </c>
      <c r="CB5" s="8"/>
      <c r="CC5" s="14">
        <v>0</v>
      </c>
      <c r="CD5" s="8"/>
      <c r="CE5" s="14">
        <v>0</v>
      </c>
      <c r="CF5" s="8"/>
      <c r="CG5" s="14">
        <v>0</v>
      </c>
      <c r="CH5" s="8"/>
      <c r="CI5" s="14">
        <v>0</v>
      </c>
      <c r="CJ5" s="8"/>
      <c r="CK5" s="14">
        <v>0</v>
      </c>
      <c r="CL5" s="8"/>
      <c r="CM5" s="14">
        <v>0</v>
      </c>
      <c r="CN5" s="8"/>
      <c r="CO5" s="14">
        <v>0</v>
      </c>
      <c r="CP5" s="8"/>
      <c r="CQ5" s="14">
        <v>0</v>
      </c>
      <c r="CR5" s="8"/>
      <c r="CS5" s="14">
        <v>0</v>
      </c>
      <c r="CT5" s="8"/>
      <c r="CU5" s="14">
        <v>0</v>
      </c>
      <c r="CV5" s="8"/>
      <c r="CW5" s="14">
        <v>0</v>
      </c>
      <c r="CX5" s="8"/>
      <c r="CY5" s="14">
        <v>0</v>
      </c>
      <c r="CZ5" s="8"/>
      <c r="DA5" s="14">
        <v>0</v>
      </c>
      <c r="DB5" s="8"/>
      <c r="DC5" s="14">
        <v>0</v>
      </c>
      <c r="DD5" s="8"/>
      <c r="DE5" s="14">
        <v>0</v>
      </c>
      <c r="DF5" s="8"/>
      <c r="DG5" s="14">
        <v>0</v>
      </c>
      <c r="DH5" s="8"/>
      <c r="DI5" s="14">
        <v>0</v>
      </c>
      <c r="DJ5" s="8"/>
      <c r="DK5" s="14">
        <v>0</v>
      </c>
      <c r="DL5" s="8"/>
      <c r="DM5" s="14">
        <v>0</v>
      </c>
      <c r="DN5" s="8"/>
      <c r="DO5" s="14">
        <v>0</v>
      </c>
      <c r="DP5" s="8"/>
      <c r="DQ5" s="14">
        <v>0</v>
      </c>
      <c r="DR5" s="8"/>
      <c r="DS5" s="14">
        <v>0</v>
      </c>
      <c r="DT5" s="8"/>
      <c r="DU5" s="14">
        <v>0</v>
      </c>
      <c r="DV5" s="8"/>
      <c r="DW5" s="14">
        <v>0</v>
      </c>
      <c r="DX5" s="8"/>
      <c r="DY5" s="14">
        <v>0</v>
      </c>
      <c r="DZ5" s="8"/>
      <c r="EA5" s="14">
        <v>0</v>
      </c>
      <c r="EB5" s="8"/>
      <c r="EC5" s="14">
        <v>0</v>
      </c>
      <c r="ED5" s="8">
        <v>5469819.7100000009</v>
      </c>
      <c r="EE5" s="14">
        <v>1</v>
      </c>
    </row>
    <row r="6" spans="1:135" x14ac:dyDescent="0.45">
      <c r="A6" s="15">
        <v>202302</v>
      </c>
      <c r="B6" s="8">
        <v>26150.5</v>
      </c>
      <c r="C6" s="14">
        <v>2.1200904073580565E-2</v>
      </c>
      <c r="D6" s="8">
        <v>7376.6900000000005</v>
      </c>
      <c r="E6" s="14">
        <v>5.9804782727114602E-3</v>
      </c>
      <c r="F6" s="8">
        <v>39117.4</v>
      </c>
      <c r="G6" s="14">
        <v>3.1713513891049136E-2</v>
      </c>
      <c r="H6" s="8">
        <v>276988.7</v>
      </c>
      <c r="I6" s="14">
        <v>0.22456208707924458</v>
      </c>
      <c r="J6" s="8">
        <v>4986</v>
      </c>
      <c r="K6" s="14">
        <v>4.0422824692022217E-3</v>
      </c>
      <c r="L6" s="8">
        <v>14925.33</v>
      </c>
      <c r="M6" s="14">
        <v>1.2100360971933012E-2</v>
      </c>
      <c r="N6" s="8">
        <v>9733.36</v>
      </c>
      <c r="O6" s="14">
        <v>7.8910931597340837E-3</v>
      </c>
      <c r="P6" s="8">
        <v>49995.16</v>
      </c>
      <c r="Q6" s="14">
        <v>4.0532402489562809E-2</v>
      </c>
      <c r="R6" s="8">
        <v>41770.06</v>
      </c>
      <c r="S6" s="14">
        <v>3.3864095723129754E-2</v>
      </c>
      <c r="T6" s="8">
        <v>45649.9</v>
      </c>
      <c r="U6" s="14">
        <v>3.7009584935987667E-2</v>
      </c>
      <c r="V6" s="8">
        <v>40704.31</v>
      </c>
      <c r="W6" s="14">
        <v>3.3000063925786742E-2</v>
      </c>
      <c r="X6" s="8">
        <v>37099.82</v>
      </c>
      <c r="Y6" s="14">
        <v>3.0077808262446444E-2</v>
      </c>
      <c r="Z6" s="8">
        <v>30677.54</v>
      </c>
      <c r="AA6" s="14">
        <v>2.4871095495437211E-2</v>
      </c>
      <c r="AB6" s="8">
        <v>14869.14</v>
      </c>
      <c r="AC6" s="14">
        <v>1.2054806248317994E-2</v>
      </c>
      <c r="AD6" s="8"/>
      <c r="AE6" s="14">
        <v>0</v>
      </c>
      <c r="AF6" s="8">
        <v>37884.92</v>
      </c>
      <c r="AG6" s="14">
        <v>3.0714309659672812E-2</v>
      </c>
      <c r="AH6" s="8">
        <v>33958.43</v>
      </c>
      <c r="AI6" s="14">
        <v>2.7531000054278141E-2</v>
      </c>
      <c r="AJ6" s="8">
        <v>37413.360000000001</v>
      </c>
      <c r="AK6" s="14">
        <v>3.0332003458072933E-2</v>
      </c>
      <c r="AL6" s="8">
        <v>53393.58</v>
      </c>
      <c r="AM6" s="14">
        <v>4.3287591737253585E-2</v>
      </c>
      <c r="AN6" s="8">
        <v>23127.93</v>
      </c>
      <c r="AO6" s="14">
        <v>1.8750426391483381E-2</v>
      </c>
      <c r="AP6" s="8">
        <v>850.4</v>
      </c>
      <c r="AQ6" s="14">
        <v>6.8944183951254905E-4</v>
      </c>
      <c r="AR6" s="8">
        <v>121268.7</v>
      </c>
      <c r="AS6" s="14">
        <v>9.8315752120526165E-2</v>
      </c>
      <c r="AT6" s="8">
        <v>44707.8</v>
      </c>
      <c r="AU6" s="14">
        <v>3.6245799473846589E-2</v>
      </c>
      <c r="AV6" s="8">
        <v>33308.550000000003</v>
      </c>
      <c r="AW6" s="14">
        <v>2.7004125098184052E-2</v>
      </c>
      <c r="AX6" s="8">
        <v>8620.64</v>
      </c>
      <c r="AY6" s="14">
        <v>6.9889815373653111E-3</v>
      </c>
      <c r="AZ6" s="8">
        <v>27450.19</v>
      </c>
      <c r="BA6" s="14">
        <v>2.2254597234911778E-2</v>
      </c>
      <c r="BB6" s="8">
        <v>5679.95</v>
      </c>
      <c r="BC6" s="14">
        <v>4.604886143390525E-3</v>
      </c>
      <c r="BD6" s="8">
        <v>73765.2</v>
      </c>
      <c r="BE6" s="14">
        <v>5.9803404492016793E-2</v>
      </c>
      <c r="BF6" s="8">
        <v>45346.450000000004</v>
      </c>
      <c r="BG6" s="14">
        <v>3.6763569971029905E-2</v>
      </c>
      <c r="BH6" s="8"/>
      <c r="BI6" s="14">
        <v>0</v>
      </c>
      <c r="BJ6" s="8">
        <v>11031.779999999999</v>
      </c>
      <c r="BK6" s="14">
        <v>8.9437566983745845E-3</v>
      </c>
      <c r="BL6" s="8">
        <v>35609.760000000002</v>
      </c>
      <c r="BM6" s="14">
        <v>2.8869777091957184E-2</v>
      </c>
      <c r="BN6" s="8"/>
      <c r="BO6" s="14">
        <v>0</v>
      </c>
      <c r="BP6" s="8"/>
      <c r="BQ6" s="14">
        <v>0</v>
      </c>
      <c r="BR6" s="8"/>
      <c r="BS6" s="14">
        <v>0</v>
      </c>
      <c r="BT6" s="8"/>
      <c r="BU6" s="14">
        <v>0</v>
      </c>
      <c r="BV6" s="8"/>
      <c r="BW6" s="14">
        <v>0</v>
      </c>
      <c r="BX6" s="8"/>
      <c r="BY6" s="14">
        <v>0</v>
      </c>
      <c r="BZ6" s="8"/>
      <c r="CA6" s="14">
        <v>0</v>
      </c>
      <c r="CB6" s="8"/>
      <c r="CC6" s="14">
        <v>0</v>
      </c>
      <c r="CD6" s="8"/>
      <c r="CE6" s="14">
        <v>0</v>
      </c>
      <c r="CF6" s="8"/>
      <c r="CG6" s="14">
        <v>0</v>
      </c>
      <c r="CH6" s="8"/>
      <c r="CI6" s="14">
        <v>0</v>
      </c>
      <c r="CJ6" s="8"/>
      <c r="CK6" s="14">
        <v>0</v>
      </c>
      <c r="CL6" s="8"/>
      <c r="CM6" s="14">
        <v>0</v>
      </c>
      <c r="CN6" s="8"/>
      <c r="CO6" s="14">
        <v>0</v>
      </c>
      <c r="CP6" s="8"/>
      <c r="CQ6" s="14">
        <v>0</v>
      </c>
      <c r="CR6" s="8"/>
      <c r="CS6" s="14">
        <v>0</v>
      </c>
      <c r="CT6" s="8"/>
      <c r="CU6" s="14">
        <v>0</v>
      </c>
      <c r="CV6" s="8"/>
      <c r="CW6" s="14">
        <v>0</v>
      </c>
      <c r="CX6" s="8"/>
      <c r="CY6" s="14">
        <v>0</v>
      </c>
      <c r="CZ6" s="8"/>
      <c r="DA6" s="14">
        <v>0</v>
      </c>
      <c r="DB6" s="8"/>
      <c r="DC6" s="14">
        <v>0</v>
      </c>
      <c r="DD6" s="8"/>
      <c r="DE6" s="14">
        <v>0</v>
      </c>
      <c r="DF6" s="8"/>
      <c r="DG6" s="14">
        <v>0</v>
      </c>
      <c r="DH6" s="8"/>
      <c r="DI6" s="14">
        <v>0</v>
      </c>
      <c r="DJ6" s="8"/>
      <c r="DK6" s="14">
        <v>0</v>
      </c>
      <c r="DL6" s="8"/>
      <c r="DM6" s="14">
        <v>0</v>
      </c>
      <c r="DN6" s="8"/>
      <c r="DO6" s="14">
        <v>0</v>
      </c>
      <c r="DP6" s="8"/>
      <c r="DQ6" s="14">
        <v>0</v>
      </c>
      <c r="DR6" s="8"/>
      <c r="DS6" s="14">
        <v>0</v>
      </c>
      <c r="DT6" s="8"/>
      <c r="DU6" s="14">
        <v>0</v>
      </c>
      <c r="DV6" s="8"/>
      <c r="DW6" s="14">
        <v>0</v>
      </c>
      <c r="DX6" s="8"/>
      <c r="DY6" s="14">
        <v>0</v>
      </c>
      <c r="DZ6" s="8"/>
      <c r="EA6" s="14">
        <v>0</v>
      </c>
      <c r="EB6" s="8"/>
      <c r="EC6" s="14">
        <v>0</v>
      </c>
      <c r="ED6" s="8">
        <v>1233461.55</v>
      </c>
      <c r="EE6" s="14">
        <v>1</v>
      </c>
    </row>
    <row r="7" spans="1:135" x14ac:dyDescent="0.45">
      <c r="A7" s="15">
        <v>202301</v>
      </c>
      <c r="B7" s="8"/>
      <c r="C7" s="14">
        <v>0</v>
      </c>
      <c r="D7" s="8"/>
      <c r="E7" s="14">
        <v>0</v>
      </c>
      <c r="F7" s="8"/>
      <c r="G7" s="14">
        <v>0</v>
      </c>
      <c r="H7" s="8"/>
      <c r="I7" s="14">
        <v>0</v>
      </c>
      <c r="J7" s="8"/>
      <c r="K7" s="14">
        <v>0</v>
      </c>
      <c r="L7" s="8"/>
      <c r="M7" s="14">
        <v>0</v>
      </c>
      <c r="N7" s="8"/>
      <c r="O7" s="14">
        <v>0</v>
      </c>
      <c r="P7" s="8"/>
      <c r="Q7" s="14">
        <v>0</v>
      </c>
      <c r="R7" s="8"/>
      <c r="S7" s="14">
        <v>0</v>
      </c>
      <c r="T7" s="8"/>
      <c r="U7" s="14">
        <v>0</v>
      </c>
      <c r="V7" s="8"/>
      <c r="W7" s="14">
        <v>0</v>
      </c>
      <c r="X7" s="8"/>
      <c r="Y7" s="14">
        <v>0</v>
      </c>
      <c r="Z7" s="8"/>
      <c r="AA7" s="14">
        <v>0</v>
      </c>
      <c r="AB7" s="8"/>
      <c r="AC7" s="14">
        <v>0</v>
      </c>
      <c r="AD7" s="8"/>
      <c r="AE7" s="14">
        <v>0</v>
      </c>
      <c r="AF7" s="8"/>
      <c r="AG7" s="14">
        <v>0</v>
      </c>
      <c r="AH7" s="8"/>
      <c r="AI7" s="14">
        <v>0</v>
      </c>
      <c r="AJ7" s="8"/>
      <c r="AK7" s="14">
        <v>0</v>
      </c>
      <c r="AL7" s="8"/>
      <c r="AM7" s="14">
        <v>0</v>
      </c>
      <c r="AN7" s="8"/>
      <c r="AO7" s="14">
        <v>0</v>
      </c>
      <c r="AP7" s="8"/>
      <c r="AQ7" s="14">
        <v>0</v>
      </c>
      <c r="AR7" s="8"/>
      <c r="AS7" s="14">
        <v>0</v>
      </c>
      <c r="AT7" s="8"/>
      <c r="AU7" s="14">
        <v>0</v>
      </c>
      <c r="AV7" s="8"/>
      <c r="AW7" s="14">
        <v>0</v>
      </c>
      <c r="AX7" s="8"/>
      <c r="AY7" s="14">
        <v>0</v>
      </c>
      <c r="AZ7" s="8"/>
      <c r="BA7" s="14">
        <v>0</v>
      </c>
      <c r="BB7" s="8"/>
      <c r="BC7" s="14">
        <v>0</v>
      </c>
      <c r="BD7" s="8"/>
      <c r="BE7" s="14">
        <v>0</v>
      </c>
      <c r="BF7" s="8"/>
      <c r="BG7" s="14">
        <v>0</v>
      </c>
      <c r="BH7" s="8"/>
      <c r="BI7" s="14">
        <v>0</v>
      </c>
      <c r="BJ7" s="8"/>
      <c r="BK7" s="14">
        <v>0</v>
      </c>
      <c r="BL7" s="8"/>
      <c r="BM7" s="14">
        <v>0</v>
      </c>
      <c r="BN7" s="8"/>
      <c r="BO7" s="14">
        <v>0</v>
      </c>
      <c r="BP7" s="8">
        <v>128437.78999999998</v>
      </c>
      <c r="BQ7" s="14">
        <v>2.6975317523107164E-2</v>
      </c>
      <c r="BR7" s="8">
        <v>389798.83999999997</v>
      </c>
      <c r="BS7" s="14">
        <v>8.1868019366721015E-2</v>
      </c>
      <c r="BT7" s="8">
        <v>124414.97</v>
      </c>
      <c r="BU7" s="14">
        <v>2.6130419406763791E-2</v>
      </c>
      <c r="BV7" s="8">
        <v>184845.24000000002</v>
      </c>
      <c r="BW7" s="14">
        <v>3.882236716806596E-2</v>
      </c>
      <c r="BX7" s="8">
        <v>76831.789999999994</v>
      </c>
      <c r="BY7" s="14">
        <v>1.6136698794947266E-2</v>
      </c>
      <c r="BZ7" s="8">
        <v>99998.98</v>
      </c>
      <c r="CA7" s="14">
        <v>2.1002418661103115E-2</v>
      </c>
      <c r="CB7" s="8">
        <v>277623.28000000003</v>
      </c>
      <c r="CC7" s="14">
        <v>5.8308198309909319E-2</v>
      </c>
      <c r="CD7" s="8">
        <v>130666.05</v>
      </c>
      <c r="CE7" s="14">
        <v>2.7443310790696392E-2</v>
      </c>
      <c r="CF7" s="8">
        <v>36116.19</v>
      </c>
      <c r="CG7" s="14">
        <v>7.5853507988176061E-3</v>
      </c>
      <c r="CH7" s="8">
        <v>53779.68</v>
      </c>
      <c r="CI7" s="14">
        <v>1.1295148758718879E-2</v>
      </c>
      <c r="CJ7" s="8">
        <v>47928.45</v>
      </c>
      <c r="CK7" s="14">
        <v>1.006623640238878E-2</v>
      </c>
      <c r="CL7" s="8">
        <v>204008.75999999998</v>
      </c>
      <c r="CM7" s="14">
        <v>4.2847210922076467E-2</v>
      </c>
      <c r="CN7" s="8">
        <v>160502.15</v>
      </c>
      <c r="CO7" s="14">
        <v>3.3709677341780597E-2</v>
      </c>
      <c r="CP7" s="8">
        <v>153680.54</v>
      </c>
      <c r="CQ7" s="14">
        <v>3.2276959636432331E-2</v>
      </c>
      <c r="CR7" s="8">
        <v>271535.5</v>
      </c>
      <c r="CS7" s="14">
        <v>5.7029604225482748E-2</v>
      </c>
      <c r="CT7" s="8">
        <v>110884.10000000002</v>
      </c>
      <c r="CU7" s="14">
        <v>2.3288580454116876E-2</v>
      </c>
      <c r="CV7" s="8">
        <v>184639.68000000002</v>
      </c>
      <c r="CW7" s="14">
        <v>3.8779194155901475E-2</v>
      </c>
      <c r="CX7" s="8">
        <v>308687.23</v>
      </c>
      <c r="CY7" s="14">
        <v>6.4832445688908322E-2</v>
      </c>
      <c r="CZ7" s="8">
        <v>90429.88</v>
      </c>
      <c r="DA7" s="14">
        <v>1.8992655717421474E-2</v>
      </c>
      <c r="DB7" s="8">
        <v>204433.24</v>
      </c>
      <c r="DC7" s="14">
        <v>4.2936362898159282E-2</v>
      </c>
      <c r="DD7" s="8">
        <v>91228.74</v>
      </c>
      <c r="DE7" s="14">
        <v>1.916043735051022E-2</v>
      </c>
      <c r="DF7" s="8">
        <v>146848.02000000002</v>
      </c>
      <c r="DG7" s="14">
        <v>3.0841950543835987E-2</v>
      </c>
      <c r="DH7" s="8">
        <v>243393.01</v>
      </c>
      <c r="DI7" s="14">
        <v>5.1118940365252302E-2</v>
      </c>
      <c r="DJ7" s="8">
        <v>145386.04999999999</v>
      </c>
      <c r="DK7" s="14">
        <v>3.0534898351803893E-2</v>
      </c>
      <c r="DL7" s="8">
        <v>91802.499999999985</v>
      </c>
      <c r="DM7" s="14">
        <v>1.9280942056968165E-2</v>
      </c>
      <c r="DN7" s="8">
        <v>73693.200000000012</v>
      </c>
      <c r="DO7" s="14">
        <v>1.5477512259389089E-2</v>
      </c>
      <c r="DP7" s="8">
        <v>39281.529999999992</v>
      </c>
      <c r="DQ7" s="14">
        <v>8.2501555386733112E-3</v>
      </c>
      <c r="DR7" s="8">
        <v>114995.08</v>
      </c>
      <c r="DS7" s="14">
        <v>2.4151994491614273E-2</v>
      </c>
      <c r="DT7" s="8">
        <v>62707.09</v>
      </c>
      <c r="DU7" s="14">
        <v>1.3170139907421781E-2</v>
      </c>
      <c r="DV7" s="8">
        <v>193185.30000000002</v>
      </c>
      <c r="DW7" s="14">
        <v>4.0573999352501437E-2</v>
      </c>
      <c r="DX7" s="8">
        <v>101441.33</v>
      </c>
      <c r="DY7" s="14">
        <v>2.1305350136562588E-2</v>
      </c>
      <c r="DZ7" s="8">
        <v>192820.09999999995</v>
      </c>
      <c r="EA7" s="14">
        <v>4.0497297737194599E-2</v>
      </c>
      <c r="EB7" s="8">
        <v>25283.52</v>
      </c>
      <c r="EC7" s="14">
        <v>5.3102048867535835E-3</v>
      </c>
      <c r="ED7" s="8">
        <v>4761307.8099999996</v>
      </c>
      <c r="EE7" s="14">
        <v>1</v>
      </c>
    </row>
    <row r="8" spans="1:135" x14ac:dyDescent="0.45">
      <c r="A8" s="15">
        <v>202303</v>
      </c>
      <c r="B8" s="8"/>
      <c r="C8" s="14">
        <v>0</v>
      </c>
      <c r="D8" s="8"/>
      <c r="E8" s="14">
        <v>0</v>
      </c>
      <c r="F8" s="8"/>
      <c r="G8" s="14">
        <v>0</v>
      </c>
      <c r="H8" s="8"/>
      <c r="I8" s="14">
        <v>0</v>
      </c>
      <c r="J8" s="8"/>
      <c r="K8" s="14">
        <v>0</v>
      </c>
      <c r="L8" s="8"/>
      <c r="M8" s="14">
        <v>0</v>
      </c>
      <c r="N8" s="8"/>
      <c r="O8" s="14">
        <v>0</v>
      </c>
      <c r="P8" s="8"/>
      <c r="Q8" s="14">
        <v>0</v>
      </c>
      <c r="R8" s="8"/>
      <c r="S8" s="14">
        <v>0</v>
      </c>
      <c r="T8" s="8"/>
      <c r="U8" s="14">
        <v>0</v>
      </c>
      <c r="V8" s="8"/>
      <c r="W8" s="14">
        <v>0</v>
      </c>
      <c r="X8" s="8"/>
      <c r="Y8" s="14">
        <v>0</v>
      </c>
      <c r="Z8" s="8"/>
      <c r="AA8" s="14">
        <v>0</v>
      </c>
      <c r="AB8" s="8"/>
      <c r="AC8" s="14">
        <v>0</v>
      </c>
      <c r="AD8" s="8"/>
      <c r="AE8" s="14">
        <v>0</v>
      </c>
      <c r="AF8" s="8"/>
      <c r="AG8" s="14">
        <v>0</v>
      </c>
      <c r="AH8" s="8"/>
      <c r="AI8" s="14">
        <v>0</v>
      </c>
      <c r="AJ8" s="8"/>
      <c r="AK8" s="14">
        <v>0</v>
      </c>
      <c r="AL8" s="8"/>
      <c r="AM8" s="14">
        <v>0</v>
      </c>
      <c r="AN8" s="8"/>
      <c r="AO8" s="14">
        <v>0</v>
      </c>
      <c r="AP8" s="8"/>
      <c r="AQ8" s="14">
        <v>0</v>
      </c>
      <c r="AR8" s="8"/>
      <c r="AS8" s="14">
        <v>0</v>
      </c>
      <c r="AT8" s="8"/>
      <c r="AU8" s="14">
        <v>0</v>
      </c>
      <c r="AV8" s="8"/>
      <c r="AW8" s="14">
        <v>0</v>
      </c>
      <c r="AX8" s="8"/>
      <c r="AY8" s="14">
        <v>0</v>
      </c>
      <c r="AZ8" s="8"/>
      <c r="BA8" s="14">
        <v>0</v>
      </c>
      <c r="BB8" s="8"/>
      <c r="BC8" s="14">
        <v>0</v>
      </c>
      <c r="BD8" s="8"/>
      <c r="BE8" s="14">
        <v>0</v>
      </c>
      <c r="BF8" s="8"/>
      <c r="BG8" s="14">
        <v>0</v>
      </c>
      <c r="BH8" s="8"/>
      <c r="BI8" s="14">
        <v>0</v>
      </c>
      <c r="BJ8" s="8"/>
      <c r="BK8" s="14">
        <v>0</v>
      </c>
      <c r="BL8" s="8"/>
      <c r="BM8" s="14">
        <v>0</v>
      </c>
      <c r="BN8" s="8"/>
      <c r="BO8" s="14">
        <v>0</v>
      </c>
      <c r="BP8" s="8">
        <v>36516.94</v>
      </c>
      <c r="BQ8" s="14">
        <v>3.681158953364054E-2</v>
      </c>
      <c r="BR8" s="8">
        <v>24053.01</v>
      </c>
      <c r="BS8" s="14">
        <v>2.4247090012705093E-2</v>
      </c>
      <c r="BT8" s="8">
        <v>10549.880000000001</v>
      </c>
      <c r="BU8" s="14">
        <v>1.0635005347906032E-2</v>
      </c>
      <c r="BV8" s="8">
        <v>5769.3899999999994</v>
      </c>
      <c r="BW8" s="14">
        <v>5.8159423144296968E-3</v>
      </c>
      <c r="BX8" s="8">
        <v>36936.050000000003</v>
      </c>
      <c r="BY8" s="14">
        <v>3.7234081267324803E-2</v>
      </c>
      <c r="BZ8" s="8"/>
      <c r="CA8" s="14">
        <v>0</v>
      </c>
      <c r="CB8" s="8">
        <v>36647.209999999992</v>
      </c>
      <c r="CC8" s="14">
        <v>3.6942910662096179E-2</v>
      </c>
      <c r="CD8" s="8">
        <v>17111.600000000002</v>
      </c>
      <c r="CE8" s="14">
        <v>1.7249670850401033E-2</v>
      </c>
      <c r="CF8" s="8">
        <v>16330.099999999999</v>
      </c>
      <c r="CG8" s="14">
        <v>1.6461865047928532E-2</v>
      </c>
      <c r="CH8" s="8">
        <v>41743.869999999995</v>
      </c>
      <c r="CI8" s="14">
        <v>4.208069482233865E-2</v>
      </c>
      <c r="CJ8" s="8">
        <v>72073.37</v>
      </c>
      <c r="CK8" s="14">
        <v>7.2654918860841078E-2</v>
      </c>
      <c r="CL8" s="8">
        <v>19090.2</v>
      </c>
      <c r="CM8" s="14">
        <v>1.9244235867383868E-2</v>
      </c>
      <c r="CN8" s="8"/>
      <c r="CO8" s="14">
        <v>0</v>
      </c>
      <c r="CP8" s="8"/>
      <c r="CQ8" s="14">
        <v>0</v>
      </c>
      <c r="CR8" s="8">
        <v>15964.13</v>
      </c>
      <c r="CS8" s="14">
        <v>1.6092942092674711E-2</v>
      </c>
      <c r="CT8" s="8">
        <v>76550.25</v>
      </c>
      <c r="CU8" s="14">
        <v>7.7167922112246171E-2</v>
      </c>
      <c r="CV8" s="8">
        <v>30006.74</v>
      </c>
      <c r="CW8" s="14">
        <v>3.0248859738046859E-2</v>
      </c>
      <c r="CX8" s="8">
        <v>97789.66</v>
      </c>
      <c r="CY8" s="14">
        <v>9.8578709622281241E-2</v>
      </c>
      <c r="CZ8" s="8">
        <v>60171.17</v>
      </c>
      <c r="DA8" s="14">
        <v>6.0656681852282957E-2</v>
      </c>
      <c r="DB8" s="8">
        <v>35091.599999999999</v>
      </c>
      <c r="DC8" s="14">
        <v>3.5374748685916738E-2</v>
      </c>
      <c r="DD8" s="8"/>
      <c r="DE8" s="14">
        <v>0</v>
      </c>
      <c r="DF8" s="8">
        <v>24560.240000000002</v>
      </c>
      <c r="DG8" s="14">
        <v>2.4758412773022594E-2</v>
      </c>
      <c r="DH8" s="8">
        <v>20126</v>
      </c>
      <c r="DI8" s="14">
        <v>2.0288393577174033E-2</v>
      </c>
      <c r="DJ8" s="8">
        <v>9885.86</v>
      </c>
      <c r="DK8" s="14">
        <v>9.9656274733599167E-3</v>
      </c>
      <c r="DL8" s="8">
        <v>57677.26</v>
      </c>
      <c r="DM8" s="14">
        <v>5.814264887871394E-2</v>
      </c>
      <c r="DN8" s="8">
        <v>22146.84</v>
      </c>
      <c r="DO8" s="14">
        <v>2.2325539422175342E-2</v>
      </c>
      <c r="DP8" s="8">
        <v>73950.350000000006</v>
      </c>
      <c r="DQ8" s="14">
        <v>7.4547043921781367E-2</v>
      </c>
      <c r="DR8" s="8">
        <v>13542.25</v>
      </c>
      <c r="DS8" s="14">
        <v>1.3651520318020721E-2</v>
      </c>
      <c r="DT8" s="8">
        <v>10620.41</v>
      </c>
      <c r="DU8" s="14">
        <v>1.0706104443553357E-2</v>
      </c>
      <c r="DV8" s="8">
        <v>39447.759999999995</v>
      </c>
      <c r="DW8" s="14">
        <v>3.9766057866337204E-2</v>
      </c>
      <c r="DX8" s="8">
        <v>87643.6</v>
      </c>
      <c r="DY8" s="14">
        <v>8.8350782635417374E-2</v>
      </c>
      <c r="DZ8" s="8"/>
      <c r="EA8" s="14">
        <v>0</v>
      </c>
      <c r="EB8" s="8"/>
      <c r="EC8" s="14">
        <v>0</v>
      </c>
      <c r="ED8" s="8">
        <v>991995.74</v>
      </c>
      <c r="EE8" s="14">
        <v>1</v>
      </c>
    </row>
    <row r="9" spans="1:135" x14ac:dyDescent="0.45">
      <c r="A9" s="15" t="s">
        <v>1434</v>
      </c>
      <c r="B9" s="8">
        <v>76580.399999999994</v>
      </c>
      <c r="C9" s="14">
        <v>6.1477845788455712E-3</v>
      </c>
      <c r="D9" s="8">
        <v>82949.42</v>
      </c>
      <c r="E9" s="14">
        <v>6.6590820249069534E-3</v>
      </c>
      <c r="F9" s="8">
        <v>122610.04999999999</v>
      </c>
      <c r="G9" s="14">
        <v>9.8429908253480584E-3</v>
      </c>
      <c r="H9" s="8">
        <v>443541.85</v>
      </c>
      <c r="I9" s="14">
        <v>3.56070188390585E-2</v>
      </c>
      <c r="J9" s="8">
        <v>161659.34</v>
      </c>
      <c r="K9" s="14">
        <v>1.297782196852397E-2</v>
      </c>
      <c r="L9" s="8">
        <v>165360.75</v>
      </c>
      <c r="M9" s="14">
        <v>1.3274966816526656E-2</v>
      </c>
      <c r="N9" s="8">
        <v>326142.99</v>
      </c>
      <c r="O9" s="14">
        <v>2.6182376227084025E-2</v>
      </c>
      <c r="P9" s="8">
        <v>291528.85000000003</v>
      </c>
      <c r="Q9" s="14">
        <v>2.3403593717434019E-2</v>
      </c>
      <c r="R9" s="8">
        <v>86606.799999999988</v>
      </c>
      <c r="S9" s="14">
        <v>6.9526921962168205E-3</v>
      </c>
      <c r="T9" s="8">
        <v>233191.41</v>
      </c>
      <c r="U9" s="14">
        <v>1.8720332543539275E-2</v>
      </c>
      <c r="V9" s="8">
        <v>73422.28</v>
      </c>
      <c r="W9" s="14">
        <v>5.8942544140234534E-3</v>
      </c>
      <c r="X9" s="8">
        <v>175751.21</v>
      </c>
      <c r="Y9" s="14">
        <v>1.4109100743159471E-2</v>
      </c>
      <c r="Z9" s="8">
        <v>97498.040000000008</v>
      </c>
      <c r="AA9" s="14">
        <v>7.8270281531523569E-3</v>
      </c>
      <c r="AB9" s="8">
        <v>181352.16999999998</v>
      </c>
      <c r="AC9" s="14">
        <v>1.4558739234401758E-2</v>
      </c>
      <c r="AD9" s="8">
        <v>144575.59999999998</v>
      </c>
      <c r="AE9" s="14">
        <v>1.1606359383828573E-2</v>
      </c>
      <c r="AF9" s="8">
        <v>202210.11</v>
      </c>
      <c r="AG9" s="14">
        <v>1.623319016281799E-2</v>
      </c>
      <c r="AH9" s="8">
        <v>252833.21999999997</v>
      </c>
      <c r="AI9" s="14">
        <v>2.0297153983733038E-2</v>
      </c>
      <c r="AJ9" s="8">
        <v>311770.79000000004</v>
      </c>
      <c r="AK9" s="14">
        <v>2.5028592889257583E-2</v>
      </c>
      <c r="AL9" s="8">
        <v>207585.01</v>
      </c>
      <c r="AM9" s="14">
        <v>1.6664680822736679E-2</v>
      </c>
      <c r="AN9" s="8">
        <v>106776.15999999997</v>
      </c>
      <c r="AO9" s="14">
        <v>8.5718647308756189E-3</v>
      </c>
      <c r="AP9" s="8">
        <v>223810.24000000002</v>
      </c>
      <c r="AQ9" s="14">
        <v>1.7967223232834072E-2</v>
      </c>
      <c r="AR9" s="8">
        <v>423664.22000000003</v>
      </c>
      <c r="AS9" s="14">
        <v>3.4011266046202915E-2</v>
      </c>
      <c r="AT9" s="8">
        <v>177606.84999999998</v>
      </c>
      <c r="AU9" s="14">
        <v>1.4258069343165333E-2</v>
      </c>
      <c r="AV9" s="8">
        <v>223116.79000000004</v>
      </c>
      <c r="AW9" s="14">
        <v>1.791155388119579E-2</v>
      </c>
      <c r="AX9" s="8">
        <v>106758.04999999999</v>
      </c>
      <c r="AY9" s="14">
        <v>8.5704108813433252E-3</v>
      </c>
      <c r="AZ9" s="8">
        <v>174619.26</v>
      </c>
      <c r="BA9" s="14">
        <v>1.4018229126479171E-2</v>
      </c>
      <c r="BB9" s="8">
        <v>116136.48999999999</v>
      </c>
      <c r="BC9" s="14">
        <v>9.3233010308545385E-3</v>
      </c>
      <c r="BD9" s="8">
        <v>335153.68</v>
      </c>
      <c r="BE9" s="14">
        <v>2.6905743838467069E-2</v>
      </c>
      <c r="BF9" s="8">
        <v>259641.17</v>
      </c>
      <c r="BG9" s="14">
        <v>2.0843688214731468E-2</v>
      </c>
      <c r="BH9" s="8">
        <v>189440.50999999998</v>
      </c>
      <c r="BI9" s="14">
        <v>1.5208061670958107E-2</v>
      </c>
      <c r="BJ9" s="8">
        <v>457859.19000000006</v>
      </c>
      <c r="BK9" s="14">
        <v>3.6756398080510483E-2</v>
      </c>
      <c r="BL9" s="8">
        <v>215545.25</v>
      </c>
      <c r="BM9" s="14">
        <v>1.7303719541728869E-2</v>
      </c>
      <c r="BN9" s="8">
        <v>55983.11</v>
      </c>
      <c r="BO9" s="14">
        <v>4.4942583263317421E-3</v>
      </c>
      <c r="BP9" s="8">
        <v>164954.72999999998</v>
      </c>
      <c r="BQ9" s="14">
        <v>1.3242372007741339E-2</v>
      </c>
      <c r="BR9" s="8">
        <v>413851.85</v>
      </c>
      <c r="BS9" s="14">
        <v>3.3223540505882845E-2</v>
      </c>
      <c r="BT9" s="8">
        <v>134964.85</v>
      </c>
      <c r="BU9" s="14">
        <v>1.083481966033353E-2</v>
      </c>
      <c r="BV9" s="8">
        <v>190614.63</v>
      </c>
      <c r="BW9" s="14">
        <v>1.5302318645715542E-2</v>
      </c>
      <c r="BX9" s="8">
        <v>113767.84</v>
      </c>
      <c r="BY9" s="14">
        <v>9.1331485905084119E-3</v>
      </c>
      <c r="BZ9" s="8">
        <v>99998.98</v>
      </c>
      <c r="CA9" s="14">
        <v>8.0278006793420599E-3</v>
      </c>
      <c r="CB9" s="8">
        <v>314270.49</v>
      </c>
      <c r="CC9" s="14">
        <v>2.5229265869703494E-2</v>
      </c>
      <c r="CD9" s="8">
        <v>147777.65</v>
      </c>
      <c r="CE9" s="14">
        <v>1.1863416197460947E-2</v>
      </c>
      <c r="CF9" s="8">
        <v>52446.29</v>
      </c>
      <c r="CG9" s="14">
        <v>4.2103265702407239E-3</v>
      </c>
      <c r="CH9" s="8">
        <v>95523.549999999988</v>
      </c>
      <c r="CI9" s="14">
        <v>7.6685184147194827E-3</v>
      </c>
      <c r="CJ9" s="8">
        <v>120001.81999999999</v>
      </c>
      <c r="CK9" s="14">
        <v>9.6336051839557135E-3</v>
      </c>
      <c r="CL9" s="8">
        <v>223098.96</v>
      </c>
      <c r="CM9" s="14">
        <v>1.7910122509734672E-2</v>
      </c>
      <c r="CN9" s="8">
        <v>160502.15</v>
      </c>
      <c r="CO9" s="14">
        <v>1.2884924114284579E-2</v>
      </c>
      <c r="CP9" s="8">
        <v>153680.54</v>
      </c>
      <c r="CQ9" s="14">
        <v>1.2337293274527948E-2</v>
      </c>
      <c r="CR9" s="8">
        <v>287499.63</v>
      </c>
      <c r="CS9" s="14">
        <v>2.3080132667599122E-2</v>
      </c>
      <c r="CT9" s="8">
        <v>187434.35000000003</v>
      </c>
      <c r="CU9" s="14">
        <v>1.5047009502117301E-2</v>
      </c>
      <c r="CV9" s="8">
        <v>214646.42</v>
      </c>
      <c r="CW9" s="14">
        <v>1.7231562524881169E-2</v>
      </c>
      <c r="CX9" s="8">
        <v>406476.89</v>
      </c>
      <c r="CY9" s="14">
        <v>3.2631487377959741E-2</v>
      </c>
      <c r="CZ9" s="8">
        <v>150601.04999999999</v>
      </c>
      <c r="DA9" s="14">
        <v>1.2090075433765701E-2</v>
      </c>
      <c r="DB9" s="8">
        <v>239524.84</v>
      </c>
      <c r="DC9" s="14">
        <v>1.9228772866196221E-2</v>
      </c>
      <c r="DD9" s="8">
        <v>91228.74</v>
      </c>
      <c r="DE9" s="14">
        <v>7.323736111583541E-3</v>
      </c>
      <c r="DF9" s="8">
        <v>171408.26</v>
      </c>
      <c r="DG9" s="14">
        <v>1.3760453817357344E-2</v>
      </c>
      <c r="DH9" s="8">
        <v>263519.01</v>
      </c>
      <c r="DI9" s="14">
        <v>2.1154996655941366E-2</v>
      </c>
      <c r="DJ9" s="8">
        <v>155271.90999999997</v>
      </c>
      <c r="DK9" s="14">
        <v>1.2465046589282602E-2</v>
      </c>
      <c r="DL9" s="8">
        <v>149479.75999999998</v>
      </c>
      <c r="DM9" s="14">
        <v>1.2000059589366691E-2</v>
      </c>
      <c r="DN9" s="8">
        <v>95840.040000000008</v>
      </c>
      <c r="DO9" s="14">
        <v>7.693925860245478E-3</v>
      </c>
      <c r="DP9" s="8">
        <v>113231.88</v>
      </c>
      <c r="DQ9" s="14">
        <v>9.0901223511197695E-3</v>
      </c>
      <c r="DR9" s="8">
        <v>128537.33</v>
      </c>
      <c r="DS9" s="14">
        <v>1.0318825902972357E-2</v>
      </c>
      <c r="DT9" s="8">
        <v>73327.5</v>
      </c>
      <c r="DU9" s="14">
        <v>5.8866455869295365E-3</v>
      </c>
      <c r="DV9" s="8">
        <v>232633.06</v>
      </c>
      <c r="DW9" s="14">
        <v>1.8675508861244607E-2</v>
      </c>
      <c r="DX9" s="8">
        <v>189084.93</v>
      </c>
      <c r="DY9" s="14">
        <v>1.5179516126137946E-2</v>
      </c>
      <c r="DZ9" s="8">
        <v>192820.09999999995</v>
      </c>
      <c r="EA9" s="14">
        <v>1.5479371187294148E-2</v>
      </c>
      <c r="EB9" s="8">
        <v>25283.52</v>
      </c>
      <c r="EC9" s="14">
        <v>2.0297312935807802E-3</v>
      </c>
      <c r="ED9" s="8">
        <v>12456584.810000001</v>
      </c>
      <c r="EE9" s="14">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workbookViewId="0">
      <selection activeCell="H26" sqref="H26"/>
    </sheetView>
  </sheetViews>
  <sheetFormatPr defaultRowHeight="14.25" x14ac:dyDescent="0.45"/>
  <sheetData>
    <row r="1" spans="1:1" x14ac:dyDescent="0.45">
      <c r="A1" s="1" t="s">
        <v>1363</v>
      </c>
    </row>
    <row r="2" spans="1:1" x14ac:dyDescent="0.45">
      <c r="A2" t="s">
        <v>1364</v>
      </c>
    </row>
    <row r="4" spans="1:1" x14ac:dyDescent="0.45">
      <c r="A4" t="s">
        <v>1365</v>
      </c>
    </row>
    <row r="5" spans="1:1" x14ac:dyDescent="0.45">
      <c r="A5" t="s">
        <v>1366</v>
      </c>
    </row>
    <row r="6" spans="1:1" x14ac:dyDescent="0.45">
      <c r="A6" t="s">
        <v>1367</v>
      </c>
    </row>
    <row r="8" spans="1:1" x14ac:dyDescent="0.45">
      <c r="A8" t="s">
        <v>1368</v>
      </c>
    </row>
    <row r="9" spans="1:1" x14ac:dyDescent="0.45">
      <c r="A9" t="s">
        <v>1369</v>
      </c>
    </row>
    <row r="10" spans="1:1" x14ac:dyDescent="0.45">
      <c r="A10" t="s">
        <v>1370</v>
      </c>
    </row>
    <row r="11" spans="1:1" x14ac:dyDescent="0.45">
      <c r="A11" t="s">
        <v>1371</v>
      </c>
    </row>
    <row r="12" spans="1:1" x14ac:dyDescent="0.45">
      <c r="A12" t="s">
        <v>1372</v>
      </c>
    </row>
    <row r="13" spans="1:1" x14ac:dyDescent="0.45">
      <c r="A13" t="s">
        <v>1373</v>
      </c>
    </row>
    <row r="14" spans="1:1" x14ac:dyDescent="0.45">
      <c r="A14" t="s">
        <v>1374</v>
      </c>
    </row>
    <row r="15" spans="1:1" x14ac:dyDescent="0.45">
      <c r="A15" t="s">
        <v>1375</v>
      </c>
    </row>
    <row r="17" spans="1:1" x14ac:dyDescent="0.45">
      <c r="A17" t="s">
        <v>1376</v>
      </c>
    </row>
    <row r="18" spans="1:1" x14ac:dyDescent="0.45">
      <c r="A18" t="s">
        <v>1377</v>
      </c>
    </row>
    <row r="19" spans="1:1" x14ac:dyDescent="0.45">
      <c r="A19" t="s">
        <v>1378</v>
      </c>
    </row>
    <row r="20" spans="1:1" x14ac:dyDescent="0.45">
      <c r="A20" t="s">
        <v>1379</v>
      </c>
    </row>
    <row r="21" spans="1:1" x14ac:dyDescent="0.45">
      <c r="A21" t="s">
        <v>1380</v>
      </c>
    </row>
    <row r="23" spans="1:1" x14ac:dyDescent="0.45">
      <c r="A23" t="s">
        <v>1381</v>
      </c>
    </row>
    <row r="24" spans="1:1" x14ac:dyDescent="0.45">
      <c r="A24" t="s">
        <v>1382</v>
      </c>
    </row>
    <row r="25" spans="1:1" x14ac:dyDescent="0.45">
      <c r="A25" t="s">
        <v>1383</v>
      </c>
    </row>
    <row r="26" spans="1:1" x14ac:dyDescent="0.45">
      <c r="A26" t="s">
        <v>1384</v>
      </c>
    </row>
    <row r="27" spans="1:1" x14ac:dyDescent="0.45">
      <c r="A27" t="s">
        <v>1385</v>
      </c>
    </row>
    <row r="29" spans="1:1" x14ac:dyDescent="0.45">
      <c r="A29" t="s">
        <v>1386</v>
      </c>
    </row>
    <row r="30" spans="1:1" x14ac:dyDescent="0.45">
      <c r="A30" t="s">
        <v>1387</v>
      </c>
    </row>
    <row r="31" spans="1:1" x14ac:dyDescent="0.45">
      <c r="A31" t="s">
        <v>1388</v>
      </c>
    </row>
    <row r="32" spans="1:1" x14ac:dyDescent="0.45">
      <c r="A32" t="s">
        <v>1389</v>
      </c>
    </row>
    <row r="33" spans="1:1" x14ac:dyDescent="0.45">
      <c r="A33" t="s">
        <v>1390</v>
      </c>
    </row>
    <row r="34" spans="1:1" x14ac:dyDescent="0.45">
      <c r="A34" t="s">
        <v>1391</v>
      </c>
    </row>
    <row r="35" spans="1:1" x14ac:dyDescent="0.45">
      <c r="A35" t="s">
        <v>1392</v>
      </c>
    </row>
    <row r="36" spans="1:1" x14ac:dyDescent="0.45">
      <c r="A36" t="s">
        <v>1393</v>
      </c>
    </row>
    <row r="37" spans="1:1" x14ac:dyDescent="0.45">
      <c r="A37" t="s">
        <v>1394</v>
      </c>
    </row>
    <row r="38" spans="1:1" x14ac:dyDescent="0.45">
      <c r="A38" t="s">
        <v>1395</v>
      </c>
    </row>
    <row r="39" spans="1:1" x14ac:dyDescent="0.45">
      <c r="A39" t="s">
        <v>1396</v>
      </c>
    </row>
    <row r="40" spans="1:1" x14ac:dyDescent="0.45">
      <c r="A40" t="s">
        <v>1397</v>
      </c>
    </row>
    <row r="41" spans="1:1" x14ac:dyDescent="0.45">
      <c r="A41" t="s">
        <v>1398</v>
      </c>
    </row>
    <row r="43" spans="1:1" x14ac:dyDescent="0.45">
      <c r="A43" t="s">
        <v>1399</v>
      </c>
    </row>
    <row r="44" spans="1:1" x14ac:dyDescent="0.45">
      <c r="A44" t="s">
        <v>1400</v>
      </c>
    </row>
    <row r="45" spans="1:1" x14ac:dyDescent="0.45">
      <c r="A45" t="s">
        <v>1401</v>
      </c>
    </row>
    <row r="46" spans="1:1" x14ac:dyDescent="0.45">
      <c r="A46" t="s">
        <v>1402</v>
      </c>
    </row>
    <row r="47" spans="1:1" x14ac:dyDescent="0.45">
      <c r="A47" t="s">
        <v>1403</v>
      </c>
    </row>
    <row r="48" spans="1:1" x14ac:dyDescent="0.45">
      <c r="A48" t="s">
        <v>1404</v>
      </c>
    </row>
    <row r="50" spans="1:1" x14ac:dyDescent="0.45">
      <c r="A50" t="s">
        <v>1405</v>
      </c>
    </row>
    <row r="51" spans="1:1" x14ac:dyDescent="0.45">
      <c r="A51" t="s">
        <v>1406</v>
      </c>
    </row>
    <row r="52" spans="1:1" x14ac:dyDescent="0.45">
      <c r="A52" t="s">
        <v>1407</v>
      </c>
    </row>
    <row r="53" spans="1:1" x14ac:dyDescent="0.45">
      <c r="A53" t="s">
        <v>1408</v>
      </c>
    </row>
    <row r="54" spans="1:1" x14ac:dyDescent="0.45">
      <c r="A54" t="s">
        <v>1409</v>
      </c>
    </row>
    <row r="55" spans="1:1" x14ac:dyDescent="0.45">
      <c r="A55" t="s">
        <v>1410</v>
      </c>
    </row>
    <row r="56" spans="1:1" x14ac:dyDescent="0.45">
      <c r="A56" t="s">
        <v>1411</v>
      </c>
    </row>
    <row r="57" spans="1:1" x14ac:dyDescent="0.45">
      <c r="A57" t="s">
        <v>1412</v>
      </c>
    </row>
    <row r="58" spans="1:1" x14ac:dyDescent="0.45">
      <c r="A58" t="s">
        <v>1413</v>
      </c>
    </row>
    <row r="59" spans="1:1" x14ac:dyDescent="0.45">
      <c r="A59" t="s">
        <v>1414</v>
      </c>
    </row>
    <row r="61" spans="1:1" x14ac:dyDescent="0.45">
      <c r="A61" t="s">
        <v>1415</v>
      </c>
    </row>
    <row r="62" spans="1:1" x14ac:dyDescent="0.45">
      <c r="A62" t="s">
        <v>1416</v>
      </c>
    </row>
    <row r="64" spans="1:1" x14ac:dyDescent="0.45">
      <c r="A64" t="s">
        <v>1417</v>
      </c>
    </row>
    <row r="65" spans="1:1" x14ac:dyDescent="0.45">
      <c r="A65" t="s">
        <v>1418</v>
      </c>
    </row>
    <row r="66" spans="1:1" x14ac:dyDescent="0.45">
      <c r="A66" t="s">
        <v>1419</v>
      </c>
    </row>
    <row r="67" spans="1:1" x14ac:dyDescent="0.45">
      <c r="A67" t="s">
        <v>1420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SALES DATA</vt:lpstr>
      <vt:lpstr>DasboardPrep</vt:lpstr>
      <vt:lpstr>Dashboard</vt:lpstr>
      <vt:lpstr>ABC Analysis Of SKUs</vt:lpstr>
      <vt:lpstr>ABC Summary</vt:lpstr>
      <vt:lpstr>Salesperson Productivity</vt:lpstr>
      <vt:lpstr> Channel Analysis</vt:lpstr>
      <vt:lpstr>Service Level Analysis</vt:lpstr>
      <vt:lpstr>Discount Compliance</vt:lpstr>
      <vt:lpstr>CohortPivot</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Jill Nandaha</cp:lastModifiedBy>
  <dcterms:created xsi:type="dcterms:W3CDTF">2025-09-28T10:49:35Z</dcterms:created>
  <dcterms:modified xsi:type="dcterms:W3CDTF">2026-01-27T19:26:52Z</dcterms:modified>
</cp:coreProperties>
</file>