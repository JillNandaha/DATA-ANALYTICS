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jeell\Downloads\"/>
    </mc:Choice>
  </mc:AlternateContent>
  <xr:revisionPtr revIDLastSave="0" documentId="13_ncr:1_{2A33A33B-0DF3-43E7-8496-0BCCAA9B471A}" xr6:coauthVersionLast="47" xr6:coauthVersionMax="47" xr10:uidLastSave="{00000000-0000-0000-0000-000000000000}"/>
  <bookViews>
    <workbookView xWindow="38280" yWindow="2505" windowWidth="29040" windowHeight="16440" firstSheet="3" activeTab="3" xr2:uid="{07068F87-16A5-46B5-8CB9-1F6C279F7507}"/>
  </bookViews>
  <sheets>
    <sheet name="Rating Category" sheetId="2" r:id="rId1"/>
    <sheet name="Original Data" sheetId="1" r:id="rId2"/>
    <sheet name="Dashboard prep" sheetId="10" r:id="rId3"/>
    <sheet name="DASHBOARD" sheetId="11" r:id="rId4"/>
    <sheet name="Highest Discount" sheetId="4" r:id="rId5"/>
    <sheet name="Most Reviews" sheetId="5" r:id="rId6"/>
    <sheet name="Rating Count" sheetId="3" r:id="rId7"/>
    <sheet name="Rating- Comparison" sheetId="8" r:id="rId8"/>
    <sheet name="Trend Analysis" sheetId="9" r:id="rId9"/>
    <sheet name="TopBottom Rated" sheetId="6" r:id="rId10"/>
  </sheets>
  <definedNames>
    <definedName name="_xlnm._FilterDatabase" localSheetId="1" hidden="1">'Original Data'!$H$1:$H$116</definedName>
    <definedName name="Slicer_Discount_Category">#N/A</definedName>
    <definedName name="Slicer_Rating_Category">#N/A</definedName>
  </definedNames>
  <calcPr calcId="191029"/>
  <pivotCaches>
    <pivotCache cacheId="3" r:id="rId11"/>
    <pivotCache cacheId="4" r:id="rId12"/>
    <pivotCache cacheId="5" r:id="rId13"/>
    <pivotCache cacheId="6"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H111" i="1"/>
  <c r="E111" i="1"/>
  <c r="C111" i="1"/>
  <c r="B11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2" i="1"/>
  <c r="D111" i="1" l="1"/>
</calcChain>
</file>

<file path=xl/sharedStrings.xml><?xml version="1.0" encoding="utf-8"?>
<sst xmlns="http://schemas.openxmlformats.org/spreadsheetml/2006/main" count="353" uniqueCount="162">
  <si>
    <t>Product</t>
  </si>
  <si>
    <t>Current price</t>
  </si>
  <si>
    <t>old price</t>
  </si>
  <si>
    <t>Discount</t>
  </si>
  <si>
    <t>Review</t>
  </si>
  <si>
    <t>115  Piece Set Of Multifunctional Precision Screwdrivers</t>
  </si>
  <si>
    <t>Weighing Scale Digital Bathroom Body Fat Scale USB-Black</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</si>
  <si>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</si>
  <si>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</si>
  <si>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</si>
  <si>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</si>
  <si>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</si>
  <si>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</si>
  <si>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</si>
  <si>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</si>
  <si>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</si>
  <si>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</si>
  <si>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</si>
  <si>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</si>
  <si>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</si>
  <si>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</si>
  <si>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</si>
  <si>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</si>
  <si>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</si>
  <si>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</si>
  <si>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</si>
  <si>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</si>
  <si>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</si>
  <si>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</si>
  <si>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</si>
  <si>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</si>
  <si>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12 Litre Insulated Lunch Box Grey</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</si>
  <si>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</si>
  <si>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</si>
  <si>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</si>
  <si>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</si>
  <si>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</si>
  <si>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</si>
  <si>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</si>
  <si>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</si>
  <si>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</si>
  <si>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</si>
  <si>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</si>
  <si>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</si>
  <si>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</si>
  <si>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</si>
  <si>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</si>
  <si>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</si>
  <si>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</si>
  <si>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</si>
  <si>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</si>
  <si>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</si>
  <si>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</si>
  <si>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</si>
  <si>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</si>
  <si>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</si>
  <si>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</si>
  <si>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</si>
  <si>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</si>
  <si>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</si>
  <si>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</si>
  <si>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</si>
  <si>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</si>
  <si>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</si>
  <si>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</si>
  <si>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</si>
  <si>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</si>
  <si>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</si>
  <si>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</si>
  <si>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</si>
  <si>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</si>
  <si>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</si>
  <si>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</si>
  <si>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</si>
  <si>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</si>
  <si>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</si>
  <si>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</si>
  <si>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</si>
  <si>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</si>
  <si>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</si>
  <si>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</si>
  <si>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</si>
  <si>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</si>
  <si>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</si>
  <si>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</si>
  <si>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</si>
  <si>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</si>
  <si>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</si>
  <si>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</si>
  <si>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</si>
  <si>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</si>
  <si>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</si>
  <si>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</si>
  <si>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</si>
  <si>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</si>
  <si>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</si>
  <si>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</si>
  <si>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</si>
  <si>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</si>
  <si>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</si>
  <si>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Metal Decorative Hooks Key Hangers Entryway Wall Hooks Towel Hooks Home</t>
  </si>
  <si>
    <t>Portable Mini Cordless Car Vacuum Cleaner Blue</t>
  </si>
  <si>
    <t>Portable Home Small Air Humidifier 3-Speed Fan Green</t>
  </si>
  <si>
    <t>LASA Aluminum Folding Truck Hand Cart 68kg Max</t>
  </si>
  <si>
    <t>Exfoliate And Exfoliate Face Towel Black</t>
  </si>
  <si>
    <t>LED Eye Protection  Desk Lamp , Study, Reading, USB Fan Double Pen Holder</t>
  </si>
  <si>
    <t>53Pcs/Set Yarn Knitting Crochet Hooks With Bag Fortune Cat</t>
  </si>
  <si>
    <t>53 Pieces/Set Yarn Knitting Crochet Hooks With Bag Pansies</t>
  </si>
  <si>
    <t>LASA Stainless Steel Double Wall Mount Soap Dispenser 500ml</t>
  </si>
  <si>
    <t>60W Hot Melt Glue Sprayer Efficient And Stable Glue Dispensing</t>
  </si>
  <si>
    <t>12V 19500rpm Handheld Electric Angle Grinder Tool UK Yellow/Black</t>
  </si>
  <si>
    <t>Memory Foam Neck Pillow Cover, With Pillow Core 50*30cm</t>
  </si>
  <si>
    <t>Bedroom Simple Floor Hanging Clothes Rack Single Pole Hat Rack White</t>
  </si>
  <si>
    <t>Outdoor Portable Water Bottle With Medicine Box 600ML Black</t>
  </si>
  <si>
    <t>2PCS Ice Silk Square Cushion Cover Pillowcases 65x65cm</t>
  </si>
  <si>
    <t>Discount Amount</t>
  </si>
  <si>
    <t>Rating Category</t>
  </si>
  <si>
    <t>Discount Category</t>
  </si>
  <si>
    <t>Row Labels</t>
  </si>
  <si>
    <t>High</t>
  </si>
  <si>
    <t>Low</t>
  </si>
  <si>
    <t>Medium</t>
  </si>
  <si>
    <t>Grand Total</t>
  </si>
  <si>
    <t>Sum of Rating</t>
  </si>
  <si>
    <t>Average of Rating</t>
  </si>
  <si>
    <t>Average of Discount Amount</t>
  </si>
  <si>
    <t>Excellent</t>
  </si>
  <si>
    <t>Average</t>
  </si>
  <si>
    <t>Poor</t>
  </si>
  <si>
    <t>Count of Product</t>
  </si>
  <si>
    <t>Sum of Review</t>
  </si>
  <si>
    <t>Average of Review</t>
  </si>
  <si>
    <t>Sum of Discount</t>
  </si>
  <si>
    <t>0.01-0.11</t>
  </si>
  <si>
    <t>0.11-0.21</t>
  </si>
  <si>
    <t>0.21-0.31</t>
  </si>
  <si>
    <t>0.31-0.41</t>
  </si>
  <si>
    <t>0.41-0.51</t>
  </si>
  <si>
    <t>0.51-0.61</t>
  </si>
  <si>
    <t>0.61-0.71</t>
  </si>
  <si>
    <t>2-3</t>
  </si>
  <si>
    <t>3-4</t>
  </si>
  <si>
    <t>4-5</t>
  </si>
  <si>
    <t>Higher discounts do not generally increase customer engagement</t>
  </si>
  <si>
    <t>Higher rated products do have more reviews</t>
  </si>
  <si>
    <t>Average of Discount</t>
  </si>
  <si>
    <t>Column Labels</t>
  </si>
  <si>
    <t xml:space="preserve">High discounts do not necessarily warrant high ratings </t>
  </si>
  <si>
    <t>SUMMARY</t>
  </si>
  <si>
    <t>Items with the highest discount have a varying number of reviews, some high some average</t>
  </si>
  <si>
    <t>Items with low and high ratings have more reviews that those in the medium range</t>
  </si>
  <si>
    <t>Items such as vaccum cleaners and cake decorating tool have some of the highest reviews</t>
  </si>
  <si>
    <t>Over 67% of items are averagely rated while only 11% are poorly rated</t>
  </si>
  <si>
    <t>Most of the top rated items are home/office items/furniture and appliances</t>
  </si>
  <si>
    <t>Products such as cooking pot set and mosquito killer lamp have high discounts but low ratings</t>
  </si>
  <si>
    <t>RECOMMENDATIONS</t>
  </si>
  <si>
    <t>Improve quality for poorly rated items to improve sales and ratings</t>
  </si>
  <si>
    <t>Set targeted discounts for a specific period to monitor performance, eg discounts on electronics for Valentines period, then assess performance pre and post sales.</t>
  </si>
  <si>
    <t>A large percentage of items are averagely rated; we can research on how best to improve these items , eg feature improvement, durability, to move them from average to high rating</t>
  </si>
  <si>
    <t>Expand SKUs in high rating category items, and promote sales with bundling, more ads</t>
  </si>
  <si>
    <t>Further investigation on why some high discount items still get low ratings; check quality, delivery time, durability, in order to change that</t>
  </si>
  <si>
    <t>Improve product positioning, and set pricing according to items' perceived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</si>
</sst>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Ksh-441]\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0" fontId="16" fillId="0" borderId="0" xfId="0" applyFont="1"/>
    <xf numFmtId="2" fontId="16" fillId="0" borderId="0" xfId="0" applyNumberFormat="1" applyFont="1"/>
    <xf numFmtId="2" fontId="0" fillId="0" borderId="0" xfId="0" applyNumberForma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[Excel_jumia-FINAL.csv.xlsx]Highest Discount!PivotTable13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WITH HIGHEST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Discount'!$B$18</c:f>
              <c:strCache>
                <c:ptCount val="1"/>
                <c:pt idx="0">
                  <c:v>Total</c:v>
                </c:pt>
              </c:strCache>
            </c:strRef>
          </c:tx>
          <c:spPr>
            <a:solidFill>
              <a:schemeClr val="accent1"/>
            </a:solidFill>
            <a:ln>
              <a:noFill/>
            </a:ln>
            <a:effectLst/>
          </c:spPr>
          <c:invertIfNegative val="0"/>
          <c:cat>
            <c:strRef>
              <c:f>'Highest Discount'!$A$19:$A$29</c:f>
              <c:strCache>
                <c:ptCount val="10"/>
                <c:pt idx="0">
                  <c:v>5-PCS Stainless Steel Cooking Pot Set With Steamed Slices</c:v>
                </c:pt>
                <c:pt idx="1">
                  <c:v>LASA FOLDING TABLE SERVING STAND</c:v>
                </c:pt>
                <c:pt idx="2">
                  <c:v>LASA 3 Tier Bamboo Shoe Bench Storage Shelf</c:v>
                </c:pt>
                <c:pt idx="3">
                  <c:v>LASA Aluminum Folding Truck Hand Cart 68kg Max</c:v>
                </c:pt>
                <c:pt idx="4">
                  <c:v>LED Eye Protection  Desk Lamp , Study, Reading, USB Fan Double Pen Holder</c:v>
                </c:pt>
                <c:pt idx="5">
                  <c:v>Electric LED UV Mosquito Killer Lamp, Outdoor/Indoor Fly Killer Trap Light -USB</c:v>
                </c:pt>
                <c:pt idx="6">
                  <c:v>MultiFunctional Storage Rack Multi-layer Bookshelf</c:v>
                </c:pt>
                <c:pt idx="7">
                  <c:v>4pcs Bathroom/Kitchen Towel Rack,Roll Paper Holder,Towel Bars,Hook</c:v>
                </c:pt>
                <c:pt idx="8">
                  <c:v>32PCS Portable Cordless Drill Set With Cyclic Battery Drive -26 Variable Speed</c:v>
                </c:pt>
                <c:pt idx="9">
                  <c:v>LASA Stainless Steel Double Wall Mount Soap Dispenser 500ml</c:v>
                </c:pt>
              </c:strCache>
            </c:strRef>
          </c:cat>
          <c:val>
            <c:numRef>
              <c:f>'Highest Discount'!$B$19:$B$29</c:f>
              <c:numCache>
                <c:formatCode>0.00</c:formatCode>
                <c:ptCount val="10"/>
                <c:pt idx="0">
                  <c:v>0.55000000000000004</c:v>
                </c:pt>
                <c:pt idx="1">
                  <c:v>0.55000000000000004</c:v>
                </c:pt>
                <c:pt idx="2">
                  <c:v>0.54</c:v>
                </c:pt>
                <c:pt idx="3">
                  <c:v>0.49</c:v>
                </c:pt>
                <c:pt idx="4">
                  <c:v>0.48</c:v>
                </c:pt>
                <c:pt idx="5">
                  <c:v>0.47</c:v>
                </c:pt>
                <c:pt idx="6">
                  <c:v>0.46</c:v>
                </c:pt>
                <c:pt idx="7">
                  <c:v>0.42</c:v>
                </c:pt>
                <c:pt idx="8">
                  <c:v>0.39</c:v>
                </c:pt>
                <c:pt idx="9">
                  <c:v>0.38</c:v>
                </c:pt>
              </c:numCache>
            </c:numRef>
          </c:val>
          <c:extLst>
            <c:ext xmlns:c16="http://schemas.microsoft.com/office/drawing/2014/chart" uri="{C3380CC4-5D6E-409C-BE32-E72D297353CC}">
              <c16:uniqueId val="{00000000-E044-44DD-BB55-76EFD104B80D}"/>
            </c:ext>
          </c:extLst>
        </c:ser>
        <c:dLbls>
          <c:showLegendKey val="0"/>
          <c:showVal val="0"/>
          <c:showCatName val="0"/>
          <c:showSerName val="0"/>
          <c:showPercent val="0"/>
          <c:showBubbleSize val="0"/>
        </c:dLbls>
        <c:gapWidth val="219"/>
        <c:overlap val="-27"/>
        <c:axId val="632004888"/>
        <c:axId val="632002728"/>
      </c:barChart>
      <c:catAx>
        <c:axId val="632004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02728"/>
        <c:crosses val="autoZero"/>
        <c:auto val="1"/>
        <c:lblAlgn val="ctr"/>
        <c:lblOffset val="100"/>
        <c:noMultiLvlLbl val="0"/>
      </c:catAx>
      <c:valAx>
        <c:axId val="632002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04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[Excel_jumia-FINAL.csv.xlsx]Most Reviews!PivotTable12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WITH HIGHEST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Reviews'!$B$18</c:f>
              <c:strCache>
                <c:ptCount val="1"/>
                <c:pt idx="0">
                  <c:v>Total</c:v>
                </c:pt>
              </c:strCache>
            </c:strRef>
          </c:tx>
          <c:spPr>
            <a:solidFill>
              <a:schemeClr val="accent1"/>
            </a:solidFill>
            <a:ln>
              <a:noFill/>
            </a:ln>
            <a:effectLst/>
          </c:spPr>
          <c:invertIfNegative val="0"/>
          <c:cat>
            <c:strRef>
              <c:f>'Most Reviews'!$A$19:$A$29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'Most Reviews'!$B$19:$B$29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9AFF-4312-91AA-39057835F1D2}"/>
            </c:ext>
          </c:extLst>
        </c:ser>
        <c:dLbls>
          <c:showLegendKey val="0"/>
          <c:showVal val="0"/>
          <c:showCatName val="0"/>
          <c:showSerName val="0"/>
          <c:showPercent val="0"/>
          <c:showBubbleSize val="0"/>
        </c:dLbls>
        <c:gapWidth val="219"/>
        <c:overlap val="-27"/>
        <c:axId val="630599600"/>
        <c:axId val="630600680"/>
      </c:barChart>
      <c:catAx>
        <c:axId val="63059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00680"/>
        <c:crosses val="autoZero"/>
        <c:auto val="1"/>
        <c:lblAlgn val="ctr"/>
        <c:lblOffset val="100"/>
        <c:noMultiLvlLbl val="0"/>
      </c:catAx>
      <c:valAx>
        <c:axId val="63060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9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[Excel_jumia-FINAL.csv.xlsx]Trend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Total</c:v>
                </c:pt>
              </c:strCache>
            </c:strRef>
          </c:tx>
          <c:spPr>
            <a:ln w="28575" cap="rnd">
              <a:solidFill>
                <a:schemeClr val="accent1"/>
              </a:solidFill>
              <a:round/>
            </a:ln>
            <a:effectLst/>
          </c:spPr>
          <c:marker>
            <c:symbol val="none"/>
          </c:marker>
          <c:cat>
            <c:strRef>
              <c:f>'Trend Analysis'!$A$4:$A$11</c:f>
              <c:strCache>
                <c:ptCount val="7"/>
                <c:pt idx="0">
                  <c:v>0.01-0.11</c:v>
                </c:pt>
                <c:pt idx="1">
                  <c:v>0.11-0.21</c:v>
                </c:pt>
                <c:pt idx="2">
                  <c:v>0.21-0.31</c:v>
                </c:pt>
                <c:pt idx="3">
                  <c:v>0.31-0.41</c:v>
                </c:pt>
                <c:pt idx="4">
                  <c:v>0.41-0.51</c:v>
                </c:pt>
                <c:pt idx="5">
                  <c:v>0.51-0.61</c:v>
                </c:pt>
                <c:pt idx="6">
                  <c:v>0.61-0.71</c:v>
                </c:pt>
              </c:strCache>
            </c:strRef>
          </c:cat>
          <c:val>
            <c:numRef>
              <c:f>'Trend Analysis'!$B$4:$B$11</c:f>
              <c:numCache>
                <c:formatCode>General</c:formatCode>
                <c:ptCount val="7"/>
                <c:pt idx="0">
                  <c:v>15</c:v>
                </c:pt>
                <c:pt idx="1">
                  <c:v>35</c:v>
                </c:pt>
                <c:pt idx="2">
                  <c:v>192</c:v>
                </c:pt>
                <c:pt idx="3">
                  <c:v>147</c:v>
                </c:pt>
                <c:pt idx="4">
                  <c:v>258</c:v>
                </c:pt>
                <c:pt idx="5">
                  <c:v>76</c:v>
                </c:pt>
                <c:pt idx="6">
                  <c:v>0</c:v>
                </c:pt>
              </c:numCache>
            </c:numRef>
          </c:val>
          <c:smooth val="0"/>
          <c:extLst>
            <c:ext xmlns:c16="http://schemas.microsoft.com/office/drawing/2014/chart" uri="{C3380CC4-5D6E-409C-BE32-E72D297353CC}">
              <c16:uniqueId val="{00000000-16CB-4958-9980-20D21430D0FC}"/>
            </c:ext>
          </c:extLst>
        </c:ser>
        <c:dLbls>
          <c:showLegendKey val="0"/>
          <c:showVal val="0"/>
          <c:showCatName val="0"/>
          <c:showSerName val="0"/>
          <c:showPercent val="0"/>
          <c:showBubbleSize val="0"/>
        </c:dLbls>
        <c:smooth val="0"/>
        <c:axId val="637039192"/>
        <c:axId val="637033072"/>
      </c:lineChart>
      <c:catAx>
        <c:axId val="63703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33072"/>
        <c:crosses val="autoZero"/>
        <c:auto val="1"/>
        <c:lblAlgn val="ctr"/>
        <c:lblOffset val="100"/>
        <c:noMultiLvlLbl val="0"/>
      </c:catAx>
      <c:valAx>
        <c:axId val="6370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39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[Excel_jumia-FINAL.csv.xlsx]Trend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Analysis'!$B$25</c:f>
              <c:strCache>
                <c:ptCount val="1"/>
                <c:pt idx="0">
                  <c:v>Total</c:v>
                </c:pt>
              </c:strCache>
            </c:strRef>
          </c:tx>
          <c:spPr>
            <a:ln w="28575" cap="rnd">
              <a:solidFill>
                <a:schemeClr val="accent1"/>
              </a:solidFill>
              <a:round/>
            </a:ln>
            <a:effectLst/>
          </c:spPr>
          <c:marker>
            <c:symbol val="none"/>
          </c:marker>
          <c:cat>
            <c:strRef>
              <c:f>'Trend Analysis'!$A$26:$A$29</c:f>
              <c:strCache>
                <c:ptCount val="3"/>
                <c:pt idx="0">
                  <c:v>2-3</c:v>
                </c:pt>
                <c:pt idx="1">
                  <c:v>3-4</c:v>
                </c:pt>
                <c:pt idx="2">
                  <c:v>4-5</c:v>
                </c:pt>
              </c:strCache>
            </c:strRef>
          </c:cat>
          <c:val>
            <c:numRef>
              <c:f>'Trend Analysis'!$B$26:$B$29</c:f>
              <c:numCache>
                <c:formatCode>0.00</c:formatCode>
                <c:ptCount val="3"/>
                <c:pt idx="0">
                  <c:v>14.083333333333334</c:v>
                </c:pt>
                <c:pt idx="1">
                  <c:v>1.1311475409836065</c:v>
                </c:pt>
                <c:pt idx="2">
                  <c:v>13.472222222222221</c:v>
                </c:pt>
              </c:numCache>
            </c:numRef>
          </c:val>
          <c:smooth val="0"/>
          <c:extLst>
            <c:ext xmlns:c16="http://schemas.microsoft.com/office/drawing/2014/chart" uri="{C3380CC4-5D6E-409C-BE32-E72D297353CC}">
              <c16:uniqueId val="{00000000-A56B-48FD-B73B-F75CB6E03945}"/>
            </c:ext>
          </c:extLst>
        </c:ser>
        <c:dLbls>
          <c:showLegendKey val="0"/>
          <c:showVal val="0"/>
          <c:showCatName val="0"/>
          <c:showSerName val="0"/>
          <c:showPercent val="0"/>
          <c:showBubbleSize val="0"/>
        </c:dLbls>
        <c:smooth val="0"/>
        <c:axId val="715777192"/>
        <c:axId val="715777552"/>
      </c:lineChart>
      <c:catAx>
        <c:axId val="715777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77552"/>
        <c:crosses val="autoZero"/>
        <c:auto val="1"/>
        <c:lblAlgn val="ctr"/>
        <c:lblOffset val="100"/>
        <c:noMultiLvlLbl val="0"/>
      </c:catAx>
      <c:valAx>
        <c:axId val="715777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77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[Excel_jumia-FINAL.csv.xlsx]TopBottom Rated!PivotTable10</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RATED ITEMS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'TopBottom Rated'!$N$3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'TopBottom Rated'!$M$4:$M$11</c:f>
              <c:strCache>
                <c:ptCount val="7"/>
                <c:pt idx="0">
                  <c:v>Anti-Skid Absorbent Insulation Coaster  For Home Office</c:v>
                </c:pt>
                <c:pt idx="1">
                  <c:v>Bedroom Simple Floor Hanging Clothes Rack Single Pole Hat Rack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68kg Max</c:v>
                </c:pt>
                <c:pt idx="6">
                  <c:v>Peacock  Throw Pillow Cushion Case For Home Car</c:v>
                </c:pt>
              </c:strCache>
            </c:strRef>
          </c:cat>
          <c:val>
            <c:numRef>
              <c:f>'TopBottom Rated'!$N$4:$N$11</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AFCA-43D9-BBEF-BD65BF5DCEE5}"/>
            </c:ext>
          </c:extLst>
        </c:ser>
        <c:dLbls>
          <c:dLblPos val="outEnd"/>
          <c:showLegendKey val="0"/>
          <c:showVal val="1"/>
          <c:showCatName val="0"/>
          <c:showSerName val="0"/>
          <c:showPercent val="0"/>
          <c:showBubbleSize val="0"/>
        </c:dLbls>
        <c:gapWidth val="444"/>
        <c:overlap val="-90"/>
        <c:axId val="377290776"/>
        <c:axId val="377292216"/>
      </c:barChart>
      <c:catAx>
        <c:axId val="377290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7292216"/>
        <c:crosses val="autoZero"/>
        <c:auto val="1"/>
        <c:lblAlgn val="ctr"/>
        <c:lblOffset val="100"/>
        <c:noMultiLvlLbl val="0"/>
      </c:catAx>
      <c:valAx>
        <c:axId val="377292216"/>
        <c:scaling>
          <c:orientation val="minMax"/>
        </c:scaling>
        <c:delete val="1"/>
        <c:axPos val="l"/>
        <c:numFmt formatCode="0.0" sourceLinked="1"/>
        <c:majorTickMark val="none"/>
        <c:minorTickMark val="none"/>
        <c:tickLblPos val="nextTo"/>
        <c:crossAx val="377290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BOTTOM</a:t>
            </a:r>
            <a:r>
              <a:rPr lang="en-US" baseline="0"/>
              <a:t> RATED ITEMS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7-piece Set Of Storage Bags, Travel Storage Bags, Shoe Bags</c:v>
              </c:pt>
              <c:pt idx="1">
                <c:v>Artificial Potted Flowers Room Decorative Flowers (2 Pieces)</c:v>
              </c:pt>
              <c:pt idx="2">
                <c:v>5-PCS Stainless Steel Cooking Pot Set With Steamed Slices</c:v>
              </c:pt>
              <c:pt idx="3">
                <c:v>Electric LED UV Mosquito Killer Lamp, Outdoor/Indoor Fly Killer Trap Light -USB</c:v>
              </c:pt>
              <c:pt idx="4">
                <c:v>Wall-mounted Sticker Punch-free Plug Fixer</c:v>
              </c:pt>
            </c:strLit>
          </c:cat>
          <c:val>
            <c:numLit>
              <c:formatCode>General</c:formatCode>
              <c:ptCount val="5"/>
              <c:pt idx="0">
                <c:v>2.2000000000000002</c:v>
              </c:pt>
              <c:pt idx="1">
                <c:v>2.2000000000000002</c:v>
              </c:pt>
              <c:pt idx="2">
                <c:v>2.1</c:v>
              </c:pt>
              <c:pt idx="3">
                <c:v>2.1</c:v>
              </c:pt>
              <c:pt idx="4">
                <c:v>2</c:v>
              </c:pt>
            </c:numLit>
          </c:val>
          <c:extLst>
            <c:ext xmlns:c16="http://schemas.microsoft.com/office/drawing/2014/chart" uri="{C3380CC4-5D6E-409C-BE32-E72D297353CC}">
              <c16:uniqueId val="{00000000-D7F8-4224-8232-12034F17FEE3}"/>
            </c:ext>
          </c:extLst>
        </c:ser>
        <c:dLbls>
          <c:dLblPos val="outEnd"/>
          <c:showLegendKey val="0"/>
          <c:showVal val="1"/>
          <c:showCatName val="0"/>
          <c:showSerName val="0"/>
          <c:showPercent val="0"/>
          <c:showBubbleSize val="0"/>
        </c:dLbls>
        <c:gapWidth val="444"/>
        <c:overlap val="-90"/>
        <c:axId val="630937200"/>
        <c:axId val="630609320"/>
      </c:barChart>
      <c:catAx>
        <c:axId val="630937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0609320"/>
        <c:crosses val="autoZero"/>
        <c:auto val="1"/>
        <c:lblAlgn val="ctr"/>
        <c:lblOffset val="100"/>
        <c:noMultiLvlLbl val="0"/>
      </c:catAx>
      <c:valAx>
        <c:axId val="630609320"/>
        <c:scaling>
          <c:orientation val="minMax"/>
        </c:scaling>
        <c:delete val="1"/>
        <c:axPos val="l"/>
        <c:numFmt formatCode="General" sourceLinked="1"/>
        <c:majorTickMark val="none"/>
        <c:minorTickMark val="none"/>
        <c:tickLblPos val="nextTo"/>
        <c:crossAx val="63093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[Excel_jumia-FINAL.csv.xlsx]Highest Discount!PivotTable13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WITH HIGHEST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Discount'!$B$18</c:f>
              <c:strCache>
                <c:ptCount val="1"/>
                <c:pt idx="0">
                  <c:v>Total</c:v>
                </c:pt>
              </c:strCache>
            </c:strRef>
          </c:tx>
          <c:spPr>
            <a:solidFill>
              <a:schemeClr val="accent1"/>
            </a:solidFill>
            <a:ln>
              <a:noFill/>
            </a:ln>
            <a:effectLst/>
          </c:spPr>
          <c:invertIfNegative val="0"/>
          <c:cat>
            <c:strRef>
              <c:f>'Highest Discount'!$A$19:$A$29</c:f>
              <c:strCache>
                <c:ptCount val="10"/>
                <c:pt idx="0">
                  <c:v>5-PCS Stainless Steel Cooking Pot Set With Steamed Slices</c:v>
                </c:pt>
                <c:pt idx="1">
                  <c:v>LASA FOLDING TABLE SERVING STAND</c:v>
                </c:pt>
                <c:pt idx="2">
                  <c:v>LASA 3 Tier Bamboo Shoe Bench Storage Shelf</c:v>
                </c:pt>
                <c:pt idx="3">
                  <c:v>LASA Aluminum Folding Truck Hand Cart 68kg Max</c:v>
                </c:pt>
                <c:pt idx="4">
                  <c:v>LED Eye Protection  Desk Lamp , Study, Reading, USB Fan Double Pen Holder</c:v>
                </c:pt>
                <c:pt idx="5">
                  <c:v>Electric LED UV Mosquito Killer Lamp, Outdoor/Indoor Fly Killer Trap Light -USB</c:v>
                </c:pt>
                <c:pt idx="6">
                  <c:v>MultiFunctional Storage Rack Multi-layer Bookshelf</c:v>
                </c:pt>
                <c:pt idx="7">
                  <c:v>4pcs Bathroom/Kitchen Towel Rack,Roll Paper Holder,Towel Bars,Hook</c:v>
                </c:pt>
                <c:pt idx="8">
                  <c:v>32PCS Portable Cordless Drill Set With Cyclic Battery Drive -26 Variable Speed</c:v>
                </c:pt>
                <c:pt idx="9">
                  <c:v>LASA Stainless Steel Double Wall Mount Soap Dispenser 500ml</c:v>
                </c:pt>
              </c:strCache>
            </c:strRef>
          </c:cat>
          <c:val>
            <c:numRef>
              <c:f>'Highest Discount'!$B$19:$B$29</c:f>
              <c:numCache>
                <c:formatCode>0.00</c:formatCode>
                <c:ptCount val="10"/>
                <c:pt idx="0">
                  <c:v>0.55000000000000004</c:v>
                </c:pt>
                <c:pt idx="1">
                  <c:v>0.55000000000000004</c:v>
                </c:pt>
                <c:pt idx="2">
                  <c:v>0.54</c:v>
                </c:pt>
                <c:pt idx="3">
                  <c:v>0.49</c:v>
                </c:pt>
                <c:pt idx="4">
                  <c:v>0.48</c:v>
                </c:pt>
                <c:pt idx="5">
                  <c:v>0.47</c:v>
                </c:pt>
                <c:pt idx="6">
                  <c:v>0.46</c:v>
                </c:pt>
                <c:pt idx="7">
                  <c:v>0.42</c:v>
                </c:pt>
                <c:pt idx="8">
                  <c:v>0.39</c:v>
                </c:pt>
                <c:pt idx="9">
                  <c:v>0.38</c:v>
                </c:pt>
              </c:numCache>
            </c:numRef>
          </c:val>
          <c:extLst>
            <c:ext xmlns:c16="http://schemas.microsoft.com/office/drawing/2014/chart" uri="{C3380CC4-5D6E-409C-BE32-E72D297353CC}">
              <c16:uniqueId val="{00000000-9C9F-4B05-9C4A-72085DFD4E3E}"/>
            </c:ext>
          </c:extLst>
        </c:ser>
        <c:dLbls>
          <c:showLegendKey val="0"/>
          <c:showVal val="0"/>
          <c:showCatName val="0"/>
          <c:showSerName val="0"/>
          <c:showPercent val="0"/>
          <c:showBubbleSize val="0"/>
        </c:dLbls>
        <c:gapWidth val="219"/>
        <c:overlap val="-27"/>
        <c:axId val="632004888"/>
        <c:axId val="632002728"/>
      </c:barChart>
      <c:catAx>
        <c:axId val="632004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02728"/>
        <c:crosses val="autoZero"/>
        <c:auto val="1"/>
        <c:lblAlgn val="ctr"/>
        <c:lblOffset val="100"/>
        <c:noMultiLvlLbl val="0"/>
      </c:catAx>
      <c:valAx>
        <c:axId val="632002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04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[Excel_jumia-FINAL.csv.xlsx]Most Reviews!PivotTable12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WITH HIGHEST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Reviews'!$B$18</c:f>
              <c:strCache>
                <c:ptCount val="1"/>
                <c:pt idx="0">
                  <c:v>Total</c:v>
                </c:pt>
              </c:strCache>
            </c:strRef>
          </c:tx>
          <c:spPr>
            <a:solidFill>
              <a:schemeClr val="accent1"/>
            </a:solidFill>
            <a:ln>
              <a:noFill/>
            </a:ln>
            <a:effectLst/>
          </c:spPr>
          <c:invertIfNegative val="0"/>
          <c:cat>
            <c:strRef>
              <c:f>'Most Reviews'!$A$19:$A$29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'Most Reviews'!$B$19:$B$29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0A0A-4EB0-A778-C30C780814EB}"/>
            </c:ext>
          </c:extLst>
        </c:ser>
        <c:dLbls>
          <c:showLegendKey val="0"/>
          <c:showVal val="0"/>
          <c:showCatName val="0"/>
          <c:showSerName val="0"/>
          <c:showPercent val="0"/>
          <c:showBubbleSize val="0"/>
        </c:dLbls>
        <c:gapWidth val="219"/>
        <c:overlap val="-27"/>
        <c:axId val="630599600"/>
        <c:axId val="630600680"/>
      </c:barChart>
      <c:catAx>
        <c:axId val="63059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00680"/>
        <c:crosses val="autoZero"/>
        <c:auto val="1"/>
        <c:lblAlgn val="ctr"/>
        <c:lblOffset val="100"/>
        <c:noMultiLvlLbl val="0"/>
      </c:catAx>
      <c:valAx>
        <c:axId val="63060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9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[Excel_jumia-FINAL.csv.xlsx]Trend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Total</c:v>
                </c:pt>
              </c:strCache>
            </c:strRef>
          </c:tx>
          <c:spPr>
            <a:ln w="28575" cap="rnd">
              <a:solidFill>
                <a:schemeClr val="accent1"/>
              </a:solidFill>
              <a:round/>
            </a:ln>
            <a:effectLst/>
          </c:spPr>
          <c:marker>
            <c:symbol val="none"/>
          </c:marker>
          <c:cat>
            <c:strRef>
              <c:f>'Trend Analysis'!$A$4:$A$11</c:f>
              <c:strCache>
                <c:ptCount val="7"/>
                <c:pt idx="0">
                  <c:v>0.01-0.11</c:v>
                </c:pt>
                <c:pt idx="1">
                  <c:v>0.11-0.21</c:v>
                </c:pt>
                <c:pt idx="2">
                  <c:v>0.21-0.31</c:v>
                </c:pt>
                <c:pt idx="3">
                  <c:v>0.31-0.41</c:v>
                </c:pt>
                <c:pt idx="4">
                  <c:v>0.41-0.51</c:v>
                </c:pt>
                <c:pt idx="5">
                  <c:v>0.51-0.61</c:v>
                </c:pt>
                <c:pt idx="6">
                  <c:v>0.61-0.71</c:v>
                </c:pt>
              </c:strCache>
            </c:strRef>
          </c:cat>
          <c:val>
            <c:numRef>
              <c:f>'Trend Analysis'!$B$4:$B$11</c:f>
              <c:numCache>
                <c:formatCode>General</c:formatCode>
                <c:ptCount val="7"/>
                <c:pt idx="0">
                  <c:v>15</c:v>
                </c:pt>
                <c:pt idx="1">
                  <c:v>35</c:v>
                </c:pt>
                <c:pt idx="2">
                  <c:v>192</c:v>
                </c:pt>
                <c:pt idx="3">
                  <c:v>147</c:v>
                </c:pt>
                <c:pt idx="4">
                  <c:v>258</c:v>
                </c:pt>
                <c:pt idx="5">
                  <c:v>76</c:v>
                </c:pt>
                <c:pt idx="6">
                  <c:v>0</c:v>
                </c:pt>
              </c:numCache>
            </c:numRef>
          </c:val>
          <c:smooth val="0"/>
          <c:extLst>
            <c:ext xmlns:c16="http://schemas.microsoft.com/office/drawing/2014/chart" uri="{C3380CC4-5D6E-409C-BE32-E72D297353CC}">
              <c16:uniqueId val="{00000000-F2B9-47E3-8FE0-481A4DAEDAF7}"/>
            </c:ext>
          </c:extLst>
        </c:ser>
        <c:dLbls>
          <c:showLegendKey val="0"/>
          <c:showVal val="0"/>
          <c:showCatName val="0"/>
          <c:showSerName val="0"/>
          <c:showPercent val="0"/>
          <c:showBubbleSize val="0"/>
        </c:dLbls>
        <c:smooth val="0"/>
        <c:axId val="637039192"/>
        <c:axId val="637033072"/>
      </c:lineChart>
      <c:catAx>
        <c:axId val="63703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33072"/>
        <c:crosses val="autoZero"/>
        <c:auto val="1"/>
        <c:lblAlgn val="ctr"/>
        <c:lblOffset val="100"/>
        <c:noMultiLvlLbl val="0"/>
      </c:catAx>
      <c:valAx>
        <c:axId val="6370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39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[Excel_jumia-FINAL.csv.xlsx]Trend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Analysis'!$B$25</c:f>
              <c:strCache>
                <c:ptCount val="1"/>
                <c:pt idx="0">
                  <c:v>Total</c:v>
                </c:pt>
              </c:strCache>
            </c:strRef>
          </c:tx>
          <c:spPr>
            <a:ln w="28575" cap="rnd">
              <a:solidFill>
                <a:schemeClr val="accent1"/>
              </a:solidFill>
              <a:round/>
            </a:ln>
            <a:effectLst/>
          </c:spPr>
          <c:marker>
            <c:symbol val="none"/>
          </c:marker>
          <c:cat>
            <c:strRef>
              <c:f>'Trend Analysis'!$A$26:$A$29</c:f>
              <c:strCache>
                <c:ptCount val="3"/>
                <c:pt idx="0">
                  <c:v>2-3</c:v>
                </c:pt>
                <c:pt idx="1">
                  <c:v>3-4</c:v>
                </c:pt>
                <c:pt idx="2">
                  <c:v>4-5</c:v>
                </c:pt>
              </c:strCache>
            </c:strRef>
          </c:cat>
          <c:val>
            <c:numRef>
              <c:f>'Trend Analysis'!$B$26:$B$29</c:f>
              <c:numCache>
                <c:formatCode>0.00</c:formatCode>
                <c:ptCount val="3"/>
                <c:pt idx="0">
                  <c:v>14.083333333333334</c:v>
                </c:pt>
                <c:pt idx="1">
                  <c:v>1.1311475409836065</c:v>
                </c:pt>
                <c:pt idx="2">
                  <c:v>13.472222222222221</c:v>
                </c:pt>
              </c:numCache>
            </c:numRef>
          </c:val>
          <c:smooth val="0"/>
          <c:extLst>
            <c:ext xmlns:c16="http://schemas.microsoft.com/office/drawing/2014/chart" uri="{C3380CC4-5D6E-409C-BE32-E72D297353CC}">
              <c16:uniqueId val="{00000000-C277-4A19-BAA8-6115364B889D}"/>
            </c:ext>
          </c:extLst>
        </c:ser>
        <c:dLbls>
          <c:showLegendKey val="0"/>
          <c:showVal val="0"/>
          <c:showCatName val="0"/>
          <c:showSerName val="0"/>
          <c:showPercent val="0"/>
          <c:showBubbleSize val="0"/>
        </c:dLbls>
        <c:smooth val="0"/>
        <c:axId val="715777192"/>
        <c:axId val="715777552"/>
      </c:lineChart>
      <c:catAx>
        <c:axId val="715777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77552"/>
        <c:crosses val="autoZero"/>
        <c:auto val="1"/>
        <c:lblAlgn val="ctr"/>
        <c:lblOffset val="100"/>
        <c:noMultiLvlLbl val="0"/>
      </c:catAx>
      <c:valAx>
        <c:axId val="715777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77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[Excel_jumia-FINAL.csv.xlsx]TopBottom Rated!PivotTable10</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RATED ITEMS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'TopBottom Rated'!$N$3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'TopBottom Rated'!$M$4:$M$11</c:f>
              <c:strCache>
                <c:ptCount val="7"/>
                <c:pt idx="0">
                  <c:v>Anti-Skid Absorbent Insulation Coaster  For Home Office</c:v>
                </c:pt>
                <c:pt idx="1">
                  <c:v>Bedroom Simple Floor Hanging Clothes Rack Single Pole Hat Rack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68kg Max</c:v>
                </c:pt>
                <c:pt idx="6">
                  <c:v>Peacock  Throw Pillow Cushion Case For Home Car</c:v>
                </c:pt>
              </c:strCache>
            </c:strRef>
          </c:cat>
          <c:val>
            <c:numRef>
              <c:f>'TopBottom Rated'!$N$4:$N$11</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5DDF-4C19-98F7-6887FAE1CACF}"/>
            </c:ext>
          </c:extLst>
        </c:ser>
        <c:dLbls>
          <c:dLblPos val="outEnd"/>
          <c:showLegendKey val="0"/>
          <c:showVal val="1"/>
          <c:showCatName val="0"/>
          <c:showSerName val="0"/>
          <c:showPercent val="0"/>
          <c:showBubbleSize val="0"/>
        </c:dLbls>
        <c:gapWidth val="444"/>
        <c:overlap val="-90"/>
        <c:axId val="377290776"/>
        <c:axId val="377292216"/>
      </c:barChart>
      <c:catAx>
        <c:axId val="377290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7292216"/>
        <c:crosses val="autoZero"/>
        <c:auto val="1"/>
        <c:lblAlgn val="ctr"/>
        <c:lblOffset val="100"/>
        <c:noMultiLvlLbl val="0"/>
      </c:catAx>
      <c:valAx>
        <c:axId val="377292216"/>
        <c:scaling>
          <c:orientation val="minMax"/>
        </c:scaling>
        <c:delete val="1"/>
        <c:axPos val="l"/>
        <c:numFmt formatCode="0.0" sourceLinked="1"/>
        <c:majorTickMark val="none"/>
        <c:minorTickMark val="none"/>
        <c:tickLblPos val="nextTo"/>
        <c:crossAx val="377290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BOTTOM</a:t>
            </a:r>
            <a:r>
              <a:rPr lang="en-US" baseline="0"/>
              <a:t> RATED ITEMS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7-piece Set Of Storage Bags, Travel Storage Bags, Shoe Bags</c:v>
              </c:pt>
              <c:pt idx="1">
                <c:v>Artificial Potted Flowers Room Decorative Flowers (2 Pieces)</c:v>
              </c:pt>
              <c:pt idx="2">
                <c:v>5-PCS Stainless Steel Cooking Pot Set With Steamed Slices</c:v>
              </c:pt>
              <c:pt idx="3">
                <c:v>Electric LED UV Mosquito Killer Lamp, Outdoor/Indoor Fly Killer Trap Light -USB</c:v>
              </c:pt>
              <c:pt idx="4">
                <c:v>Wall-mounted Sticker Punch-free Plug Fixer</c:v>
              </c:pt>
            </c:strLit>
          </c:cat>
          <c:val>
            <c:numLit>
              <c:formatCode>General</c:formatCode>
              <c:ptCount val="5"/>
              <c:pt idx="0">
                <c:v>2.2000000000000002</c:v>
              </c:pt>
              <c:pt idx="1">
                <c:v>2.2000000000000002</c:v>
              </c:pt>
              <c:pt idx="2">
                <c:v>2.1</c:v>
              </c:pt>
              <c:pt idx="3">
                <c:v>2.1</c:v>
              </c:pt>
              <c:pt idx="4">
                <c:v>2</c:v>
              </c:pt>
            </c:numLit>
          </c:val>
          <c:extLst>
            <c:ext xmlns:c16="http://schemas.microsoft.com/office/drawing/2014/chart" uri="{C3380CC4-5D6E-409C-BE32-E72D297353CC}">
              <c16:uniqueId val="{00000000-4FE9-4945-AF72-4920EA4DCC8C}"/>
            </c:ext>
          </c:extLst>
        </c:ser>
        <c:dLbls>
          <c:dLblPos val="outEnd"/>
          <c:showLegendKey val="0"/>
          <c:showVal val="1"/>
          <c:showCatName val="0"/>
          <c:showSerName val="0"/>
          <c:showPercent val="0"/>
          <c:showBubbleSize val="0"/>
        </c:dLbls>
        <c:gapWidth val="444"/>
        <c:overlap val="-90"/>
        <c:axId val="630937200"/>
        <c:axId val="630609320"/>
      </c:barChart>
      <c:catAx>
        <c:axId val="630937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0609320"/>
        <c:crosses val="autoZero"/>
        <c:auto val="1"/>
        <c:lblAlgn val="ctr"/>
        <c:lblOffset val="100"/>
        <c:noMultiLvlLbl val="0"/>
      </c:catAx>
      <c:valAx>
        <c:axId val="630609320"/>
        <c:scaling>
          <c:orientation val="minMax"/>
        </c:scaling>
        <c:delete val="1"/>
        <c:axPos val="l"/>
        <c:numFmt formatCode="General" sourceLinked="1"/>
        <c:majorTickMark val="none"/>
        <c:minorTickMark val="none"/>
        <c:tickLblPos val="nextTo"/>
        <c:crossAx val="63093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501650</xdr:colOff>
      <xdr:row>0</xdr:row>
      <xdr:rowOff>63500</xdr:rowOff>
    </xdr:from>
    <xdr:to>
      <xdr:col>13</xdr:col>
      <xdr:colOff>511175</xdr:colOff>
      <xdr:row>3</xdr:row>
      <xdr:rowOff>25400</xdr:rowOff>
    </xdr:to>
    <xdr:sp macro="" textlink="">
      <xdr:nvSpPr>
        <xdr:cNvPr id="2" name="Rectangle: Rounded Corners 1">
          <a:extLst>
            <a:ext uri="{FF2B5EF4-FFF2-40B4-BE49-F238E27FC236}">
              <a16:creationId xmlns:a16="http://schemas.microsoft.com/office/drawing/2014/main" id="{30AB7B88-ED9E-8A2B-8E17-55A25A23273A}"/>
            </a:ext>
          </a:extLst>
        </xdr:cNvPr>
        <xdr:cNvSpPr/>
      </xdr:nvSpPr>
      <xdr:spPr>
        <a:xfrm>
          <a:off x="1720850" y="63500"/>
          <a:ext cx="6715125"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r>
            <a:rPr lang="en-US" sz="1100"/>
            <a:t>                                                                    </a:t>
          </a:r>
          <a:r>
            <a:rPr lang="en-US" sz="2400"/>
            <a:t>JUMIA SALES ANALYSIS</a:t>
          </a:r>
        </a:p>
      </xdr:txBody>
    </xdr:sp>
    <xdr:clientData/>
  </xdr:twoCellAnchor>
  <xdr:twoCellAnchor>
    <xdr:from>
      <xdr:col>2</xdr:col>
      <xdr:colOff>409575</xdr:colOff>
      <xdr:row>4</xdr:row>
      <xdr:rowOff>161925</xdr:rowOff>
    </xdr:from>
    <xdr:to>
      <xdr:col>9</xdr:col>
      <xdr:colOff>447675</xdr:colOff>
      <xdr:row>20</xdr:row>
      <xdr:rowOff>9525</xdr:rowOff>
    </xdr:to>
    <xdr:graphicFrame macro="">
      <xdr:nvGraphicFramePr>
        <xdr:cNvPr id="4" name="Chart 3">
          <a:extLst>
            <a:ext uri="{FF2B5EF4-FFF2-40B4-BE49-F238E27FC236}">
              <a16:creationId xmlns:a16="http://schemas.microsoft.com/office/drawing/2014/main" id="{E8874F63-95D4-4C97-8590-33D777631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390525</xdr:colOff>
      <xdr:row>20</xdr:row>
      <xdr:rowOff>123825</xdr:rowOff>
    </xdr:from>
    <xdr:to>
      <xdr:col>9</xdr:col>
      <xdr:colOff>428625</xdr:colOff>
      <xdr:row>35</xdr:row>
      <xdr:rowOff>152400</xdr:rowOff>
    </xdr:to>
    <xdr:graphicFrame macro="">
      <xdr:nvGraphicFramePr>
        <xdr:cNvPr id="5" name="Chart 4">
          <a:extLst>
            <a:ext uri="{FF2B5EF4-FFF2-40B4-BE49-F238E27FC236}">
              <a16:creationId xmlns:a16="http://schemas.microsoft.com/office/drawing/2014/main" id="{CBB456B1-B30B-4CC2-B895-A42223DD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542925</xdr:colOff>
      <xdr:row>4</xdr:row>
      <xdr:rowOff>152400</xdr:rowOff>
    </xdr:from>
    <xdr:to>
      <xdr:col>16</xdr:col>
      <xdr:colOff>581025</xdr:colOff>
      <xdr:row>20</xdr:row>
      <xdr:rowOff>0</xdr:rowOff>
    </xdr:to>
    <xdr:graphicFrame macro="">
      <xdr:nvGraphicFramePr>
        <xdr:cNvPr id="6" name="Chart 5">
          <a:extLst>
            <a:ext uri="{FF2B5EF4-FFF2-40B4-BE49-F238E27FC236}">
              <a16:creationId xmlns:a16="http://schemas.microsoft.com/office/drawing/2014/main" id="{3CAF0977-CB89-4500-9AEF-A844E0FA7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542925</xdr:colOff>
      <xdr:row>20</xdr:row>
      <xdr:rowOff>95250</xdr:rowOff>
    </xdr:from>
    <xdr:to>
      <xdr:col>16</xdr:col>
      <xdr:colOff>581025</xdr:colOff>
      <xdr:row>35</xdr:row>
      <xdr:rowOff>123825</xdr:rowOff>
    </xdr:to>
    <xdr:graphicFrame macro="">
      <xdr:nvGraphicFramePr>
        <xdr:cNvPr id="7" name="Chart 6">
          <a:extLst>
            <a:ext uri="{FF2B5EF4-FFF2-40B4-BE49-F238E27FC236}">
              <a16:creationId xmlns:a16="http://schemas.microsoft.com/office/drawing/2014/main" id="{66EE1B74-ED30-4E8C-8E7D-A86E8A143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xdr:colOff>
      <xdr:row>4</xdr:row>
      <xdr:rowOff>152400</xdr:rowOff>
    </xdr:from>
    <xdr:to>
      <xdr:col>24</xdr:col>
      <xdr:colOff>95250</xdr:colOff>
      <xdr:row>20</xdr:row>
      <xdr:rowOff>0</xdr:rowOff>
    </xdr:to>
    <xdr:graphicFrame macro="">
      <xdr:nvGraphicFramePr>
        <xdr:cNvPr id="8" name="Chart 7">
          <a:extLst>
            <a:ext uri="{FF2B5EF4-FFF2-40B4-BE49-F238E27FC236}">
              <a16:creationId xmlns:a16="http://schemas.microsoft.com/office/drawing/2014/main" id="{9B20E43C-B90B-4252-97D8-6B7954596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66675</xdr:colOff>
      <xdr:row>20</xdr:row>
      <xdr:rowOff>85725</xdr:rowOff>
    </xdr:from>
    <xdr:to>
      <xdr:col>24</xdr:col>
      <xdr:colOff>104775</xdr:colOff>
      <xdr:row>35</xdr:row>
      <xdr:rowOff>114300</xdr:rowOff>
    </xdr:to>
    <xdr:graphicFrame macro="">
      <xdr:nvGraphicFramePr>
        <xdr:cNvPr id="9" name="Chart 8">
          <a:extLst>
            <a:ext uri="{FF2B5EF4-FFF2-40B4-BE49-F238E27FC236}">
              <a16:creationId xmlns:a16="http://schemas.microsoft.com/office/drawing/2014/main" id="{E42BB306-28EB-40F6-932B-D00B666F0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152400</xdr:rowOff>
    </xdr:from>
    <xdr:to>
      <xdr:col>2</xdr:col>
      <xdr:colOff>371475</xdr:colOff>
      <xdr:row>11</xdr:row>
      <xdr:rowOff>76200</xdr:rowOff>
    </xdr:to>
    <mc:AlternateContent xmlns:mc="http://schemas.openxmlformats.org/markup-compatibility/2006" xmlns:a14="http://schemas.microsoft.com/office/drawing/2010/main">
      <mc:Choice Requires="a14">
        <xdr:graphicFrame macro="">
          <xdr:nvGraphicFramePr>
            <xdr:cNvPr id="10" name="Discount Category">
              <a:extLst>
                <a:ext uri="{FF2B5EF4-FFF2-40B4-BE49-F238E27FC236}">
                  <a16:creationId xmlns:a16="http://schemas.microsoft.com/office/drawing/2014/main" id="{4AE152ED-F54A-753E-F1BF-FBDEFCB139E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0" y="876300"/>
              <a:ext cx="1666875"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11</xdr:row>
      <xdr:rowOff>38101</xdr:rowOff>
    </xdr:from>
    <xdr:to>
      <xdr:col>2</xdr:col>
      <xdr:colOff>371475</xdr:colOff>
      <xdr:row>17</xdr:row>
      <xdr:rowOff>133351</xdr:rowOff>
    </xdr:to>
    <mc:AlternateContent xmlns:mc="http://schemas.openxmlformats.org/markup-compatibility/2006" xmlns:a14="http://schemas.microsoft.com/office/drawing/2010/main">
      <mc:Choice Requires="a14">
        <xdr:graphicFrame macro="">
          <xdr:nvGraphicFramePr>
            <xdr:cNvPr id="11" name="Rating Category">
              <a:extLst>
                <a:ext uri="{FF2B5EF4-FFF2-40B4-BE49-F238E27FC236}">
                  <a16:creationId xmlns:a16="http://schemas.microsoft.com/office/drawing/2014/main" id="{0A7D5E21-DF55-272B-604D-410BF66EA987}"/>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9525" y="2028826"/>
              <a:ext cx="165735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523875</xdr:colOff>
      <xdr:row>13</xdr:row>
      <xdr:rowOff>19050</xdr:rowOff>
    </xdr:from>
    <xdr:to>
      <xdr:col>10</xdr:col>
      <xdr:colOff>561975</xdr:colOff>
      <xdr:row>28</xdr:row>
      <xdr:rowOff>47625</xdr:rowOff>
    </xdr:to>
    <xdr:graphicFrame macro="">
      <xdr:nvGraphicFramePr>
        <xdr:cNvPr id="2" name="Chart 1">
          <a:extLst>
            <a:ext uri="{FF2B5EF4-FFF2-40B4-BE49-F238E27FC236}">
              <a16:creationId xmlns:a16="http://schemas.microsoft.com/office/drawing/2014/main" id="{15888BF0-189C-36B3-CD58-3E3F950D5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361950</xdr:colOff>
      <xdr:row>16</xdr:row>
      <xdr:rowOff>19050</xdr:rowOff>
    </xdr:from>
    <xdr:to>
      <xdr:col>10</xdr:col>
      <xdr:colOff>400050</xdr:colOff>
      <xdr:row>31</xdr:row>
      <xdr:rowOff>47625</xdr:rowOff>
    </xdr:to>
    <xdr:graphicFrame macro="">
      <xdr:nvGraphicFramePr>
        <xdr:cNvPr id="2" name="Chart 1">
          <a:extLst>
            <a:ext uri="{FF2B5EF4-FFF2-40B4-BE49-F238E27FC236}">
              <a16:creationId xmlns:a16="http://schemas.microsoft.com/office/drawing/2014/main" id="{9FE86221-012C-5901-FBFE-CAFC26051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447675</xdr:colOff>
      <xdr:row>1</xdr:row>
      <xdr:rowOff>28575</xdr:rowOff>
    </xdr:from>
    <xdr:to>
      <xdr:col>10</xdr:col>
      <xdr:colOff>485775</xdr:colOff>
      <xdr:row>16</xdr:row>
      <xdr:rowOff>57150</xdr:rowOff>
    </xdr:to>
    <xdr:graphicFrame macro="">
      <xdr:nvGraphicFramePr>
        <xdr:cNvPr id="2" name="Chart 1">
          <a:extLst>
            <a:ext uri="{FF2B5EF4-FFF2-40B4-BE49-F238E27FC236}">
              <a16:creationId xmlns:a16="http://schemas.microsoft.com/office/drawing/2014/main" id="{1006FE17-98EC-8C20-9C6E-D49D25780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542925</xdr:colOff>
      <xdr:row>19</xdr:row>
      <xdr:rowOff>85725</xdr:rowOff>
    </xdr:from>
    <xdr:to>
      <xdr:col>10</xdr:col>
      <xdr:colOff>581025</xdr:colOff>
      <xdr:row>34</xdr:row>
      <xdr:rowOff>114300</xdr:rowOff>
    </xdr:to>
    <xdr:graphicFrame macro="">
      <xdr:nvGraphicFramePr>
        <xdr:cNvPr id="3" name="Chart 2">
          <a:extLst>
            <a:ext uri="{FF2B5EF4-FFF2-40B4-BE49-F238E27FC236}">
              <a16:creationId xmlns:a16="http://schemas.microsoft.com/office/drawing/2014/main" id="{752DBFB5-F6B9-E30C-D51E-70B22207A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9524</xdr:colOff>
      <xdr:row>10</xdr:row>
      <xdr:rowOff>95250</xdr:rowOff>
    </xdr:from>
    <xdr:to>
      <xdr:col>12</xdr:col>
      <xdr:colOff>4581524</xdr:colOff>
      <xdr:row>25</xdr:row>
      <xdr:rowOff>123825</xdr:rowOff>
    </xdr:to>
    <xdr:graphicFrame macro="">
      <xdr:nvGraphicFramePr>
        <xdr:cNvPr id="3" name="Chart 2">
          <a:extLst>
            <a:ext uri="{FF2B5EF4-FFF2-40B4-BE49-F238E27FC236}">
              <a16:creationId xmlns:a16="http://schemas.microsoft.com/office/drawing/2014/main" id="{73BBC383-05E5-B942-58BF-093456BC6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28574</xdr:colOff>
      <xdr:row>27</xdr:row>
      <xdr:rowOff>123825</xdr:rowOff>
    </xdr:from>
    <xdr:to>
      <xdr:col>12</xdr:col>
      <xdr:colOff>4600574</xdr:colOff>
      <xdr:row>42</xdr:row>
      <xdr:rowOff>152400</xdr:rowOff>
    </xdr:to>
    <xdr:graphicFrame macro="">
      <xdr:nvGraphicFramePr>
        <xdr:cNvPr id="4" name="Chart 3">
          <a:extLst>
            <a:ext uri="{FF2B5EF4-FFF2-40B4-BE49-F238E27FC236}">
              <a16:creationId xmlns:a16="http://schemas.microsoft.com/office/drawing/2014/main" id="{9A52FACE-4C87-9D0E-B3F9-FD9626821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910635185188" createdVersion="8" refreshedVersion="8" minRefreshableVersion="3" recordCount="110" xr:uid="{81C5820F-C782-4CCF-B360-12913887DE5F}">
  <cacheSource type="worksheet">
    <worksheetSource ref="A1:I111" sheet="Original Data"/>
  </cacheSource>
  <cacheFields count="9">
    <cacheField name="Product" numFmtId="0">
      <sharedItems containsBlank="1" count="110">
        <s v="115  Piece Set Of Multifunctional Precision Screwdrivers"/>
        <s v="Metal Decorative Hooks Key Hangers Entryway Wall Hooks Towel Hooks Home"/>
        <s v="Portable Mini Cordless Car Vacuum Cleaner Blue"/>
        <s v="Weighing Scale Digital Bathroom Body Fat Scale USB-Black"/>
        <s v="Portable Home Small Air Humidifier 3-Speed Fan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Black"/>
        <s v="12 Litre Insulated Lunch Box Grey"/>
        <s v="LED Eye Protection  Desk Lamp , Study, Reading, USB Fan Double Pen Holder"/>
        <s v="53Pcs/Set Yarn Knitting Crochet Hooks With Bag Fortune Cat"/>
        <s v="53 Pieces/Set Yarn Knitting Crochet Hooks With Bag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UK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50*30cm"/>
        <s v="Bedroom Simple Floor Hanging Clothes Rack Single Pole Hat Rack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600ML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65">
      <sharedItems containsSemiMixedTypes="0" containsString="0" containsNumber="1" minValue="38" maxValue="3750"/>
    </cacheField>
    <cacheField name="old price" numFmtId="165">
      <sharedItems containsSemiMixedTypes="0" containsString="0" containsNumber="1" minValue="80" maxValue="6143"/>
    </cacheField>
    <cacheField name="Discount Amount" numFmtId="165">
      <sharedItems containsSemiMixedTypes="0" containsString="0" containsNumber="1" minValue="24" maxValue="2585"/>
    </cacheField>
    <cacheField name="Discount" numFmtId="0">
      <sharedItems containsSemiMixedTypes="0" containsString="0"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385321100917423"/>
      </sharedItems>
      <fieldGroup base="4">
        <rangePr startNum="0.01" endNum="0.64" groupInterval="0.1"/>
        <groupItems count="9">
          <s v="&lt;0.01"/>
          <s v="0.01-0.11"/>
          <s v="0.11-0.21"/>
          <s v="0.21-0.31"/>
          <s v="0.31-0.41"/>
          <s v="0.41-0.51"/>
          <s v="0.51-0.61"/>
          <s v="0.61-0.71"/>
          <s v="&gt;0.71"/>
        </groupItems>
      </fieldGroup>
    </cacheField>
    <cacheField name="Discount Category" numFmtId="0">
      <sharedItems containsBlank="1" count="4">
        <s v="Medium"/>
        <s v="High"/>
        <s v="Low"/>
        <m/>
      </sharedItems>
    </cacheField>
    <cacheField name="Review" numFmtId="0">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 numFmtId="164">
      <sharedItems containsSemiMixedTypes="0" containsString="0" containsNumber="1" minValue="2" maxValue="5" count="24">
        <n v="4.5"/>
        <n v="4.0999999999999996"/>
        <n v="4.5999999999999996"/>
        <n v="4.7"/>
        <n v="4.8"/>
        <n v="4"/>
        <n v="3.8"/>
        <n v="4.2"/>
        <n v="5"/>
        <n v="3.3"/>
        <n v="3.88"/>
        <n v="4.4000000000000004"/>
        <n v="4.3"/>
        <n v="2.5"/>
        <n v="3"/>
        <n v="2.1"/>
        <n v="2.8"/>
        <n v="2.7"/>
        <n v="2.9"/>
        <n v="2.2000000000000002"/>
        <n v="2.2999999999999998"/>
        <n v="2.6"/>
        <n v="2"/>
        <n v="3.8849541284403646"/>
      </sharedItems>
      <fieldGroup base="7">
        <rangePr startNum="2" endNum="5"/>
        <groupItems count="5">
          <s v="&lt;2"/>
          <s v="2-3"/>
          <s v="3-4"/>
          <s v="4-5"/>
          <s v="&gt;5"/>
        </groupItems>
      </fieldGroup>
    </cacheField>
    <cacheField name="Rating Category" numFmtId="0">
      <sharedItems containsBlank="1" count="4">
        <s v="Excellent"/>
        <s v="Average"/>
        <s v="Poo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952569560184" createdVersion="8" refreshedVersion="8" minRefreshableVersion="3" recordCount="7" xr:uid="{C094C2A3-4057-4F72-8C2B-6F3E809D522E}">
  <cacheSource type="worksheet">
    <worksheetSource ref="A3:I10" sheet="TopBottom Rated"/>
  </cacheSource>
  <cacheFields count="9">
    <cacheField name="Product" numFmtId="0">
      <sharedItems count="7">
        <s v="Anti-Skid Absorbent Insulation Coaster  For Home Office"/>
        <s v="Peacock  Throw Pillow Cushion Case For Home Car"/>
        <s v="LASA Aluminum Folding Truck Hand Cart 68kg Max"/>
        <s v="DIY File Folder, Office Drawer File Holder, Pen Holder, Desktop Storage Rack"/>
        <s v="Classic Black Cat Cotton Hemp Pillow Case For Home Car"/>
        <s v="Bedroom Simple Floor Hanging Clothes Rack Single Pole Hat Rack White"/>
        <s v="Konka Healty Electric Kettle, 24-hour Heat Preservation,1.5L,800W, White"/>
      </sharedItems>
    </cacheField>
    <cacheField name="Current price" numFmtId="165">
      <sharedItems containsSemiMixedTypes="0" containsString="0" containsNumber="1" containsInteger="1" minValue="171" maxValue="3640"/>
    </cacheField>
    <cacheField name="old price" numFmtId="165">
      <sharedItems containsSemiMixedTypes="0" containsString="0" containsNumber="1" containsInteger="1" minValue="360" maxValue="4588"/>
    </cacheField>
    <cacheField name="Discount Amount" numFmtId="165">
      <sharedItems containsSemiMixedTypes="0" containsString="0" containsNumber="1" containsInteger="1" minValue="165" maxValue="1946"/>
    </cacheField>
    <cacheField name="Discount" numFmtId="2">
      <sharedItems containsSemiMixedTypes="0" containsString="0" containsNumber="1" minValue="0.21" maxValue="0.53"/>
    </cacheField>
    <cacheField name="Discount Category" numFmtId="9">
      <sharedItems/>
    </cacheField>
    <cacheField name="Review" numFmtId="1">
      <sharedItems containsSemiMixedTypes="0" containsString="0" containsNumber="1" containsInteger="1" minValue="1" maxValue="3"/>
    </cacheField>
    <cacheField name="Rating" numFmtId="164">
      <sharedItems containsSemiMixedTypes="0" containsString="0" containsNumber="1" containsInteger="1" minValue="5" maxValue="5"/>
    </cacheField>
    <cacheField name="Rating 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957560069444" createdVersion="8" refreshedVersion="8" minRefreshableVersion="3" recordCount="10" xr:uid="{B30C4E75-3DC3-4120-91FF-03DA1DD8E64A}">
  <cacheSource type="worksheet">
    <worksheetSource ref="A3:I13" sheet="Most Reviews"/>
  </cacheSource>
  <cacheFields count="9">
    <cacheField name="Product" numFmtId="0">
      <sharedItems count="10">
        <s v="Portable Mini Cordless Car Vacuum Cleaner Blue"/>
        <s v="137 Pieces Cake Decorating Tool Set Baking Supplies"/>
        <s v="100 Pcs Crochet Hook Tool Set Knitting Hook Set With Box"/>
        <s v="3D Waterproof EVA Plastic Shower Curtain 1.8*2Mtrs"/>
        <s v="Electronic Digital Display Vernier Caliper"/>
        <s v="52 Pieces Cake Decorating Tool Set Gift Kit Baking Supplies"/>
        <s v="53Pcs/Set Yarn Knitting Crochet Hooks With Bag Fortune Cat"/>
        <s v="53 Pieces/Set Yarn Knitting Crochet Hooks With Bag Pansies"/>
        <s v="Punch-free Great Load Bearing Bathroom Storage Rack Wall Shelf-White"/>
        <s v="120W Cordless Vacuum Cleaners Handheld Electric Vacuum Cleaner"/>
      </sharedItems>
    </cacheField>
    <cacheField name="Current price" numFmtId="0">
      <sharedItems containsSemiMixedTypes="0" containsString="0" containsNumber="1" containsInteger="1" minValue="389" maxValue="2319"/>
    </cacheField>
    <cacheField name="old price" numFmtId="0">
      <sharedItems containsSemiMixedTypes="0" containsString="0" containsNumber="1" containsInteger="1" minValue="647" maxValue="3032"/>
    </cacheField>
    <cacheField name="Discount Amount" numFmtId="0">
      <sharedItems containsSemiMixedTypes="0" containsString="0" containsNumber="1" containsInteger="1" minValue="227" maxValue="968"/>
    </cacheField>
    <cacheField name="Discount" numFmtId="0">
      <sharedItems containsSemiMixedTypes="0" containsString="0" containsNumber="1" minValue="0.24" maxValue="0.49"/>
    </cacheField>
    <cacheField name="Discount Category" numFmtId="0">
      <sharedItems/>
    </cacheField>
    <cacheField name="Review" numFmtId="0">
      <sharedItems containsSemiMixedTypes="0" containsString="0" containsNumber="1" containsInteger="1" minValue="20" maxValue="69"/>
    </cacheField>
    <cacheField name="Rating" numFmtId="0">
      <sharedItems containsSemiMixedTypes="0" containsString="0" containsNumber="1" minValue="2.8" maxValue="4.7"/>
    </cacheField>
    <cacheField name="Rating Categor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964471296298" createdVersion="8" refreshedVersion="8" minRefreshableVersion="3" recordCount="10" xr:uid="{2B5A7938-D75E-4E08-B8A7-946C932C7945}">
  <cacheSource type="worksheet">
    <worksheetSource ref="A3:I13" sheet="Highest Discount"/>
  </cacheSource>
  <cacheFields count="9">
    <cacheField name="Product" numFmtId="0">
      <sharedItems count="10">
        <s v="LASA FOLDING TABLE SERVING STAND"/>
        <s v="LASA Aluminum Folding Truck Hand Cart 68kg Max"/>
        <s v="4pcs Bathroom/Kitchen Towel Rack,Roll Paper Holder,Towel Bars,Hook"/>
        <s v="LASA 3 Tier Bamboo Shoe Bench Storage Shelf"/>
        <s v="MultiFunctional Storage Rack Multi-layer Bookshelf"/>
        <s v="LED Eye Protection  Desk Lamp , Study, Reading, USB Fan Double Pen Holder"/>
        <s v="LASA Stainless Steel Double Wall Mount Soap Dispenser 500ml"/>
        <s v="5-PCS Stainless Steel Cooking Pot Set With Steamed Slices"/>
        <s v="32PCS Portable Cordless Drill Set With Cyclic Battery Drive -26 Variable Speed"/>
        <s v="Electric LED UV Mosquito Killer Lamp, Outdoor/Indoor Fly Killer Trap Light -USB"/>
      </sharedItems>
    </cacheField>
    <cacheField name="Current price" numFmtId="165">
      <sharedItems containsSemiMixedTypes="0" containsString="0" containsNumber="1" containsInteger="1" minValue="1274" maxValue="3750"/>
    </cacheField>
    <cacheField name="old price" numFmtId="165">
      <sharedItems containsSemiMixedTypes="0" containsString="0" containsNumber="1" containsInteger="1" minValue="2800" maxValue="6143"/>
    </cacheField>
    <cacheField name="Discount Amount" numFmtId="165">
      <sharedItems containsSemiMixedTypes="0" containsString="0" containsNumber="1" containsInteger="1" minValue="1360" maxValue="2585"/>
    </cacheField>
    <cacheField name="Discount" numFmtId="2">
      <sharedItems containsSemiMixedTypes="0" containsString="0" containsNumber="1" minValue="0.38" maxValue="0.55000000000000004"/>
    </cacheField>
    <cacheField name="Discount Category" numFmtId="9">
      <sharedItems count="2">
        <s v="High"/>
        <s v="Medium"/>
      </sharedItems>
    </cacheField>
    <cacheField name="Review" numFmtId="1">
      <sharedItems containsSemiMixedTypes="0" containsString="0" containsNumber="1" containsInteger="1" minValue="0" maxValue="13"/>
    </cacheField>
    <cacheField name="Rating" numFmtId="164">
      <sharedItems containsSemiMixedTypes="0" containsString="0" containsNumber="1" minValue="2.1" maxValue="5"/>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1408788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n v="950"/>
    <n v="1525"/>
    <n v="575"/>
    <x v="0"/>
    <x v="0"/>
    <x v="0"/>
    <x v="0"/>
    <x v="0"/>
  </r>
  <r>
    <x v="1"/>
    <n v="527"/>
    <n v="999"/>
    <n v="472"/>
    <x v="1"/>
    <x v="1"/>
    <x v="1"/>
    <x v="1"/>
    <x v="1"/>
  </r>
  <r>
    <x v="2"/>
    <n v="2199"/>
    <n v="2923"/>
    <n v="724"/>
    <x v="2"/>
    <x v="0"/>
    <x v="2"/>
    <x v="2"/>
    <x v="0"/>
  </r>
  <r>
    <x v="3"/>
    <n v="1580"/>
    <n v="2499"/>
    <n v="919"/>
    <x v="3"/>
    <x v="0"/>
    <x v="3"/>
    <x v="3"/>
    <x v="0"/>
  </r>
  <r>
    <x v="4"/>
    <n v="1740"/>
    <n v="2356"/>
    <n v="616"/>
    <x v="4"/>
    <x v="0"/>
    <x v="4"/>
    <x v="4"/>
    <x v="0"/>
  </r>
  <r>
    <x v="5"/>
    <n v="2999"/>
    <n v="3290"/>
    <n v="291"/>
    <x v="5"/>
    <x v="2"/>
    <x v="5"/>
    <x v="5"/>
    <x v="1"/>
  </r>
  <r>
    <x v="6"/>
    <n v="2319"/>
    <n v="3032"/>
    <n v="713"/>
    <x v="6"/>
    <x v="0"/>
    <x v="6"/>
    <x v="2"/>
    <x v="0"/>
  </r>
  <r>
    <x v="7"/>
    <n v="988"/>
    <n v="1580"/>
    <n v="592"/>
    <x v="3"/>
    <x v="0"/>
    <x v="0"/>
    <x v="5"/>
    <x v="1"/>
  </r>
  <r>
    <x v="8"/>
    <n v="1274"/>
    <n v="2800"/>
    <n v="1526"/>
    <x v="7"/>
    <x v="1"/>
    <x v="4"/>
    <x v="4"/>
    <x v="0"/>
  </r>
  <r>
    <x v="9"/>
    <n v="1600"/>
    <n v="2929"/>
    <n v="1329"/>
    <x v="8"/>
    <x v="1"/>
    <x v="4"/>
    <x v="6"/>
    <x v="1"/>
  </r>
  <r>
    <x v="10"/>
    <n v="799"/>
    <n v="999"/>
    <n v="200"/>
    <x v="9"/>
    <x v="0"/>
    <x v="7"/>
    <x v="1"/>
    <x v="1"/>
  </r>
  <r>
    <x v="11"/>
    <n v="990"/>
    <n v="1500"/>
    <n v="510"/>
    <x v="10"/>
    <x v="0"/>
    <x v="8"/>
    <x v="3"/>
    <x v="0"/>
  </r>
  <r>
    <x v="12"/>
    <n v="552"/>
    <n v="1035"/>
    <n v="483"/>
    <x v="1"/>
    <x v="1"/>
    <x v="7"/>
    <x v="4"/>
    <x v="0"/>
  </r>
  <r>
    <x v="13"/>
    <n v="501"/>
    <n v="860"/>
    <n v="359"/>
    <x v="11"/>
    <x v="1"/>
    <x v="9"/>
    <x v="0"/>
    <x v="0"/>
  </r>
  <r>
    <x v="14"/>
    <n v="1680"/>
    <n v="2499"/>
    <n v="819"/>
    <x v="12"/>
    <x v="0"/>
    <x v="10"/>
    <x v="7"/>
    <x v="1"/>
  </r>
  <r>
    <x v="15"/>
    <n v="332"/>
    <n v="684"/>
    <n v="352"/>
    <x v="13"/>
    <x v="1"/>
    <x v="0"/>
    <x v="8"/>
    <x v="0"/>
  </r>
  <r>
    <x v="16"/>
    <n v="195"/>
    <n v="360"/>
    <n v="165"/>
    <x v="14"/>
    <x v="1"/>
    <x v="0"/>
    <x v="8"/>
    <x v="0"/>
  </r>
  <r>
    <x v="17"/>
    <n v="2025"/>
    <n v="3971"/>
    <n v="1946"/>
    <x v="15"/>
    <x v="1"/>
    <x v="11"/>
    <x v="8"/>
    <x v="0"/>
  </r>
  <r>
    <x v="18"/>
    <n v="2999"/>
    <n v="3699"/>
    <n v="700"/>
    <x v="16"/>
    <x v="2"/>
    <x v="4"/>
    <x v="2"/>
    <x v="0"/>
  </r>
  <r>
    <x v="19"/>
    <n v="998"/>
    <n v="1966"/>
    <n v="968"/>
    <x v="15"/>
    <x v="1"/>
    <x v="12"/>
    <x v="2"/>
    <x v="0"/>
  </r>
  <r>
    <x v="20"/>
    <n v="38"/>
    <n v="80"/>
    <n v="42"/>
    <x v="17"/>
    <x v="1"/>
    <x v="13"/>
    <x v="9"/>
    <x v="1"/>
  </r>
  <r>
    <x v="21"/>
    <n v="1860"/>
    <n v="3220"/>
    <n v="1360"/>
    <x v="11"/>
    <x v="1"/>
    <x v="14"/>
    <x v="10"/>
    <x v="1"/>
  </r>
  <r>
    <x v="22"/>
    <n v="880"/>
    <n v="1350"/>
    <n v="470"/>
    <x v="18"/>
    <x v="0"/>
    <x v="9"/>
    <x v="5"/>
    <x v="1"/>
  </r>
  <r>
    <x v="23"/>
    <n v="1650"/>
    <n v="2150"/>
    <n v="500"/>
    <x v="19"/>
    <x v="0"/>
    <x v="1"/>
    <x v="11"/>
    <x v="1"/>
  </r>
  <r>
    <x v="24"/>
    <n v="2048"/>
    <n v="4500"/>
    <n v="2452"/>
    <x v="20"/>
    <x v="1"/>
    <x v="3"/>
    <x v="12"/>
    <x v="1"/>
  </r>
  <r>
    <x v="25"/>
    <n v="420"/>
    <n v="647"/>
    <n v="227"/>
    <x v="18"/>
    <x v="0"/>
    <x v="15"/>
    <x v="2"/>
    <x v="0"/>
  </r>
  <r>
    <x v="26"/>
    <n v="2880"/>
    <n v="3520"/>
    <n v="640"/>
    <x v="21"/>
    <x v="2"/>
    <x v="7"/>
    <x v="6"/>
    <x v="1"/>
  </r>
  <r>
    <x v="27"/>
    <n v="1350"/>
    <n v="1990"/>
    <n v="640"/>
    <x v="22"/>
    <x v="0"/>
    <x v="13"/>
    <x v="6"/>
    <x v="1"/>
  </r>
  <r>
    <x v="28"/>
    <n v="1758"/>
    <n v="2499"/>
    <n v="741"/>
    <x v="23"/>
    <x v="0"/>
    <x v="16"/>
    <x v="1"/>
    <x v="1"/>
  </r>
  <r>
    <x v="29"/>
    <n v="2200"/>
    <n v="4080"/>
    <n v="1880"/>
    <x v="14"/>
    <x v="1"/>
    <x v="14"/>
    <x v="10"/>
    <x v="1"/>
  </r>
  <r>
    <x v="30"/>
    <n v="185"/>
    <n v="382"/>
    <n v="197"/>
    <x v="24"/>
    <x v="1"/>
    <x v="10"/>
    <x v="12"/>
    <x v="1"/>
  </r>
  <r>
    <x v="31"/>
    <n v="980"/>
    <n v="1490"/>
    <n v="510"/>
    <x v="10"/>
    <x v="0"/>
    <x v="7"/>
    <x v="3"/>
    <x v="0"/>
  </r>
  <r>
    <x v="32"/>
    <n v="1820"/>
    <n v="3490"/>
    <n v="1670"/>
    <x v="25"/>
    <x v="1"/>
    <x v="10"/>
    <x v="12"/>
    <x v="1"/>
  </r>
  <r>
    <x v="33"/>
    <n v="1940"/>
    <n v="2650"/>
    <n v="710"/>
    <x v="26"/>
    <x v="0"/>
    <x v="16"/>
    <x v="3"/>
    <x v="0"/>
  </r>
  <r>
    <x v="34"/>
    <n v="1980"/>
    <n v="2699"/>
    <n v="719"/>
    <x v="26"/>
    <x v="0"/>
    <x v="17"/>
    <x v="0"/>
    <x v="0"/>
  </r>
  <r>
    <x v="35"/>
    <n v="1620"/>
    <n v="2690"/>
    <n v="1070"/>
    <x v="27"/>
    <x v="1"/>
    <x v="18"/>
    <x v="8"/>
    <x v="0"/>
  </r>
  <r>
    <x v="36"/>
    <n v="171"/>
    <n v="360"/>
    <n v="189"/>
    <x v="17"/>
    <x v="1"/>
    <x v="0"/>
    <x v="8"/>
    <x v="0"/>
  </r>
  <r>
    <x v="37"/>
    <n v="389"/>
    <n v="656"/>
    <n v="267"/>
    <x v="28"/>
    <x v="1"/>
    <x v="19"/>
    <x v="12"/>
    <x v="1"/>
  </r>
  <r>
    <x v="38"/>
    <n v="1800"/>
    <n v="2700"/>
    <n v="900"/>
    <x v="0"/>
    <x v="0"/>
    <x v="0"/>
    <x v="0"/>
    <x v="0"/>
  </r>
  <r>
    <x v="39"/>
    <n v="2750"/>
    <n v="4471"/>
    <n v="1721"/>
    <x v="0"/>
    <x v="0"/>
    <x v="14"/>
    <x v="10"/>
    <x v="1"/>
  </r>
  <r>
    <x v="40"/>
    <n v="475"/>
    <n v="931"/>
    <n v="456"/>
    <x v="15"/>
    <x v="1"/>
    <x v="14"/>
    <x v="10"/>
    <x v="1"/>
  </r>
  <r>
    <x v="41"/>
    <n v="238"/>
    <n v="476"/>
    <n v="238"/>
    <x v="29"/>
    <x v="1"/>
    <x v="14"/>
    <x v="10"/>
    <x v="1"/>
  </r>
  <r>
    <x v="42"/>
    <n v="610"/>
    <n v="1060"/>
    <n v="450"/>
    <x v="11"/>
    <x v="1"/>
    <x v="14"/>
    <x v="10"/>
    <x v="1"/>
  </r>
  <r>
    <x v="43"/>
    <n v="2132"/>
    <n v="2169"/>
    <n v="37"/>
    <x v="30"/>
    <x v="2"/>
    <x v="14"/>
    <x v="10"/>
    <x v="1"/>
  </r>
  <r>
    <x v="44"/>
    <n v="999"/>
    <n v="2000"/>
    <n v="1001"/>
    <x v="29"/>
    <x v="1"/>
    <x v="14"/>
    <x v="10"/>
    <x v="1"/>
  </r>
  <r>
    <x v="45"/>
    <n v="1190"/>
    <n v="1785"/>
    <n v="595"/>
    <x v="12"/>
    <x v="0"/>
    <x v="14"/>
    <x v="10"/>
    <x v="1"/>
  </r>
  <r>
    <x v="46"/>
    <n v="671"/>
    <n v="1316"/>
    <n v="645"/>
    <x v="15"/>
    <x v="1"/>
    <x v="14"/>
    <x v="10"/>
    <x v="1"/>
  </r>
  <r>
    <x v="47"/>
    <n v="1200"/>
    <n v="1950"/>
    <n v="750"/>
    <x v="0"/>
    <x v="0"/>
    <x v="14"/>
    <x v="10"/>
    <x v="1"/>
  </r>
  <r>
    <x v="48"/>
    <n v="199"/>
    <n v="504"/>
    <n v="305"/>
    <x v="31"/>
    <x v="1"/>
    <x v="14"/>
    <x v="10"/>
    <x v="1"/>
  </r>
  <r>
    <x v="49"/>
    <n v="299"/>
    <n v="600"/>
    <n v="301"/>
    <x v="29"/>
    <x v="1"/>
    <x v="14"/>
    <x v="10"/>
    <x v="1"/>
  </r>
  <r>
    <x v="50"/>
    <n v="1660"/>
    <n v="1699"/>
    <n v="39"/>
    <x v="30"/>
    <x v="2"/>
    <x v="14"/>
    <x v="10"/>
    <x v="1"/>
  </r>
  <r>
    <x v="51"/>
    <n v="299"/>
    <n v="384"/>
    <n v="85"/>
    <x v="32"/>
    <x v="0"/>
    <x v="14"/>
    <x v="10"/>
    <x v="1"/>
  </r>
  <r>
    <x v="52"/>
    <n v="1459"/>
    <n v="1499"/>
    <n v="40"/>
    <x v="33"/>
    <x v="2"/>
    <x v="14"/>
    <x v="10"/>
    <x v="1"/>
  </r>
  <r>
    <x v="53"/>
    <n v="799"/>
    <n v="1343"/>
    <n v="544"/>
    <x v="28"/>
    <x v="1"/>
    <x v="14"/>
    <x v="10"/>
    <x v="1"/>
  </r>
  <r>
    <x v="54"/>
    <n v="499"/>
    <n v="900"/>
    <n v="401"/>
    <x v="8"/>
    <x v="1"/>
    <x v="14"/>
    <x v="10"/>
    <x v="1"/>
  </r>
  <r>
    <x v="55"/>
    <n v="699"/>
    <n v="1343"/>
    <n v="644"/>
    <x v="25"/>
    <x v="1"/>
    <x v="14"/>
    <x v="10"/>
    <x v="1"/>
  </r>
  <r>
    <x v="56"/>
    <n v="799"/>
    <n v="1567"/>
    <n v="768"/>
    <x v="15"/>
    <x v="1"/>
    <x v="14"/>
    <x v="10"/>
    <x v="1"/>
  </r>
  <r>
    <x v="57"/>
    <n v="2799"/>
    <n v="3810"/>
    <n v="1011"/>
    <x v="26"/>
    <x v="0"/>
    <x v="14"/>
    <x v="10"/>
    <x v="1"/>
  </r>
  <r>
    <x v="58"/>
    <n v="2170"/>
    <n v="2500"/>
    <n v="330"/>
    <x v="34"/>
    <x v="2"/>
    <x v="9"/>
    <x v="13"/>
    <x v="2"/>
  </r>
  <r>
    <x v="59"/>
    <n v="458"/>
    <n v="986"/>
    <n v="528"/>
    <x v="20"/>
    <x v="1"/>
    <x v="20"/>
    <x v="14"/>
    <x v="1"/>
  </r>
  <r>
    <x v="60"/>
    <n v="2115"/>
    <n v="4700"/>
    <n v="2585"/>
    <x v="7"/>
    <x v="1"/>
    <x v="13"/>
    <x v="15"/>
    <x v="2"/>
  </r>
  <r>
    <x v="61"/>
    <n v="445"/>
    <n v="873"/>
    <n v="428"/>
    <x v="15"/>
    <x v="1"/>
    <x v="21"/>
    <x v="16"/>
    <x v="2"/>
  </r>
  <r>
    <x v="62"/>
    <n v="325"/>
    <n v="680"/>
    <n v="355"/>
    <x v="24"/>
    <x v="1"/>
    <x v="5"/>
    <x v="17"/>
    <x v="2"/>
  </r>
  <r>
    <x v="63"/>
    <n v="1220"/>
    <n v="1555"/>
    <n v="335"/>
    <x v="32"/>
    <x v="0"/>
    <x v="22"/>
    <x v="18"/>
    <x v="2"/>
  </r>
  <r>
    <x v="64"/>
    <n v="990"/>
    <n v="1814"/>
    <n v="824"/>
    <x v="8"/>
    <x v="1"/>
    <x v="9"/>
    <x v="19"/>
    <x v="2"/>
  </r>
  <r>
    <x v="65"/>
    <n v="1000"/>
    <n v="2000"/>
    <n v="1000"/>
    <x v="29"/>
    <x v="1"/>
    <x v="3"/>
    <x v="20"/>
    <x v="2"/>
  </r>
  <r>
    <x v="66"/>
    <n v="3750"/>
    <n v="6143"/>
    <n v="2393"/>
    <x v="35"/>
    <x v="0"/>
    <x v="4"/>
    <x v="14"/>
    <x v="1"/>
  </r>
  <r>
    <x v="67"/>
    <n v="382"/>
    <n v="700"/>
    <n v="318"/>
    <x v="8"/>
    <x v="1"/>
    <x v="23"/>
    <x v="21"/>
    <x v="2"/>
  </r>
  <r>
    <x v="68"/>
    <n v="2300"/>
    <n v="3240"/>
    <n v="940"/>
    <x v="36"/>
    <x v="0"/>
    <x v="4"/>
    <x v="14"/>
    <x v="1"/>
  </r>
  <r>
    <x v="69"/>
    <n v="345"/>
    <n v="602"/>
    <n v="257"/>
    <x v="37"/>
    <x v="1"/>
    <x v="9"/>
    <x v="20"/>
    <x v="2"/>
  </r>
  <r>
    <x v="70"/>
    <n v="509"/>
    <n v="899"/>
    <n v="390"/>
    <x v="37"/>
    <x v="1"/>
    <x v="4"/>
    <x v="14"/>
    <x v="1"/>
  </r>
  <r>
    <x v="71"/>
    <n v="968"/>
    <n v="1814"/>
    <n v="846"/>
    <x v="1"/>
    <x v="1"/>
    <x v="9"/>
    <x v="19"/>
    <x v="2"/>
  </r>
  <r>
    <x v="72"/>
    <n v="1570"/>
    <n v="2988"/>
    <n v="1418"/>
    <x v="1"/>
    <x v="1"/>
    <x v="3"/>
    <x v="15"/>
    <x v="2"/>
  </r>
  <r>
    <x v="73"/>
    <n v="790"/>
    <n v="1485"/>
    <n v="695"/>
    <x v="1"/>
    <x v="1"/>
    <x v="14"/>
    <x v="10"/>
    <x v="1"/>
  </r>
  <r>
    <x v="74"/>
    <n v="690"/>
    <n v="1200"/>
    <n v="510"/>
    <x v="37"/>
    <x v="1"/>
    <x v="14"/>
    <x v="10"/>
    <x v="1"/>
  </r>
  <r>
    <x v="75"/>
    <n v="1732"/>
    <n v="1799"/>
    <n v="67"/>
    <x v="38"/>
    <x v="2"/>
    <x v="14"/>
    <x v="10"/>
    <x v="1"/>
  </r>
  <r>
    <x v="76"/>
    <n v="230"/>
    <n v="450"/>
    <n v="220"/>
    <x v="15"/>
    <x v="1"/>
    <x v="14"/>
    <x v="10"/>
    <x v="1"/>
  </r>
  <r>
    <x v="77"/>
    <n v="1189"/>
    <n v="2199"/>
    <n v="1010"/>
    <x v="14"/>
    <x v="1"/>
    <x v="18"/>
    <x v="14"/>
    <x v="1"/>
  </r>
  <r>
    <x v="78"/>
    <n v="979"/>
    <n v="1920"/>
    <n v="941"/>
    <x v="15"/>
    <x v="1"/>
    <x v="18"/>
    <x v="8"/>
    <x v="0"/>
  </r>
  <r>
    <x v="79"/>
    <n v="1460"/>
    <n v="2290"/>
    <n v="830"/>
    <x v="39"/>
    <x v="0"/>
    <x v="14"/>
    <x v="10"/>
    <x v="1"/>
  </r>
  <r>
    <x v="80"/>
    <n v="1666"/>
    <n v="1699"/>
    <n v="33"/>
    <x v="30"/>
    <x v="2"/>
    <x v="14"/>
    <x v="10"/>
    <x v="1"/>
  </r>
  <r>
    <x v="81"/>
    <n v="330"/>
    <n v="647"/>
    <n v="317"/>
    <x v="15"/>
    <x v="1"/>
    <x v="18"/>
    <x v="5"/>
    <x v="1"/>
  </r>
  <r>
    <x v="82"/>
    <n v="1466"/>
    <n v="1699"/>
    <n v="233"/>
    <x v="40"/>
    <x v="2"/>
    <x v="14"/>
    <x v="10"/>
    <x v="1"/>
  </r>
  <r>
    <x v="83"/>
    <n v="274"/>
    <n v="537"/>
    <n v="263"/>
    <x v="15"/>
    <x v="1"/>
    <x v="14"/>
    <x v="10"/>
    <x v="1"/>
  </r>
  <r>
    <x v="84"/>
    <n v="799"/>
    <n v="900"/>
    <n v="101"/>
    <x v="41"/>
    <x v="2"/>
    <x v="14"/>
    <x v="10"/>
    <x v="1"/>
  </r>
  <r>
    <x v="85"/>
    <n v="1468"/>
    <n v="1699"/>
    <n v="231"/>
    <x v="40"/>
    <x v="2"/>
    <x v="14"/>
    <x v="10"/>
    <x v="1"/>
  </r>
  <r>
    <x v="86"/>
    <n v="630"/>
    <n v="1100"/>
    <n v="470"/>
    <x v="37"/>
    <x v="1"/>
    <x v="14"/>
    <x v="10"/>
    <x v="1"/>
  </r>
  <r>
    <x v="87"/>
    <n v="850"/>
    <n v="1700"/>
    <n v="850"/>
    <x v="29"/>
    <x v="1"/>
    <x v="14"/>
    <x v="10"/>
    <x v="1"/>
  </r>
  <r>
    <x v="88"/>
    <n v="1300"/>
    <n v="2500"/>
    <n v="1200"/>
    <x v="25"/>
    <x v="1"/>
    <x v="14"/>
    <x v="10"/>
    <x v="1"/>
  </r>
  <r>
    <x v="89"/>
    <n v="105"/>
    <n v="200"/>
    <n v="95"/>
    <x v="25"/>
    <x v="1"/>
    <x v="14"/>
    <x v="10"/>
    <x v="1"/>
  </r>
  <r>
    <x v="90"/>
    <n v="899"/>
    <n v="1699"/>
    <n v="800"/>
    <x v="1"/>
    <x v="1"/>
    <x v="14"/>
    <x v="10"/>
    <x v="1"/>
  </r>
  <r>
    <x v="91"/>
    <n v="1200"/>
    <n v="2400"/>
    <n v="1200"/>
    <x v="29"/>
    <x v="1"/>
    <x v="14"/>
    <x v="10"/>
    <x v="1"/>
  </r>
  <r>
    <x v="92"/>
    <n v="1526"/>
    <n v="1660"/>
    <n v="134"/>
    <x v="42"/>
    <x v="2"/>
    <x v="14"/>
    <x v="10"/>
    <x v="1"/>
  </r>
  <r>
    <x v="93"/>
    <n v="1462"/>
    <n v="1499"/>
    <n v="37"/>
    <x v="30"/>
    <x v="2"/>
    <x v="14"/>
    <x v="10"/>
    <x v="1"/>
  </r>
  <r>
    <x v="94"/>
    <n v="248"/>
    <n v="486"/>
    <n v="238"/>
    <x v="15"/>
    <x v="1"/>
    <x v="14"/>
    <x v="10"/>
    <x v="1"/>
  </r>
  <r>
    <x v="95"/>
    <n v="3546"/>
    <n v="3699"/>
    <n v="153"/>
    <x v="38"/>
    <x v="2"/>
    <x v="14"/>
    <x v="10"/>
    <x v="1"/>
  </r>
  <r>
    <x v="96"/>
    <n v="525"/>
    <n v="1029"/>
    <n v="504"/>
    <x v="15"/>
    <x v="1"/>
    <x v="14"/>
    <x v="10"/>
    <x v="1"/>
  </r>
  <r>
    <x v="97"/>
    <n v="1080"/>
    <n v="1874"/>
    <n v="794"/>
    <x v="11"/>
    <x v="1"/>
    <x v="14"/>
    <x v="10"/>
    <x v="1"/>
  </r>
  <r>
    <x v="98"/>
    <n v="3640"/>
    <n v="4588"/>
    <n v="948"/>
    <x v="43"/>
    <x v="0"/>
    <x v="18"/>
    <x v="8"/>
    <x v="0"/>
  </r>
  <r>
    <x v="99"/>
    <n v="1420"/>
    <n v="2420"/>
    <n v="1000"/>
    <x v="28"/>
    <x v="1"/>
    <x v="14"/>
    <x v="10"/>
    <x v="1"/>
  </r>
  <r>
    <x v="100"/>
    <n v="1875"/>
    <n v="1899"/>
    <n v="24"/>
    <x v="44"/>
    <x v="2"/>
    <x v="14"/>
    <x v="10"/>
    <x v="1"/>
  </r>
  <r>
    <x v="101"/>
    <n v="198"/>
    <n v="260"/>
    <n v="62"/>
    <x v="6"/>
    <x v="0"/>
    <x v="14"/>
    <x v="10"/>
    <x v="1"/>
  </r>
  <r>
    <x v="102"/>
    <n v="1150"/>
    <n v="1737"/>
    <n v="587"/>
    <x v="10"/>
    <x v="0"/>
    <x v="14"/>
    <x v="10"/>
    <x v="1"/>
  </r>
  <r>
    <x v="103"/>
    <n v="1190"/>
    <n v="1810"/>
    <n v="620"/>
    <x v="10"/>
    <x v="0"/>
    <x v="14"/>
    <x v="10"/>
    <x v="1"/>
  </r>
  <r>
    <x v="104"/>
    <n v="1658"/>
    <n v="1699"/>
    <n v="41"/>
    <x v="30"/>
    <x v="2"/>
    <x v="14"/>
    <x v="10"/>
    <x v="1"/>
  </r>
  <r>
    <x v="105"/>
    <n v="1768"/>
    <n v="1799"/>
    <n v="31"/>
    <x v="30"/>
    <x v="2"/>
    <x v="14"/>
    <x v="10"/>
    <x v="1"/>
  </r>
  <r>
    <x v="106"/>
    <n v="199"/>
    <n v="553"/>
    <n v="354"/>
    <x v="45"/>
    <x v="1"/>
    <x v="14"/>
    <x v="10"/>
    <x v="1"/>
  </r>
  <r>
    <x v="107"/>
    <n v="450"/>
    <n v="900"/>
    <n v="450"/>
    <x v="29"/>
    <x v="1"/>
    <x v="18"/>
    <x v="22"/>
    <x v="2"/>
  </r>
  <r>
    <x v="108"/>
    <n v="169"/>
    <n v="320"/>
    <n v="151"/>
    <x v="1"/>
    <x v="1"/>
    <x v="14"/>
    <x v="10"/>
    <x v="1"/>
  </r>
  <r>
    <x v="109"/>
    <n v="1208.2568807339449"/>
    <n v="1837.7522935779816"/>
    <n v="629.49541284403665"/>
    <x v="46"/>
    <x v="3"/>
    <x v="24"/>
    <x v="2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332"/>
    <n v="684"/>
    <n v="352"/>
    <n v="0.51"/>
    <s v="High"/>
    <n v="2"/>
    <n v="5"/>
    <s v="Excellent"/>
  </r>
  <r>
    <x v="1"/>
    <n v="195"/>
    <n v="360"/>
    <n v="165"/>
    <n v="0.46"/>
    <s v="High"/>
    <n v="2"/>
    <n v="5"/>
    <s v="Excellent"/>
  </r>
  <r>
    <x v="2"/>
    <n v="2025"/>
    <n v="3971"/>
    <n v="1946"/>
    <n v="0.49"/>
    <s v="High"/>
    <n v="3"/>
    <n v="5"/>
    <s v="Excellent"/>
  </r>
  <r>
    <x v="3"/>
    <n v="1620"/>
    <n v="2690"/>
    <n v="1070"/>
    <n v="0.4"/>
    <s v="High"/>
    <n v="1"/>
    <n v="5"/>
    <s v="Excellent"/>
  </r>
  <r>
    <x v="4"/>
    <n v="171"/>
    <n v="360"/>
    <n v="189"/>
    <n v="0.53"/>
    <s v="High"/>
    <n v="2"/>
    <n v="5"/>
    <s v="Excellent"/>
  </r>
  <r>
    <x v="5"/>
    <n v="979"/>
    <n v="1920"/>
    <n v="941"/>
    <n v="0.49"/>
    <s v="High"/>
    <n v="1"/>
    <n v="5"/>
    <s v="Excellent"/>
  </r>
  <r>
    <x v="6"/>
    <n v="3640"/>
    <n v="4588"/>
    <n v="948"/>
    <n v="0.21"/>
    <s v="Medium"/>
    <n v="1"/>
    <n v="5"/>
    <s v="Excelle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199"/>
    <n v="2923"/>
    <n v="724"/>
    <n v="0.25"/>
    <s v="Medium"/>
    <n v="24"/>
    <n v="4.5999999999999996"/>
    <s v="Excellent"/>
  </r>
  <r>
    <x v="1"/>
    <n v="2319"/>
    <n v="3032"/>
    <n v="713"/>
    <n v="0.24"/>
    <s v="Medium"/>
    <n v="55"/>
    <n v="4.5999999999999996"/>
    <s v="Excellent"/>
  </r>
  <r>
    <x v="2"/>
    <n v="990"/>
    <n v="1500"/>
    <n v="510"/>
    <n v="0.34"/>
    <s v="Medium"/>
    <n v="39"/>
    <n v="4.7"/>
    <s v="Excellent"/>
  </r>
  <r>
    <x v="3"/>
    <n v="998"/>
    <n v="1966"/>
    <n v="968"/>
    <n v="0.49"/>
    <s v="High"/>
    <n v="44"/>
    <n v="4.5999999999999996"/>
    <s v="Excellent"/>
  </r>
  <r>
    <x v="4"/>
    <n v="420"/>
    <n v="647"/>
    <n v="227"/>
    <n v="0.35"/>
    <s v="Medium"/>
    <n v="49"/>
    <n v="4.5999999999999996"/>
    <s v="Excellent"/>
  </r>
  <r>
    <x v="5"/>
    <n v="1758"/>
    <n v="2499"/>
    <n v="741"/>
    <n v="0.3"/>
    <s v="Medium"/>
    <n v="20"/>
    <n v="4.0999999999999996"/>
    <s v="Average"/>
  </r>
  <r>
    <x v="6"/>
    <n v="1940"/>
    <n v="2650"/>
    <n v="710"/>
    <n v="0.27"/>
    <s v="Medium"/>
    <n v="20"/>
    <n v="4.7"/>
    <s v="Excellent"/>
  </r>
  <r>
    <x v="7"/>
    <n v="1980"/>
    <n v="2699"/>
    <n v="719"/>
    <n v="0.27"/>
    <s v="Medium"/>
    <n v="32"/>
    <n v="4.5"/>
    <s v="Excellent"/>
  </r>
  <r>
    <x v="8"/>
    <n v="389"/>
    <n v="656"/>
    <n v="267"/>
    <n v="0.41"/>
    <s v="High"/>
    <n v="36"/>
    <n v="4.3"/>
    <s v="Average"/>
  </r>
  <r>
    <x v="9"/>
    <n v="445"/>
    <n v="873"/>
    <n v="428"/>
    <n v="0.49"/>
    <s v="High"/>
    <n v="69"/>
    <n v="2.8"/>
    <s v="Poor"/>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274"/>
    <n v="2800"/>
    <n v="1526"/>
    <n v="0.55000000000000004"/>
    <x v="0"/>
    <n v="5"/>
    <n v="4.8"/>
    <x v="0"/>
  </r>
  <r>
    <x v="1"/>
    <n v="2025"/>
    <n v="3971"/>
    <n v="1946"/>
    <n v="0.49"/>
    <x v="0"/>
    <n v="3"/>
    <n v="5"/>
    <x v="0"/>
  </r>
  <r>
    <x v="2"/>
    <n v="1860"/>
    <n v="3220"/>
    <n v="1360"/>
    <n v="0.42"/>
    <x v="0"/>
    <n v="0"/>
    <n v="3.88"/>
    <x v="1"/>
  </r>
  <r>
    <x v="3"/>
    <n v="2048"/>
    <n v="4500"/>
    <n v="2452"/>
    <n v="0.54"/>
    <x v="0"/>
    <n v="7"/>
    <n v="4.3"/>
    <x v="1"/>
  </r>
  <r>
    <x v="4"/>
    <n v="2200"/>
    <n v="4080"/>
    <n v="1880"/>
    <n v="0.46"/>
    <x v="0"/>
    <n v="0"/>
    <n v="3.88"/>
    <x v="1"/>
  </r>
  <r>
    <x v="5"/>
    <n v="1820"/>
    <n v="3490"/>
    <n v="1670"/>
    <n v="0.48"/>
    <x v="0"/>
    <n v="9"/>
    <n v="4.3"/>
    <x v="1"/>
  </r>
  <r>
    <x v="6"/>
    <n v="2750"/>
    <n v="4471"/>
    <n v="1721"/>
    <n v="0.38"/>
    <x v="1"/>
    <n v="0"/>
    <n v="3.88"/>
    <x v="1"/>
  </r>
  <r>
    <x v="7"/>
    <n v="2115"/>
    <n v="4700"/>
    <n v="2585"/>
    <n v="0.55000000000000004"/>
    <x v="0"/>
    <n v="13"/>
    <n v="2.1"/>
    <x v="2"/>
  </r>
  <r>
    <x v="8"/>
    <n v="3750"/>
    <n v="6143"/>
    <n v="2393"/>
    <n v="0.39"/>
    <x v="1"/>
    <n v="5"/>
    <n v="3"/>
    <x v="1"/>
  </r>
  <r>
    <x v="9"/>
    <n v="1570"/>
    <n v="2988"/>
    <n v="1418"/>
    <n v="0.47"/>
    <x v="0"/>
    <n v="7"/>
    <n v="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F0BFE-0343-4289-B6CD-03CDFBAED50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numFmtId="165" showAll="0"/>
    <pivotField numFmtId="165" showAll="0"/>
    <pivotField dataField="1" numFmtId="165" showAll="0"/>
    <pivotField showAll="0">
      <items count="10">
        <item x="0"/>
        <item x="1"/>
        <item x="2"/>
        <item x="3"/>
        <item x="4"/>
        <item x="5"/>
        <item x="6"/>
        <item x="7"/>
        <item x="8"/>
        <item t="default"/>
      </items>
    </pivotField>
    <pivotField axis="axisRow" showAll="0">
      <items count="5">
        <item x="1"/>
        <item x="2"/>
        <item x="0"/>
        <item h="1" x="3"/>
        <item t="default"/>
      </items>
    </pivotField>
    <pivotField showAll="0"/>
    <pivotField dataField="1" numFmtId="164" showAll="0">
      <items count="6">
        <item x="0"/>
        <item x="1"/>
        <item x="2"/>
        <item x="3"/>
        <item x="4"/>
        <item t="default"/>
      </items>
    </pivotField>
    <pivotField showAll="0"/>
  </pivotFields>
  <rowFields count="1">
    <field x="5"/>
  </rowFields>
  <rowItems count="4">
    <i>
      <x/>
    </i>
    <i>
      <x v="1"/>
    </i>
    <i>
      <x v="2"/>
    </i>
    <i t="grand">
      <x/>
    </i>
  </rowItems>
  <colFields count="1">
    <field x="-2"/>
  </colFields>
  <colItems count="2">
    <i>
      <x/>
    </i>
    <i i="1">
      <x v="1"/>
    </i>
  </colItems>
  <dataFields count="2">
    <dataField name="Average of Rating" fld="7" subtotal="average" baseField="5" baseItem="0" numFmtId="164"/>
    <dataField name="Average of Discount Amount" fld="3" subtotal="average"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D960A-E53C-407F-8A59-FCD0CF24352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6" firstHeaderRow="0" firstDataRow="1" firstDataCol="1"/>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5" showAll="0"/>
    <pivotField numFmtId="165" showAll="0"/>
    <pivotField numFmtId="165" showAll="0"/>
    <pivotField dataField="1" showAll="0">
      <items count="10">
        <item x="0"/>
        <item x="1"/>
        <item x="2"/>
        <item x="3"/>
        <item x="4"/>
        <item x="5"/>
        <item x="6"/>
        <item x="7"/>
        <item x="8"/>
        <item t="default"/>
      </items>
    </pivotField>
    <pivotField showAll="0"/>
    <pivotField dataField="1" showAll="0"/>
    <pivotField axis="axisRow" numFmtId="164" showAll="0">
      <items count="6">
        <item x="0"/>
        <item x="1"/>
        <item x="2"/>
        <item x="3"/>
        <item x="4"/>
        <item t="default"/>
      </items>
    </pivotField>
    <pivotField showAll="0"/>
  </pivotFields>
  <rowFields count="1">
    <field x="7"/>
  </rowFields>
  <rowItems count="4">
    <i>
      <x v="1"/>
    </i>
    <i>
      <x v="2"/>
    </i>
    <i>
      <x v="3"/>
    </i>
    <i t="grand">
      <x/>
    </i>
  </rowItems>
  <colFields count="1">
    <field x="-2"/>
  </colFields>
  <colItems count="3">
    <i>
      <x/>
    </i>
    <i i="1">
      <x v="1"/>
    </i>
    <i i="2">
      <x v="2"/>
    </i>
  </colItems>
  <dataFields count="3">
    <dataField name="Count of Product" fld="0" subtotal="count" baseField="0" baseItem="0"/>
    <dataField name="Average of Discount" fld="4" subtotal="average" baseField="7" baseItem="1" numFmtId="2"/>
    <dataField name="Sum of Review" fld="6" baseField="0" baseItem="0"/>
  </dataFields>
  <formats count="1">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8834BA-5282-49BE-8921-FC9297EE670D}"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9" firstHeaderRow="1" firstDataRow="1" firstDataCol="1"/>
  <pivotFields count="9">
    <pivotField axis="axisRow" showAll="0" sortType="descending">
      <items count="11">
        <item x="8"/>
        <item x="2"/>
        <item x="7"/>
        <item x="9"/>
        <item x="3"/>
        <item x="1"/>
        <item x="0"/>
        <item x="6"/>
        <item x="5"/>
        <item x="4"/>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dataField="1" numFmtId="2" showAll="0"/>
    <pivotField showAll="0">
      <items count="3">
        <item x="0"/>
        <item x="1"/>
        <item t="default"/>
      </items>
    </pivotField>
    <pivotField numFmtId="1" showAll="0"/>
    <pivotField numFmtId="164" showAll="0"/>
    <pivotField showAll="0">
      <items count="4">
        <item x="1"/>
        <item x="0"/>
        <item x="2"/>
        <item t="default"/>
      </items>
    </pivotField>
  </pivotFields>
  <rowFields count="1">
    <field x="0"/>
  </rowFields>
  <rowItems count="11">
    <i>
      <x v="2"/>
    </i>
    <i>
      <x v="6"/>
    </i>
    <i>
      <x v="4"/>
    </i>
    <i>
      <x v="5"/>
    </i>
    <i>
      <x v="8"/>
    </i>
    <i>
      <x v="3"/>
    </i>
    <i>
      <x v="9"/>
    </i>
    <i>
      <x v="1"/>
    </i>
    <i>
      <x/>
    </i>
    <i>
      <x v="7"/>
    </i>
    <i t="grand">
      <x/>
    </i>
  </rowItems>
  <colItems count="1">
    <i/>
  </colItems>
  <dataFields count="1">
    <dataField name="Sum of Discount" fld="4"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7AA401-12DE-4C56-87CF-FEA9CF6BE425}"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9" firstHeaderRow="1" firstDataRow="1" firstDataCol="1"/>
  <pivotFields count="9">
    <pivotField axis="axisRow" showAll="0" sortType="descending">
      <items count="11">
        <item x="2"/>
        <item x="9"/>
        <item x="1"/>
        <item x="3"/>
        <item x="5"/>
        <item x="7"/>
        <item x="6"/>
        <item x="4"/>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0"/>
  </rowFields>
  <rowItems count="11">
    <i>
      <x v="1"/>
    </i>
    <i>
      <x v="2"/>
    </i>
    <i>
      <x v="7"/>
    </i>
    <i>
      <x v="3"/>
    </i>
    <i>
      <x/>
    </i>
    <i>
      <x v="9"/>
    </i>
    <i>
      <x v="5"/>
    </i>
    <i>
      <x v="8"/>
    </i>
    <i>
      <x v="6"/>
    </i>
    <i>
      <x v="4"/>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5CB9A1-4413-4E63-AED2-B70D076000E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5" showAll="0"/>
    <pivotField numFmtId="165" showAll="0"/>
    <pivotField numFmtId="165" showAll="0"/>
    <pivotField showAll="0">
      <items count="10">
        <item x="0"/>
        <item x="1"/>
        <item x="2"/>
        <item x="3"/>
        <item x="4"/>
        <item x="5"/>
        <item x="6"/>
        <item x="7"/>
        <item x="8"/>
        <item t="default"/>
      </items>
    </pivotField>
    <pivotField axis="axisCol" showAll="0">
      <items count="5">
        <item x="1"/>
        <item x="2"/>
        <item x="0"/>
        <item x="3"/>
        <item t="default"/>
      </items>
    </pivotField>
    <pivotField showAll="0"/>
    <pivotField numFmtId="164" showAll="0">
      <items count="6">
        <item x="0"/>
        <item x="1"/>
        <item x="2"/>
        <item x="3"/>
        <item x="4"/>
        <item t="default"/>
      </items>
    </pivotField>
    <pivotField axis="axisRow" showAll="0">
      <items count="5">
        <item x="1"/>
        <item x="0"/>
        <item x="2"/>
        <item h="1" x="3"/>
        <item t="default"/>
      </items>
    </pivotField>
  </pivotFields>
  <rowFields count="1">
    <field x="8"/>
  </rowFields>
  <rowItems count="4">
    <i>
      <x/>
    </i>
    <i>
      <x v="1"/>
    </i>
    <i>
      <x v="2"/>
    </i>
    <i t="grand">
      <x/>
    </i>
  </rowItems>
  <colFields count="1">
    <field x="5"/>
  </colFields>
  <colItems count="4">
    <i>
      <x/>
    </i>
    <i>
      <x v="1"/>
    </i>
    <i>
      <x v="2"/>
    </i>
    <i t="grand">
      <x/>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383C8E-41AE-433F-83A5-15537E7D464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numFmtId="165" showAll="0"/>
    <pivotField numFmtId="165" showAll="0"/>
    <pivotField numFmtId="165" showAll="0"/>
    <pivotField showAll="0">
      <items count="10">
        <item x="0"/>
        <item x="1"/>
        <item x="2"/>
        <item x="3"/>
        <item x="4"/>
        <item x="5"/>
        <item x="6"/>
        <item x="7"/>
        <item x="8"/>
        <item t="default"/>
      </items>
    </pivotField>
    <pivotField axis="axisRow" showAll="0">
      <items count="5">
        <item x="1"/>
        <item x="2"/>
        <item x="0"/>
        <item h="1" x="3"/>
        <item t="default"/>
      </items>
    </pivotField>
    <pivotField dataField="1" showAll="0"/>
    <pivotField dataField="1" numFmtId="164" showAll="0">
      <items count="6">
        <item x="0"/>
        <item x="1"/>
        <item x="2"/>
        <item x="3"/>
        <item x="4"/>
        <item t="default"/>
      </items>
    </pivotField>
    <pivotField showAll="0"/>
  </pivotFields>
  <rowFields count="1">
    <field x="5"/>
  </rowFields>
  <rowItems count="4">
    <i>
      <x/>
    </i>
    <i>
      <x v="1"/>
    </i>
    <i>
      <x v="2"/>
    </i>
    <i t="grand">
      <x/>
    </i>
  </rowItems>
  <colFields count="1">
    <field x="-2"/>
  </colFields>
  <colItems count="2">
    <i>
      <x/>
    </i>
    <i i="1">
      <x v="1"/>
    </i>
  </colItems>
  <dataFields count="2">
    <dataField name="Average of Rating" fld="7" subtotal="average" baseField="5" baseItem="0" numFmtId="164"/>
    <dataField name="Average of Review" fld="6" subtotal="average" baseField="5" baseItem="0" numFmtId="2"/>
  </dataFields>
  <formats count="1">
    <format dxfId="1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711DC0-3786-46AF-A8DB-B4DA744DD8C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29" firstHeaderRow="1" firstDataRow="1" firstDataCol="1"/>
  <pivotFields count="9">
    <pivotField showAll="0"/>
    <pivotField numFmtId="165" showAll="0"/>
    <pivotField numFmtId="165" showAll="0"/>
    <pivotField numFmtId="165" showAll="0"/>
    <pivotField showAll="0"/>
    <pivotField showAll="0"/>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numFmtId="164" showAll="0">
      <items count="6">
        <item x="0"/>
        <item x="1"/>
        <item x="2"/>
        <item x="3"/>
        <item x="4"/>
        <item t="default"/>
      </items>
    </pivotField>
    <pivotField showAll="0"/>
  </pivotFields>
  <rowFields count="1">
    <field x="7"/>
  </rowFields>
  <rowItems count="4">
    <i>
      <x v="1"/>
    </i>
    <i>
      <x v="2"/>
    </i>
    <i>
      <x v="3"/>
    </i>
    <i t="grand">
      <x/>
    </i>
  </rowItems>
  <colItems count="1">
    <i/>
  </colItems>
  <dataFields count="1">
    <dataField name="Average of Review" fld="6" subtotal="average" baseField="7" baseItem="0" numFmtId="2"/>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6ACECF-8C31-49B8-B762-709B663116DB}" name="PivotTable5"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9">
    <pivotField showAll="0"/>
    <pivotField numFmtId="165" showAll="0"/>
    <pivotField numFmtId="165" showAll="0"/>
    <pivotField numFmtId="165" showAll="0"/>
    <pivotField axis="axisRow" showAll="0">
      <items count="10">
        <item x="0"/>
        <item x="1"/>
        <item x="2"/>
        <item x="3"/>
        <item x="4"/>
        <item x="5"/>
        <item x="6"/>
        <item x="7"/>
        <item x="8"/>
        <item t="default"/>
      </items>
    </pivotField>
    <pivotField showAll="0"/>
    <pivotField dataField="1" showAll="0"/>
    <pivotField numFmtId="164" showAll="0">
      <items count="6">
        <item x="0"/>
        <item x="1"/>
        <item x="2"/>
        <item x="3"/>
        <item x="4"/>
        <item t="default"/>
      </items>
    </pivotField>
    <pivotField showAll="0"/>
  </pivotFields>
  <rowFields count="1">
    <field x="4"/>
  </rowFields>
  <rowItems count="8">
    <i>
      <x v="1"/>
    </i>
    <i>
      <x v="2"/>
    </i>
    <i>
      <x v="3"/>
    </i>
    <i>
      <x v="4"/>
    </i>
    <i>
      <x v="5"/>
    </i>
    <i>
      <x v="6"/>
    </i>
    <i>
      <x v="7"/>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8FA7E2-E08E-4980-82DB-4841D77BBBC3}"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1" firstHeaderRow="1" firstDataRow="1" firstDataCol="1"/>
  <pivotFields count="9">
    <pivotField axis="axisRow" showAll="0">
      <items count="8">
        <item x="0"/>
        <item x="5"/>
        <item x="4"/>
        <item x="3"/>
        <item x="6"/>
        <item x="2"/>
        <item x="1"/>
        <item t="default"/>
      </items>
    </pivotField>
    <pivotField numFmtId="165" showAll="0"/>
    <pivotField numFmtId="165" showAll="0"/>
    <pivotField numFmtId="165" showAll="0"/>
    <pivotField numFmtId="2" showAll="0"/>
    <pivotField showAll="0"/>
    <pivotField numFmtId="1" showAll="0"/>
    <pivotField dataField="1" numFmtId="164" showAll="0"/>
    <pivotField showAll="0"/>
  </pivotFields>
  <rowFields count="1">
    <field x="0"/>
  </rowFields>
  <rowItems count="8">
    <i>
      <x/>
    </i>
    <i>
      <x v="1"/>
    </i>
    <i>
      <x v="2"/>
    </i>
    <i>
      <x v="3"/>
    </i>
    <i>
      <x v="4"/>
    </i>
    <i>
      <x v="5"/>
    </i>
    <i>
      <x v="6"/>
    </i>
    <i t="grand">
      <x/>
    </i>
  </rowItems>
  <colItems count="1">
    <i/>
  </colItems>
  <dataFields count="1">
    <dataField name="Sum of Rating" fld="7" baseField="0" baseItem="0" numFmtId="164"/>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58C9804D-5BD3-46C3-A009-EFFCB6577E2A}" sourceName="Discount Category">
  <pivotTables>
    <pivotTable tabId="4" name="PivotTable13"/>
  </pivotTables>
  <data>
    <tabular pivotCacheId="14087884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3FF659F-0AB4-4C7B-A112-7D896911C608}" sourceName="Rating Category">
  <pivotTables>
    <pivotTable tabId="4" name="PivotTable13"/>
  </pivotTables>
  <data>
    <tabular pivotCacheId="140878844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705427E4-AFBD-41B5-8514-8DFF8D5F8C91}" cache="Slicer_Discount_Category" caption="Discount Category" rowHeight="241300"/>
  <slicer name="Rating Category" xr10:uid="{905B7B22-079E-4F9D-93B2-1487AEAC4E2D}" cache="Slicer_Rating_Category"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DA1CA-EEB6-487B-9A44-D85C1B89A40E}">
  <dimension ref="A3:C9"/>
  <sheetViews>
    <sheetView workbookViewId="0">
      <selection activeCell="B9" sqref="B9"/>
    </sheetView>
  </sheetViews>
  <sheetFormatPr defaultRowHeight="14.25" x14ac:dyDescent="0.45"/>
  <cols>
    <col min="1" max="1" width="12.33203125" bestFit="1" customWidth="1"/>
    <col min="2" max="2" width="15.53125" bestFit="1" customWidth="1"/>
    <col min="3" max="3" width="25" bestFit="1" customWidth="1"/>
  </cols>
  <sheetData>
    <row r="3" spans="1:3" x14ac:dyDescent="0.45">
      <c r="A3" s="11" t="s">
        <v>118</v>
      </c>
      <c r="B3" t="s">
        <v>124</v>
      </c>
      <c r="C3" t="s">
        <v>125</v>
      </c>
    </row>
    <row r="4" spans="1:3" x14ac:dyDescent="0.45">
      <c r="A4" s="12" t="s">
        <v>119</v>
      </c>
      <c r="B4" s="6">
        <v>3.7653333333333308</v>
      </c>
      <c r="C4" s="10">
        <v>724.85</v>
      </c>
    </row>
    <row r="5" spans="1:3" x14ac:dyDescent="0.45">
      <c r="A5" s="12" t="s">
        <v>120</v>
      </c>
      <c r="B5" s="6">
        <v>3.8455555555555563</v>
      </c>
      <c r="C5" s="10">
        <v>175.66666666666666</v>
      </c>
    </row>
    <row r="6" spans="1:3" x14ac:dyDescent="0.45">
      <c r="A6" s="12" t="s">
        <v>121</v>
      </c>
      <c r="B6" s="6">
        <v>4.1393548387096768</v>
      </c>
      <c r="C6" s="10">
        <v>708.45161290322585</v>
      </c>
    </row>
    <row r="7" spans="1:3" x14ac:dyDescent="0.45">
      <c r="A7" s="12" t="s">
        <v>122</v>
      </c>
      <c r="B7" s="6">
        <v>3.884954128440365</v>
      </c>
      <c r="C7" s="10">
        <v>629.49541284403665</v>
      </c>
    </row>
    <row r="9" spans="1:3" x14ac:dyDescent="0.45">
      <c r="B9"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5114-FE3B-4750-9896-55FF7674ED59}">
  <dimension ref="A1:J116"/>
  <sheetViews>
    <sheetView workbookViewId="0">
      <pane ySplit="1" topLeftCell="A2" activePane="bottomLeft" state="frozen"/>
      <selection pane="bottomLeft" activeCell="J3" sqref="J3"/>
    </sheetView>
  </sheetViews>
  <sheetFormatPr defaultRowHeight="14.25" x14ac:dyDescent="0.45"/>
  <cols>
    <col min="1" max="1" width="89.265625" bestFit="1" customWidth="1"/>
    <col min="2" max="3" width="18.06640625" style="10" bestFit="1" customWidth="1"/>
    <col min="4" max="4" width="18.06640625" style="10" customWidth="1"/>
    <col min="5" max="5" width="8.06640625" style="4" bestFit="1" customWidth="1"/>
    <col min="6" max="6" width="16.06640625" bestFit="1" customWidth="1"/>
    <col min="7" max="7" width="7" style="8" bestFit="1" customWidth="1"/>
    <col min="8" max="8" width="9.9296875" style="6" bestFit="1" customWidth="1"/>
    <col min="9" max="9" width="13.9296875" bestFit="1" customWidth="1"/>
  </cols>
  <sheetData>
    <row r="1" spans="1:10" s="2" customFormat="1" x14ac:dyDescent="0.45">
      <c r="A1" s="2" t="s">
        <v>0</v>
      </c>
      <c r="B1" s="9" t="s">
        <v>1</v>
      </c>
      <c r="C1" s="9" t="s">
        <v>2</v>
      </c>
      <c r="D1" s="9" t="s">
        <v>115</v>
      </c>
      <c r="E1" s="3" t="s">
        <v>3</v>
      </c>
      <c r="F1" s="2" t="s">
        <v>117</v>
      </c>
      <c r="G1" s="7" t="s">
        <v>4</v>
      </c>
      <c r="H1" s="5" t="s">
        <v>99</v>
      </c>
      <c r="I1" s="2" t="s">
        <v>116</v>
      </c>
    </row>
    <row r="2" spans="1:10" x14ac:dyDescent="0.45">
      <c r="A2" t="s">
        <v>5</v>
      </c>
      <c r="B2" s="10">
        <v>950</v>
      </c>
      <c r="C2" s="10">
        <v>1525</v>
      </c>
      <c r="D2" s="10">
        <f t="shared" ref="D2:D33" si="0">C2-B2</f>
        <v>575</v>
      </c>
      <c r="E2" s="4">
        <v>0.38</v>
      </c>
      <c r="F2" s="1" t="str">
        <f t="shared" ref="F2:F33" si="1">IF(E2&gt;=0.4,"High",IF(E2&gt;=0.2,"Medium","Low"))</f>
        <v>Medium</v>
      </c>
      <c r="G2" s="8">
        <v>2</v>
      </c>
      <c r="H2" s="6">
        <v>4.5</v>
      </c>
      <c r="I2" t="str">
        <f t="shared" ref="I2:I33" si="2">IF(H2&gt;=4.5,"Excellent",IF(H2&gt;=3,"Average","Poor"))</f>
        <v>Excellent</v>
      </c>
      <c r="J2">
        <f>COUNT(A2:A110)</f>
        <v>0</v>
      </c>
    </row>
    <row r="3" spans="1:10" x14ac:dyDescent="0.45">
      <c r="A3" t="s">
        <v>100</v>
      </c>
      <c r="B3" s="10">
        <v>527</v>
      </c>
      <c r="C3" s="10">
        <v>999</v>
      </c>
      <c r="D3" s="10">
        <f t="shared" si="0"/>
        <v>472</v>
      </c>
      <c r="E3" s="4">
        <v>0.47</v>
      </c>
      <c r="F3" s="1" t="str">
        <f t="shared" si="1"/>
        <v>High</v>
      </c>
      <c r="G3" s="8">
        <v>14</v>
      </c>
      <c r="H3" s="6">
        <v>4.0999999999999996</v>
      </c>
      <c r="I3" t="str">
        <f t="shared" si="2"/>
        <v>Average</v>
      </c>
    </row>
    <row r="4" spans="1:10" x14ac:dyDescent="0.45">
      <c r="A4" t="s">
        <v>101</v>
      </c>
      <c r="B4" s="10">
        <v>2199</v>
      </c>
      <c r="C4" s="10">
        <v>2923</v>
      </c>
      <c r="D4" s="10">
        <f t="shared" si="0"/>
        <v>724</v>
      </c>
      <c r="E4" s="4">
        <v>0.25</v>
      </c>
      <c r="F4" s="1" t="str">
        <f t="shared" si="1"/>
        <v>Medium</v>
      </c>
      <c r="G4" s="8">
        <v>24</v>
      </c>
      <c r="H4" s="6">
        <v>4.5999999999999996</v>
      </c>
      <c r="I4" t="str">
        <f t="shared" si="2"/>
        <v>Excellent</v>
      </c>
    </row>
    <row r="5" spans="1:10" x14ac:dyDescent="0.45">
      <c r="A5" t="s">
        <v>6</v>
      </c>
      <c r="B5" s="10">
        <v>1580</v>
      </c>
      <c r="C5" s="10">
        <v>2499</v>
      </c>
      <c r="D5" s="10">
        <f t="shared" si="0"/>
        <v>919</v>
      </c>
      <c r="E5" s="4">
        <v>0.37</v>
      </c>
      <c r="F5" s="1" t="str">
        <f t="shared" si="1"/>
        <v>Medium</v>
      </c>
      <c r="G5" s="8">
        <v>7</v>
      </c>
      <c r="H5" s="6">
        <v>4.7</v>
      </c>
      <c r="I5" t="str">
        <f t="shared" si="2"/>
        <v>Excellent</v>
      </c>
    </row>
    <row r="6" spans="1:10" x14ac:dyDescent="0.45">
      <c r="A6" t="s">
        <v>102</v>
      </c>
      <c r="B6" s="10">
        <v>1740</v>
      </c>
      <c r="C6" s="10">
        <v>2356</v>
      </c>
      <c r="D6" s="10">
        <f t="shared" si="0"/>
        <v>616</v>
      </c>
      <c r="E6" s="4">
        <v>0.26</v>
      </c>
      <c r="F6" s="1" t="str">
        <f t="shared" si="1"/>
        <v>Medium</v>
      </c>
      <c r="G6" s="8">
        <v>5</v>
      </c>
      <c r="H6" s="6">
        <v>4.8</v>
      </c>
      <c r="I6" t="str">
        <f t="shared" si="2"/>
        <v>Excellent</v>
      </c>
    </row>
    <row r="7" spans="1:10" x14ac:dyDescent="0.45">
      <c r="A7" t="s">
        <v>7</v>
      </c>
      <c r="B7" s="10">
        <v>2999</v>
      </c>
      <c r="C7" s="10">
        <v>3290</v>
      </c>
      <c r="D7" s="10">
        <f t="shared" si="0"/>
        <v>291</v>
      </c>
      <c r="E7" s="4">
        <v>0.09</v>
      </c>
      <c r="F7" s="1" t="str">
        <f t="shared" si="1"/>
        <v>Low</v>
      </c>
      <c r="G7" s="8">
        <v>15</v>
      </c>
      <c r="H7" s="6">
        <v>4</v>
      </c>
      <c r="I7" t="str">
        <f t="shared" si="2"/>
        <v>Average</v>
      </c>
    </row>
    <row r="8" spans="1:10" x14ac:dyDescent="0.45">
      <c r="A8" t="s">
        <v>8</v>
      </c>
      <c r="B8" s="10">
        <v>2319</v>
      </c>
      <c r="C8" s="10">
        <v>3032</v>
      </c>
      <c r="D8" s="10">
        <f t="shared" si="0"/>
        <v>713</v>
      </c>
      <c r="E8" s="4">
        <v>0.24</v>
      </c>
      <c r="F8" s="1" t="str">
        <f t="shared" si="1"/>
        <v>Medium</v>
      </c>
      <c r="G8" s="8">
        <v>55</v>
      </c>
      <c r="H8" s="6">
        <v>4.5999999999999996</v>
      </c>
      <c r="I8" t="str">
        <f t="shared" si="2"/>
        <v>Excellent</v>
      </c>
    </row>
    <row r="9" spans="1:10" x14ac:dyDescent="0.45">
      <c r="A9" t="s">
        <v>9</v>
      </c>
      <c r="B9" s="10">
        <v>988</v>
      </c>
      <c r="C9" s="10">
        <v>1580</v>
      </c>
      <c r="D9" s="10">
        <f t="shared" si="0"/>
        <v>592</v>
      </c>
      <c r="E9" s="4">
        <v>0.37</v>
      </c>
      <c r="F9" s="1" t="str">
        <f t="shared" si="1"/>
        <v>Medium</v>
      </c>
      <c r="G9" s="8">
        <v>2</v>
      </c>
      <c r="H9" s="6">
        <v>4</v>
      </c>
      <c r="I9" t="str">
        <f t="shared" si="2"/>
        <v>Average</v>
      </c>
    </row>
    <row r="10" spans="1:10" x14ac:dyDescent="0.45">
      <c r="A10" t="s">
        <v>10</v>
      </c>
      <c r="B10" s="10">
        <v>1274</v>
      </c>
      <c r="C10" s="10">
        <v>2800</v>
      </c>
      <c r="D10" s="10">
        <f t="shared" si="0"/>
        <v>1526</v>
      </c>
      <c r="E10" s="4">
        <v>0.55000000000000004</v>
      </c>
      <c r="F10" s="1" t="str">
        <f t="shared" si="1"/>
        <v>High</v>
      </c>
      <c r="G10" s="8">
        <v>5</v>
      </c>
      <c r="H10" s="6">
        <v>4.8</v>
      </c>
      <c r="I10" t="str">
        <f t="shared" si="2"/>
        <v>Excellent</v>
      </c>
    </row>
    <row r="11" spans="1:10" x14ac:dyDescent="0.45">
      <c r="A11" t="s">
        <v>11</v>
      </c>
      <c r="B11" s="10">
        <v>1600</v>
      </c>
      <c r="C11" s="10">
        <v>2929</v>
      </c>
      <c r="D11" s="10">
        <f t="shared" si="0"/>
        <v>1329</v>
      </c>
      <c r="E11" s="4">
        <v>0.45</v>
      </c>
      <c r="F11" s="1" t="str">
        <f t="shared" si="1"/>
        <v>High</v>
      </c>
      <c r="G11" s="8">
        <v>5</v>
      </c>
      <c r="H11" s="6">
        <v>3.8</v>
      </c>
      <c r="I11" t="str">
        <f t="shared" si="2"/>
        <v>Average</v>
      </c>
    </row>
    <row r="12" spans="1:10" x14ac:dyDescent="0.45">
      <c r="A12" t="s">
        <v>12</v>
      </c>
      <c r="B12" s="10">
        <v>799</v>
      </c>
      <c r="C12" s="10">
        <v>999</v>
      </c>
      <c r="D12" s="10">
        <f t="shared" si="0"/>
        <v>200</v>
      </c>
      <c r="E12" s="4">
        <v>0.2</v>
      </c>
      <c r="F12" s="1" t="str">
        <f t="shared" si="1"/>
        <v>Medium</v>
      </c>
      <c r="G12" s="8">
        <v>12</v>
      </c>
      <c r="H12" s="6">
        <v>4.0999999999999996</v>
      </c>
      <c r="I12" t="str">
        <f t="shared" si="2"/>
        <v>Average</v>
      </c>
    </row>
    <row r="13" spans="1:10" x14ac:dyDescent="0.45">
      <c r="A13" t="s">
        <v>13</v>
      </c>
      <c r="B13" s="10">
        <v>990</v>
      </c>
      <c r="C13" s="10">
        <v>1500</v>
      </c>
      <c r="D13" s="10">
        <f t="shared" si="0"/>
        <v>510</v>
      </c>
      <c r="E13" s="4">
        <v>0.34</v>
      </c>
      <c r="F13" s="1" t="str">
        <f t="shared" si="1"/>
        <v>Medium</v>
      </c>
      <c r="G13" s="8">
        <v>39</v>
      </c>
      <c r="H13" s="6">
        <v>4.7</v>
      </c>
      <c r="I13" t="str">
        <f t="shared" si="2"/>
        <v>Excellent</v>
      </c>
    </row>
    <row r="14" spans="1:10" x14ac:dyDescent="0.45">
      <c r="A14" t="s">
        <v>14</v>
      </c>
      <c r="B14" s="10">
        <v>552</v>
      </c>
      <c r="C14" s="10">
        <v>1035</v>
      </c>
      <c r="D14" s="10">
        <f t="shared" si="0"/>
        <v>483</v>
      </c>
      <c r="E14" s="4">
        <v>0.47</v>
      </c>
      <c r="F14" s="1" t="str">
        <f t="shared" si="1"/>
        <v>High</v>
      </c>
      <c r="G14" s="8">
        <v>12</v>
      </c>
      <c r="H14" s="6">
        <v>4.8</v>
      </c>
      <c r="I14" t="str">
        <f t="shared" si="2"/>
        <v>Excellent</v>
      </c>
    </row>
    <row r="15" spans="1:10" x14ac:dyDescent="0.45">
      <c r="A15" t="s">
        <v>15</v>
      </c>
      <c r="B15" s="10">
        <v>501</v>
      </c>
      <c r="C15" s="10">
        <v>860</v>
      </c>
      <c r="D15" s="10">
        <f t="shared" si="0"/>
        <v>359</v>
      </c>
      <c r="E15" s="4">
        <v>0.42</v>
      </c>
      <c r="F15" s="1" t="str">
        <f t="shared" si="1"/>
        <v>High</v>
      </c>
      <c r="G15" s="8">
        <v>6</v>
      </c>
      <c r="H15" s="6">
        <v>4.5</v>
      </c>
      <c r="I15" t="str">
        <f t="shared" si="2"/>
        <v>Excellent</v>
      </c>
    </row>
    <row r="16" spans="1:10" x14ac:dyDescent="0.45">
      <c r="A16" t="s">
        <v>16</v>
      </c>
      <c r="B16" s="10">
        <v>1680</v>
      </c>
      <c r="C16" s="10">
        <v>2499</v>
      </c>
      <c r="D16" s="10">
        <f t="shared" si="0"/>
        <v>819</v>
      </c>
      <c r="E16" s="4">
        <v>0.33</v>
      </c>
      <c r="F16" s="1" t="str">
        <f t="shared" si="1"/>
        <v>Medium</v>
      </c>
      <c r="G16" s="8">
        <v>9</v>
      </c>
      <c r="H16" s="6">
        <v>4.2</v>
      </c>
      <c r="I16" t="str">
        <f t="shared" si="2"/>
        <v>Average</v>
      </c>
    </row>
    <row r="17" spans="1:9" x14ac:dyDescent="0.45">
      <c r="A17" t="s">
        <v>17</v>
      </c>
      <c r="B17" s="10">
        <v>332</v>
      </c>
      <c r="C17" s="10">
        <v>684</v>
      </c>
      <c r="D17" s="10">
        <f t="shared" si="0"/>
        <v>352</v>
      </c>
      <c r="E17" s="4">
        <v>0.51</v>
      </c>
      <c r="F17" s="1" t="str">
        <f t="shared" si="1"/>
        <v>High</v>
      </c>
      <c r="G17" s="8">
        <v>2</v>
      </c>
      <c r="H17" s="6">
        <v>5</v>
      </c>
      <c r="I17" t="str">
        <f t="shared" si="2"/>
        <v>Excellent</v>
      </c>
    </row>
    <row r="18" spans="1:9" x14ac:dyDescent="0.45">
      <c r="A18" t="s">
        <v>18</v>
      </c>
      <c r="B18" s="10">
        <v>195</v>
      </c>
      <c r="C18" s="10">
        <v>360</v>
      </c>
      <c r="D18" s="10">
        <f t="shared" si="0"/>
        <v>165</v>
      </c>
      <c r="E18" s="4">
        <v>0.46</v>
      </c>
      <c r="F18" s="1" t="str">
        <f t="shared" si="1"/>
        <v>High</v>
      </c>
      <c r="G18" s="8">
        <v>2</v>
      </c>
      <c r="H18" s="6">
        <v>5</v>
      </c>
      <c r="I18" t="str">
        <f t="shared" si="2"/>
        <v>Excellent</v>
      </c>
    </row>
    <row r="19" spans="1:9" x14ac:dyDescent="0.45">
      <c r="A19" t="s">
        <v>103</v>
      </c>
      <c r="B19" s="10">
        <v>2025</v>
      </c>
      <c r="C19" s="10">
        <v>3971</v>
      </c>
      <c r="D19" s="10">
        <f t="shared" si="0"/>
        <v>1946</v>
      </c>
      <c r="E19" s="4">
        <v>0.49</v>
      </c>
      <c r="F19" s="1" t="str">
        <f t="shared" si="1"/>
        <v>High</v>
      </c>
      <c r="G19" s="8">
        <v>3</v>
      </c>
      <c r="H19" s="6">
        <v>5</v>
      </c>
      <c r="I19" t="str">
        <f t="shared" si="2"/>
        <v>Excellent</v>
      </c>
    </row>
    <row r="20" spans="1:9" x14ac:dyDescent="0.45">
      <c r="A20" t="s">
        <v>19</v>
      </c>
      <c r="B20" s="10">
        <v>2999</v>
      </c>
      <c r="C20" s="10">
        <v>3699</v>
      </c>
      <c r="D20" s="10">
        <f t="shared" si="0"/>
        <v>700</v>
      </c>
      <c r="E20" s="4">
        <v>0.19</v>
      </c>
      <c r="F20" s="1" t="str">
        <f t="shared" si="1"/>
        <v>Low</v>
      </c>
      <c r="G20" s="8">
        <v>5</v>
      </c>
      <c r="H20" s="6">
        <v>4.5999999999999996</v>
      </c>
      <c r="I20" t="str">
        <f t="shared" si="2"/>
        <v>Excellent</v>
      </c>
    </row>
    <row r="21" spans="1:9" x14ac:dyDescent="0.45">
      <c r="A21" t="s">
        <v>20</v>
      </c>
      <c r="B21" s="10">
        <v>998</v>
      </c>
      <c r="C21" s="10">
        <v>1966</v>
      </c>
      <c r="D21" s="10">
        <f t="shared" si="0"/>
        <v>968</v>
      </c>
      <c r="E21" s="4">
        <v>0.49</v>
      </c>
      <c r="F21" s="1" t="str">
        <f t="shared" si="1"/>
        <v>High</v>
      </c>
      <c r="G21" s="8">
        <v>44</v>
      </c>
      <c r="H21" s="6">
        <v>4.5999999999999996</v>
      </c>
      <c r="I21" t="str">
        <f t="shared" si="2"/>
        <v>Excellent</v>
      </c>
    </row>
    <row r="22" spans="1:9" x14ac:dyDescent="0.45">
      <c r="A22" t="s">
        <v>21</v>
      </c>
      <c r="B22" s="10">
        <v>38</v>
      </c>
      <c r="C22" s="10">
        <v>80</v>
      </c>
      <c r="D22" s="10">
        <f t="shared" si="0"/>
        <v>42</v>
      </c>
      <c r="E22" s="4">
        <v>0.53</v>
      </c>
      <c r="F22" s="1" t="str">
        <f t="shared" si="1"/>
        <v>High</v>
      </c>
      <c r="G22" s="8">
        <v>13</v>
      </c>
      <c r="H22" s="6">
        <v>3.3</v>
      </c>
      <c r="I22" t="str">
        <f t="shared" si="2"/>
        <v>Average</v>
      </c>
    </row>
    <row r="23" spans="1:9" x14ac:dyDescent="0.45">
      <c r="A23" t="s">
        <v>22</v>
      </c>
      <c r="B23" s="10">
        <v>1860</v>
      </c>
      <c r="C23" s="10">
        <v>3220</v>
      </c>
      <c r="D23" s="10">
        <f t="shared" si="0"/>
        <v>1360</v>
      </c>
      <c r="E23" s="4">
        <v>0.42</v>
      </c>
      <c r="F23" s="1" t="str">
        <f t="shared" si="1"/>
        <v>High</v>
      </c>
      <c r="G23" s="8">
        <v>0</v>
      </c>
      <c r="H23" s="6">
        <v>3.88</v>
      </c>
      <c r="I23" t="str">
        <f t="shared" si="2"/>
        <v>Average</v>
      </c>
    </row>
    <row r="24" spans="1:9" x14ac:dyDescent="0.45">
      <c r="A24" t="s">
        <v>23</v>
      </c>
      <c r="B24" s="10">
        <v>880</v>
      </c>
      <c r="C24" s="10">
        <v>1350</v>
      </c>
      <c r="D24" s="10">
        <f t="shared" si="0"/>
        <v>470</v>
      </c>
      <c r="E24" s="4">
        <v>0.35</v>
      </c>
      <c r="F24" s="1" t="str">
        <f t="shared" si="1"/>
        <v>Medium</v>
      </c>
      <c r="G24" s="8">
        <v>6</v>
      </c>
      <c r="H24" s="6">
        <v>4</v>
      </c>
      <c r="I24" t="str">
        <f t="shared" si="2"/>
        <v>Average</v>
      </c>
    </row>
    <row r="25" spans="1:9" x14ac:dyDescent="0.45">
      <c r="A25" t="s">
        <v>24</v>
      </c>
      <c r="B25" s="10">
        <v>1650</v>
      </c>
      <c r="C25" s="10">
        <v>2150</v>
      </c>
      <c r="D25" s="10">
        <f t="shared" si="0"/>
        <v>500</v>
      </c>
      <c r="E25" s="4">
        <v>0.23</v>
      </c>
      <c r="F25" s="1" t="str">
        <f t="shared" si="1"/>
        <v>Medium</v>
      </c>
      <c r="G25" s="8">
        <v>14</v>
      </c>
      <c r="H25" s="6">
        <v>4.4000000000000004</v>
      </c>
      <c r="I25" t="str">
        <f t="shared" si="2"/>
        <v>Average</v>
      </c>
    </row>
    <row r="26" spans="1:9" x14ac:dyDescent="0.45">
      <c r="A26" t="s">
        <v>25</v>
      </c>
      <c r="B26" s="10">
        <v>2048</v>
      </c>
      <c r="C26" s="10">
        <v>4500</v>
      </c>
      <c r="D26" s="10">
        <f t="shared" si="0"/>
        <v>2452</v>
      </c>
      <c r="E26" s="4">
        <v>0.54</v>
      </c>
      <c r="F26" s="1" t="str">
        <f t="shared" si="1"/>
        <v>High</v>
      </c>
      <c r="G26" s="8">
        <v>7</v>
      </c>
      <c r="H26" s="6">
        <v>4.3</v>
      </c>
      <c r="I26" t="str">
        <f t="shared" si="2"/>
        <v>Average</v>
      </c>
    </row>
    <row r="27" spans="1:9" x14ac:dyDescent="0.45">
      <c r="A27" t="s">
        <v>26</v>
      </c>
      <c r="B27" s="10">
        <v>420</v>
      </c>
      <c r="C27" s="10">
        <v>647</v>
      </c>
      <c r="D27" s="10">
        <f t="shared" si="0"/>
        <v>227</v>
      </c>
      <c r="E27" s="4">
        <v>0.35</v>
      </c>
      <c r="F27" s="1" t="str">
        <f t="shared" si="1"/>
        <v>Medium</v>
      </c>
      <c r="G27" s="8">
        <v>49</v>
      </c>
      <c r="H27" s="6">
        <v>4.5999999999999996</v>
      </c>
      <c r="I27" t="str">
        <f t="shared" si="2"/>
        <v>Excellent</v>
      </c>
    </row>
    <row r="28" spans="1:9" x14ac:dyDescent="0.45">
      <c r="A28" t="s">
        <v>27</v>
      </c>
      <c r="B28" s="10">
        <v>2880</v>
      </c>
      <c r="C28" s="10">
        <v>3520</v>
      </c>
      <c r="D28" s="10">
        <f t="shared" si="0"/>
        <v>640</v>
      </c>
      <c r="E28" s="4">
        <v>0.18</v>
      </c>
      <c r="F28" s="1" t="str">
        <f t="shared" si="1"/>
        <v>Low</v>
      </c>
      <c r="G28" s="8">
        <v>12</v>
      </c>
      <c r="H28" s="6">
        <v>3.8</v>
      </c>
      <c r="I28" t="str">
        <f t="shared" si="2"/>
        <v>Average</v>
      </c>
    </row>
    <row r="29" spans="1:9" x14ac:dyDescent="0.45">
      <c r="A29" t="s">
        <v>28</v>
      </c>
      <c r="B29" s="10">
        <v>1350</v>
      </c>
      <c r="C29" s="10">
        <v>1990</v>
      </c>
      <c r="D29" s="10">
        <f t="shared" si="0"/>
        <v>640</v>
      </c>
      <c r="E29" s="4">
        <v>0.32</v>
      </c>
      <c r="F29" s="1" t="str">
        <f t="shared" si="1"/>
        <v>Medium</v>
      </c>
      <c r="G29" s="8">
        <v>13</v>
      </c>
      <c r="H29" s="6">
        <v>3.8</v>
      </c>
      <c r="I29" t="str">
        <f t="shared" si="2"/>
        <v>Average</v>
      </c>
    </row>
    <row r="30" spans="1:9" x14ac:dyDescent="0.45">
      <c r="A30" t="s">
        <v>29</v>
      </c>
      <c r="B30" s="10">
        <v>1758</v>
      </c>
      <c r="C30" s="10">
        <v>2499</v>
      </c>
      <c r="D30" s="10">
        <f t="shared" si="0"/>
        <v>741</v>
      </c>
      <c r="E30" s="4">
        <v>0.3</v>
      </c>
      <c r="F30" s="1" t="str">
        <f t="shared" si="1"/>
        <v>Medium</v>
      </c>
      <c r="G30" s="8">
        <v>20</v>
      </c>
      <c r="H30" s="6">
        <v>4.0999999999999996</v>
      </c>
      <c r="I30" t="str">
        <f t="shared" si="2"/>
        <v>Average</v>
      </c>
    </row>
    <row r="31" spans="1:9" x14ac:dyDescent="0.45">
      <c r="A31" t="s">
        <v>30</v>
      </c>
      <c r="B31" s="10">
        <v>2200</v>
      </c>
      <c r="C31" s="10">
        <v>4080</v>
      </c>
      <c r="D31" s="10">
        <f t="shared" si="0"/>
        <v>1880</v>
      </c>
      <c r="E31" s="4">
        <v>0.46</v>
      </c>
      <c r="F31" s="1" t="str">
        <f t="shared" si="1"/>
        <v>High</v>
      </c>
      <c r="G31" s="8">
        <v>0</v>
      </c>
      <c r="H31" s="6">
        <v>3.88</v>
      </c>
      <c r="I31" t="str">
        <f t="shared" si="2"/>
        <v>Average</v>
      </c>
    </row>
    <row r="32" spans="1:9" x14ac:dyDescent="0.45">
      <c r="A32" t="s">
        <v>104</v>
      </c>
      <c r="B32" s="10">
        <v>185</v>
      </c>
      <c r="C32" s="10">
        <v>382</v>
      </c>
      <c r="D32" s="10">
        <f t="shared" si="0"/>
        <v>197</v>
      </c>
      <c r="E32" s="4">
        <v>0.52</v>
      </c>
      <c r="F32" s="1" t="str">
        <f t="shared" si="1"/>
        <v>High</v>
      </c>
      <c r="G32" s="8">
        <v>9</v>
      </c>
      <c r="H32" s="6">
        <v>4.3</v>
      </c>
      <c r="I32" t="str">
        <f t="shared" si="2"/>
        <v>Average</v>
      </c>
    </row>
    <row r="33" spans="1:9" x14ac:dyDescent="0.45">
      <c r="A33" t="s">
        <v>31</v>
      </c>
      <c r="B33" s="10">
        <v>980</v>
      </c>
      <c r="C33" s="10">
        <v>1490</v>
      </c>
      <c r="D33" s="10">
        <f t="shared" si="0"/>
        <v>510</v>
      </c>
      <c r="E33" s="4">
        <v>0.34</v>
      </c>
      <c r="F33" s="1" t="str">
        <f t="shared" si="1"/>
        <v>Medium</v>
      </c>
      <c r="G33" s="8">
        <v>12</v>
      </c>
      <c r="H33" s="6">
        <v>4.7</v>
      </c>
      <c r="I33" t="str">
        <f t="shared" si="2"/>
        <v>Excellent</v>
      </c>
    </row>
    <row r="34" spans="1:9" x14ac:dyDescent="0.45">
      <c r="A34" t="s">
        <v>105</v>
      </c>
      <c r="B34" s="10">
        <v>1820</v>
      </c>
      <c r="C34" s="10">
        <v>3490</v>
      </c>
      <c r="D34" s="10">
        <f t="shared" ref="D34:D65" si="3">C34-B34</f>
        <v>1670</v>
      </c>
      <c r="E34" s="4">
        <v>0.48</v>
      </c>
      <c r="F34" s="1" t="str">
        <f t="shared" ref="F34:F65" si="4">IF(E34&gt;=0.4,"High",IF(E34&gt;=0.2,"Medium","Low"))</f>
        <v>High</v>
      </c>
      <c r="G34" s="8">
        <v>9</v>
      </c>
      <c r="H34" s="6">
        <v>4.3</v>
      </c>
      <c r="I34" t="str">
        <f t="shared" ref="I34:I65" si="5">IF(H34&gt;=4.5,"Excellent",IF(H34&gt;=3,"Average","Poor"))</f>
        <v>Average</v>
      </c>
    </row>
    <row r="35" spans="1:9" x14ac:dyDescent="0.45">
      <c r="A35" t="s">
        <v>106</v>
      </c>
      <c r="B35" s="10">
        <v>1940</v>
      </c>
      <c r="C35" s="10">
        <v>2650</v>
      </c>
      <c r="D35" s="10">
        <f t="shared" si="3"/>
        <v>710</v>
      </c>
      <c r="E35" s="4">
        <v>0.27</v>
      </c>
      <c r="F35" s="1" t="str">
        <f t="shared" si="4"/>
        <v>Medium</v>
      </c>
      <c r="G35" s="8">
        <v>20</v>
      </c>
      <c r="H35" s="6">
        <v>4.7</v>
      </c>
      <c r="I35" t="str">
        <f t="shared" si="5"/>
        <v>Excellent</v>
      </c>
    </row>
    <row r="36" spans="1:9" x14ac:dyDescent="0.45">
      <c r="A36" t="s">
        <v>107</v>
      </c>
      <c r="B36" s="10">
        <v>1980</v>
      </c>
      <c r="C36" s="10">
        <v>2699</v>
      </c>
      <c r="D36" s="10">
        <f t="shared" si="3"/>
        <v>719</v>
      </c>
      <c r="E36" s="4">
        <v>0.27</v>
      </c>
      <c r="F36" s="1" t="str">
        <f t="shared" si="4"/>
        <v>Medium</v>
      </c>
      <c r="G36" s="8">
        <v>32</v>
      </c>
      <c r="H36" s="6">
        <v>4.5</v>
      </c>
      <c r="I36" t="str">
        <f t="shared" si="5"/>
        <v>Excellent</v>
      </c>
    </row>
    <row r="37" spans="1:9" x14ac:dyDescent="0.45">
      <c r="A37" t="s">
        <v>32</v>
      </c>
      <c r="B37" s="10">
        <v>1620</v>
      </c>
      <c r="C37" s="10">
        <v>2690</v>
      </c>
      <c r="D37" s="10">
        <f t="shared" si="3"/>
        <v>1070</v>
      </c>
      <c r="E37" s="4">
        <v>0.4</v>
      </c>
      <c r="F37" s="1" t="str">
        <f t="shared" si="4"/>
        <v>High</v>
      </c>
      <c r="G37" s="8">
        <v>1</v>
      </c>
      <c r="H37" s="6">
        <v>5</v>
      </c>
      <c r="I37" t="str">
        <f t="shared" si="5"/>
        <v>Excellent</v>
      </c>
    </row>
    <row r="38" spans="1:9" x14ac:dyDescent="0.45">
      <c r="A38" t="s">
        <v>33</v>
      </c>
      <c r="B38" s="10">
        <v>171</v>
      </c>
      <c r="C38" s="10">
        <v>360</v>
      </c>
      <c r="D38" s="10">
        <f t="shared" si="3"/>
        <v>189</v>
      </c>
      <c r="E38" s="4">
        <v>0.53</v>
      </c>
      <c r="F38" s="1" t="str">
        <f t="shared" si="4"/>
        <v>High</v>
      </c>
      <c r="G38" s="8">
        <v>2</v>
      </c>
      <c r="H38" s="6">
        <v>5</v>
      </c>
      <c r="I38" t="str">
        <f t="shared" si="5"/>
        <v>Excellent</v>
      </c>
    </row>
    <row r="39" spans="1:9" x14ac:dyDescent="0.45">
      <c r="A39" t="s">
        <v>34</v>
      </c>
      <c r="B39" s="10">
        <v>389</v>
      </c>
      <c r="C39" s="10">
        <v>656</v>
      </c>
      <c r="D39" s="10">
        <f t="shared" si="3"/>
        <v>267</v>
      </c>
      <c r="E39" s="4">
        <v>0.41</v>
      </c>
      <c r="F39" s="1" t="str">
        <f t="shared" si="4"/>
        <v>High</v>
      </c>
      <c r="G39" s="8">
        <v>36</v>
      </c>
      <c r="H39" s="6">
        <v>4.3</v>
      </c>
      <c r="I39" t="str">
        <f t="shared" si="5"/>
        <v>Average</v>
      </c>
    </row>
    <row r="40" spans="1:9" x14ac:dyDescent="0.45">
      <c r="A40" t="s">
        <v>35</v>
      </c>
      <c r="B40" s="10">
        <v>1800</v>
      </c>
      <c r="C40" s="10">
        <v>2700</v>
      </c>
      <c r="D40" s="10">
        <f t="shared" si="3"/>
        <v>900</v>
      </c>
      <c r="E40" s="4">
        <v>0.38</v>
      </c>
      <c r="F40" s="1" t="str">
        <f t="shared" si="4"/>
        <v>Medium</v>
      </c>
      <c r="G40" s="8">
        <v>2</v>
      </c>
      <c r="H40" s="6">
        <v>4.5</v>
      </c>
      <c r="I40" t="str">
        <f t="shared" si="5"/>
        <v>Excellent</v>
      </c>
    </row>
    <row r="41" spans="1:9" x14ac:dyDescent="0.45">
      <c r="A41" t="s">
        <v>108</v>
      </c>
      <c r="B41" s="10">
        <v>2750</v>
      </c>
      <c r="C41" s="10">
        <v>4471</v>
      </c>
      <c r="D41" s="10">
        <f t="shared" si="3"/>
        <v>1721</v>
      </c>
      <c r="E41" s="4">
        <v>0.38</v>
      </c>
      <c r="F41" s="1" t="str">
        <f t="shared" si="4"/>
        <v>Medium</v>
      </c>
      <c r="G41" s="8">
        <v>0</v>
      </c>
      <c r="H41" s="6">
        <v>3.88</v>
      </c>
      <c r="I41" t="str">
        <f t="shared" si="5"/>
        <v>Average</v>
      </c>
    </row>
    <row r="42" spans="1:9" x14ac:dyDescent="0.45">
      <c r="A42" t="s">
        <v>36</v>
      </c>
      <c r="B42" s="10">
        <v>475</v>
      </c>
      <c r="C42" s="10">
        <v>931</v>
      </c>
      <c r="D42" s="10">
        <f t="shared" si="3"/>
        <v>456</v>
      </c>
      <c r="E42" s="4">
        <v>0.49</v>
      </c>
      <c r="F42" s="1" t="str">
        <f t="shared" si="4"/>
        <v>High</v>
      </c>
      <c r="G42" s="8">
        <v>0</v>
      </c>
      <c r="H42" s="6">
        <v>3.88</v>
      </c>
      <c r="I42" t="str">
        <f t="shared" si="5"/>
        <v>Average</v>
      </c>
    </row>
    <row r="43" spans="1:9" x14ac:dyDescent="0.45">
      <c r="A43" t="s">
        <v>37</v>
      </c>
      <c r="B43" s="10">
        <v>238</v>
      </c>
      <c r="C43" s="10">
        <v>476</v>
      </c>
      <c r="D43" s="10">
        <f t="shared" si="3"/>
        <v>238</v>
      </c>
      <c r="E43" s="4">
        <v>0.5</v>
      </c>
      <c r="F43" s="1" t="str">
        <f t="shared" si="4"/>
        <v>High</v>
      </c>
      <c r="G43" s="8">
        <v>0</v>
      </c>
      <c r="H43" s="6">
        <v>3.88</v>
      </c>
      <c r="I43" t="str">
        <f t="shared" si="5"/>
        <v>Average</v>
      </c>
    </row>
    <row r="44" spans="1:9" x14ac:dyDescent="0.45">
      <c r="A44" t="s">
        <v>38</v>
      </c>
      <c r="B44" s="10">
        <v>610</v>
      </c>
      <c r="C44" s="10">
        <v>1060</v>
      </c>
      <c r="D44" s="10">
        <f t="shared" si="3"/>
        <v>450</v>
      </c>
      <c r="E44" s="4">
        <v>0.42</v>
      </c>
      <c r="F44" s="1" t="str">
        <f t="shared" si="4"/>
        <v>High</v>
      </c>
      <c r="G44" s="8">
        <v>0</v>
      </c>
      <c r="H44" s="6">
        <v>3.88</v>
      </c>
      <c r="I44" t="str">
        <f t="shared" si="5"/>
        <v>Average</v>
      </c>
    </row>
    <row r="45" spans="1:9" x14ac:dyDescent="0.45">
      <c r="A45" t="s">
        <v>39</v>
      </c>
      <c r="B45" s="10">
        <v>2132</v>
      </c>
      <c r="C45" s="10">
        <v>2169</v>
      </c>
      <c r="D45" s="10">
        <f t="shared" si="3"/>
        <v>37</v>
      </c>
      <c r="E45" s="4">
        <v>0.02</v>
      </c>
      <c r="F45" s="1" t="str">
        <f t="shared" si="4"/>
        <v>Low</v>
      </c>
      <c r="G45" s="8">
        <v>0</v>
      </c>
      <c r="H45" s="6">
        <v>3.88</v>
      </c>
      <c r="I45" t="str">
        <f t="shared" si="5"/>
        <v>Average</v>
      </c>
    </row>
    <row r="46" spans="1:9" x14ac:dyDescent="0.45">
      <c r="A46" t="s">
        <v>40</v>
      </c>
      <c r="B46" s="10">
        <v>999</v>
      </c>
      <c r="C46" s="10">
        <v>2000</v>
      </c>
      <c r="D46" s="10">
        <f t="shared" si="3"/>
        <v>1001</v>
      </c>
      <c r="E46" s="4">
        <v>0.5</v>
      </c>
      <c r="F46" s="1" t="str">
        <f t="shared" si="4"/>
        <v>High</v>
      </c>
      <c r="G46" s="8">
        <v>0</v>
      </c>
      <c r="H46" s="6">
        <v>3.88</v>
      </c>
      <c r="I46" t="str">
        <f t="shared" si="5"/>
        <v>Average</v>
      </c>
    </row>
    <row r="47" spans="1:9" x14ac:dyDescent="0.45">
      <c r="A47" t="s">
        <v>109</v>
      </c>
      <c r="B47" s="10">
        <v>1190</v>
      </c>
      <c r="C47" s="10">
        <v>1785</v>
      </c>
      <c r="D47" s="10">
        <f t="shared" si="3"/>
        <v>595</v>
      </c>
      <c r="E47" s="4">
        <v>0.33</v>
      </c>
      <c r="F47" s="1" t="str">
        <f t="shared" si="4"/>
        <v>Medium</v>
      </c>
      <c r="G47" s="8">
        <v>0</v>
      </c>
      <c r="H47" s="6">
        <v>3.88</v>
      </c>
      <c r="I47" t="str">
        <f t="shared" si="5"/>
        <v>Average</v>
      </c>
    </row>
    <row r="48" spans="1:9" x14ac:dyDescent="0.45">
      <c r="A48" t="s">
        <v>41</v>
      </c>
      <c r="B48" s="10">
        <v>671</v>
      </c>
      <c r="C48" s="10">
        <v>1316</v>
      </c>
      <c r="D48" s="10">
        <f t="shared" si="3"/>
        <v>645</v>
      </c>
      <c r="E48" s="4">
        <v>0.49</v>
      </c>
      <c r="F48" s="1" t="str">
        <f t="shared" si="4"/>
        <v>High</v>
      </c>
      <c r="G48" s="8">
        <v>0</v>
      </c>
      <c r="H48" s="6">
        <v>3.88</v>
      </c>
      <c r="I48" t="str">
        <f t="shared" si="5"/>
        <v>Average</v>
      </c>
    </row>
    <row r="49" spans="1:9" x14ac:dyDescent="0.45">
      <c r="A49" t="s">
        <v>42</v>
      </c>
      <c r="B49" s="10">
        <v>1200</v>
      </c>
      <c r="C49" s="10">
        <v>1950</v>
      </c>
      <c r="D49" s="10">
        <f t="shared" si="3"/>
        <v>750</v>
      </c>
      <c r="E49" s="4">
        <v>0.38</v>
      </c>
      <c r="F49" s="1" t="str">
        <f t="shared" si="4"/>
        <v>Medium</v>
      </c>
      <c r="G49" s="8">
        <v>0</v>
      </c>
      <c r="H49" s="6">
        <v>3.88</v>
      </c>
      <c r="I49" t="str">
        <f t="shared" si="5"/>
        <v>Average</v>
      </c>
    </row>
    <row r="50" spans="1:9" x14ac:dyDescent="0.45">
      <c r="A50" t="s">
        <v>43</v>
      </c>
      <c r="B50" s="10">
        <v>199</v>
      </c>
      <c r="C50" s="10">
        <v>504</v>
      </c>
      <c r="D50" s="10">
        <f t="shared" si="3"/>
        <v>305</v>
      </c>
      <c r="E50" s="4">
        <v>0.61</v>
      </c>
      <c r="F50" s="1" t="str">
        <f t="shared" si="4"/>
        <v>High</v>
      </c>
      <c r="G50" s="8">
        <v>0</v>
      </c>
      <c r="H50" s="6">
        <v>3.88</v>
      </c>
      <c r="I50" t="str">
        <f t="shared" si="5"/>
        <v>Average</v>
      </c>
    </row>
    <row r="51" spans="1:9" x14ac:dyDescent="0.45">
      <c r="A51" t="s">
        <v>44</v>
      </c>
      <c r="B51" s="10">
        <v>299</v>
      </c>
      <c r="C51" s="10">
        <v>600</v>
      </c>
      <c r="D51" s="10">
        <f t="shared" si="3"/>
        <v>301</v>
      </c>
      <c r="E51" s="4">
        <v>0.5</v>
      </c>
      <c r="F51" s="1" t="str">
        <f t="shared" si="4"/>
        <v>High</v>
      </c>
      <c r="G51" s="8">
        <v>0</v>
      </c>
      <c r="H51" s="6">
        <v>3.88</v>
      </c>
      <c r="I51" t="str">
        <f t="shared" si="5"/>
        <v>Average</v>
      </c>
    </row>
    <row r="52" spans="1:9" x14ac:dyDescent="0.45">
      <c r="A52" t="s">
        <v>45</v>
      </c>
      <c r="B52" s="10">
        <v>1660</v>
      </c>
      <c r="C52" s="10">
        <v>1699</v>
      </c>
      <c r="D52" s="10">
        <f t="shared" si="3"/>
        <v>39</v>
      </c>
      <c r="E52" s="4">
        <v>0.02</v>
      </c>
      <c r="F52" s="1" t="str">
        <f t="shared" si="4"/>
        <v>Low</v>
      </c>
      <c r="G52" s="8">
        <v>0</v>
      </c>
      <c r="H52" s="6">
        <v>3.88</v>
      </c>
      <c r="I52" t="str">
        <f t="shared" si="5"/>
        <v>Average</v>
      </c>
    </row>
    <row r="53" spans="1:9" x14ac:dyDescent="0.45">
      <c r="A53" t="s">
        <v>46</v>
      </c>
      <c r="B53" s="10">
        <v>299</v>
      </c>
      <c r="C53" s="10">
        <v>384</v>
      </c>
      <c r="D53" s="10">
        <f t="shared" si="3"/>
        <v>85</v>
      </c>
      <c r="E53" s="4">
        <v>0.22</v>
      </c>
      <c r="F53" s="1" t="str">
        <f t="shared" si="4"/>
        <v>Medium</v>
      </c>
      <c r="G53" s="8">
        <v>0</v>
      </c>
      <c r="H53" s="6">
        <v>3.88</v>
      </c>
      <c r="I53" t="str">
        <f t="shared" si="5"/>
        <v>Average</v>
      </c>
    </row>
    <row r="54" spans="1:9" x14ac:dyDescent="0.45">
      <c r="A54" t="s">
        <v>47</v>
      </c>
      <c r="B54" s="10">
        <v>1459</v>
      </c>
      <c r="C54" s="10">
        <v>1499</v>
      </c>
      <c r="D54" s="10">
        <f t="shared" si="3"/>
        <v>40</v>
      </c>
      <c r="E54" s="4">
        <v>0.03</v>
      </c>
      <c r="F54" s="1" t="str">
        <f t="shared" si="4"/>
        <v>Low</v>
      </c>
      <c r="G54" s="8">
        <v>0</v>
      </c>
      <c r="H54" s="6">
        <v>3.88</v>
      </c>
      <c r="I54" t="str">
        <f t="shared" si="5"/>
        <v>Average</v>
      </c>
    </row>
    <row r="55" spans="1:9" x14ac:dyDescent="0.45">
      <c r="A55" t="s">
        <v>48</v>
      </c>
      <c r="B55" s="10">
        <v>799</v>
      </c>
      <c r="C55" s="10">
        <v>1343</v>
      </c>
      <c r="D55" s="10">
        <f t="shared" si="3"/>
        <v>544</v>
      </c>
      <c r="E55" s="4">
        <v>0.41</v>
      </c>
      <c r="F55" s="1" t="str">
        <f t="shared" si="4"/>
        <v>High</v>
      </c>
      <c r="G55" s="8">
        <v>0</v>
      </c>
      <c r="H55" s="6">
        <v>3.88</v>
      </c>
      <c r="I55" t="str">
        <f t="shared" si="5"/>
        <v>Average</v>
      </c>
    </row>
    <row r="56" spans="1:9" x14ac:dyDescent="0.45">
      <c r="A56" t="s">
        <v>49</v>
      </c>
      <c r="B56" s="10">
        <v>499</v>
      </c>
      <c r="C56" s="10">
        <v>900</v>
      </c>
      <c r="D56" s="10">
        <f t="shared" si="3"/>
        <v>401</v>
      </c>
      <c r="E56" s="4">
        <v>0.45</v>
      </c>
      <c r="F56" s="1" t="str">
        <f t="shared" si="4"/>
        <v>High</v>
      </c>
      <c r="G56" s="8">
        <v>0</v>
      </c>
      <c r="H56" s="6">
        <v>3.88</v>
      </c>
      <c r="I56" t="str">
        <f t="shared" si="5"/>
        <v>Average</v>
      </c>
    </row>
    <row r="57" spans="1:9" x14ac:dyDescent="0.45">
      <c r="A57" t="s">
        <v>50</v>
      </c>
      <c r="B57" s="10">
        <v>699</v>
      </c>
      <c r="C57" s="10">
        <v>1343</v>
      </c>
      <c r="D57" s="10">
        <f t="shared" si="3"/>
        <v>644</v>
      </c>
      <c r="E57" s="4">
        <v>0.48</v>
      </c>
      <c r="F57" s="1" t="str">
        <f t="shared" si="4"/>
        <v>High</v>
      </c>
      <c r="G57" s="8">
        <v>0</v>
      </c>
      <c r="H57" s="6">
        <v>3.88</v>
      </c>
      <c r="I57" t="str">
        <f t="shared" si="5"/>
        <v>Average</v>
      </c>
    </row>
    <row r="58" spans="1:9" x14ac:dyDescent="0.45">
      <c r="A58" t="s">
        <v>51</v>
      </c>
      <c r="B58" s="10">
        <v>799</v>
      </c>
      <c r="C58" s="10">
        <v>1567</v>
      </c>
      <c r="D58" s="10">
        <f t="shared" si="3"/>
        <v>768</v>
      </c>
      <c r="E58" s="4">
        <v>0.49</v>
      </c>
      <c r="F58" s="1" t="str">
        <f t="shared" si="4"/>
        <v>High</v>
      </c>
      <c r="G58" s="8">
        <v>0</v>
      </c>
      <c r="H58" s="6">
        <v>3.88</v>
      </c>
      <c r="I58" t="str">
        <f t="shared" si="5"/>
        <v>Average</v>
      </c>
    </row>
    <row r="59" spans="1:9" x14ac:dyDescent="0.45">
      <c r="A59" t="s">
        <v>110</v>
      </c>
      <c r="B59" s="10">
        <v>2799</v>
      </c>
      <c r="C59" s="10">
        <v>3810</v>
      </c>
      <c r="D59" s="10">
        <f t="shared" si="3"/>
        <v>1011</v>
      </c>
      <c r="E59" s="4">
        <v>0.27</v>
      </c>
      <c r="F59" s="1" t="str">
        <f t="shared" si="4"/>
        <v>Medium</v>
      </c>
      <c r="G59" s="8">
        <v>0</v>
      </c>
      <c r="H59" s="6">
        <v>3.88</v>
      </c>
      <c r="I59" t="str">
        <f t="shared" si="5"/>
        <v>Average</v>
      </c>
    </row>
    <row r="60" spans="1:9" x14ac:dyDescent="0.45">
      <c r="A60" t="s">
        <v>52</v>
      </c>
      <c r="B60" s="10">
        <v>2170</v>
      </c>
      <c r="C60" s="10">
        <v>2500</v>
      </c>
      <c r="D60" s="10">
        <f t="shared" si="3"/>
        <v>330</v>
      </c>
      <c r="E60" s="4">
        <v>0.13</v>
      </c>
      <c r="F60" s="1" t="str">
        <f t="shared" si="4"/>
        <v>Low</v>
      </c>
      <c r="G60" s="8">
        <v>6</v>
      </c>
      <c r="H60" s="6">
        <v>2.5</v>
      </c>
      <c r="I60" t="str">
        <f t="shared" si="5"/>
        <v>Poor</v>
      </c>
    </row>
    <row r="61" spans="1:9" x14ac:dyDescent="0.45">
      <c r="A61" t="s">
        <v>53</v>
      </c>
      <c r="B61" s="10">
        <v>458</v>
      </c>
      <c r="C61" s="10">
        <v>986</v>
      </c>
      <c r="D61" s="10">
        <f t="shared" si="3"/>
        <v>528</v>
      </c>
      <c r="E61" s="4">
        <v>0.54</v>
      </c>
      <c r="F61" s="1" t="str">
        <f t="shared" si="4"/>
        <v>High</v>
      </c>
      <c r="G61" s="8">
        <v>10</v>
      </c>
      <c r="H61" s="6">
        <v>3</v>
      </c>
      <c r="I61" t="str">
        <f t="shared" si="5"/>
        <v>Average</v>
      </c>
    </row>
    <row r="62" spans="1:9" x14ac:dyDescent="0.45">
      <c r="A62" t="s">
        <v>54</v>
      </c>
      <c r="B62" s="10">
        <v>2115</v>
      </c>
      <c r="C62" s="10">
        <v>4700</v>
      </c>
      <c r="D62" s="10">
        <f t="shared" si="3"/>
        <v>2585</v>
      </c>
      <c r="E62" s="4">
        <v>0.55000000000000004</v>
      </c>
      <c r="F62" s="1" t="str">
        <f t="shared" si="4"/>
        <v>High</v>
      </c>
      <c r="G62" s="8">
        <v>13</v>
      </c>
      <c r="H62" s="6">
        <v>2.1</v>
      </c>
      <c r="I62" t="str">
        <f t="shared" si="5"/>
        <v>Poor</v>
      </c>
    </row>
    <row r="63" spans="1:9" x14ac:dyDescent="0.45">
      <c r="A63" t="s">
        <v>55</v>
      </c>
      <c r="B63" s="10">
        <v>445</v>
      </c>
      <c r="C63" s="10">
        <v>873</v>
      </c>
      <c r="D63" s="10">
        <f t="shared" si="3"/>
        <v>428</v>
      </c>
      <c r="E63" s="4">
        <v>0.49</v>
      </c>
      <c r="F63" s="1" t="str">
        <f t="shared" si="4"/>
        <v>High</v>
      </c>
      <c r="G63" s="8">
        <v>69</v>
      </c>
      <c r="H63" s="6">
        <v>2.8</v>
      </c>
      <c r="I63" t="str">
        <f t="shared" si="5"/>
        <v>Poor</v>
      </c>
    </row>
    <row r="64" spans="1:9" x14ac:dyDescent="0.45">
      <c r="A64" t="s">
        <v>56</v>
      </c>
      <c r="B64" s="10">
        <v>325</v>
      </c>
      <c r="C64" s="10">
        <v>680</v>
      </c>
      <c r="D64" s="10">
        <f t="shared" si="3"/>
        <v>355</v>
      </c>
      <c r="E64" s="4">
        <v>0.52</v>
      </c>
      <c r="F64" s="1" t="str">
        <f t="shared" si="4"/>
        <v>High</v>
      </c>
      <c r="G64" s="8">
        <v>15</v>
      </c>
      <c r="H64" s="6">
        <v>2.7</v>
      </c>
      <c r="I64" t="str">
        <f t="shared" si="5"/>
        <v>Poor</v>
      </c>
    </row>
    <row r="65" spans="1:9" x14ac:dyDescent="0.45">
      <c r="A65" t="s">
        <v>57</v>
      </c>
      <c r="B65" s="10">
        <v>1220</v>
      </c>
      <c r="C65" s="10">
        <v>1555</v>
      </c>
      <c r="D65" s="10">
        <f t="shared" si="3"/>
        <v>335</v>
      </c>
      <c r="E65" s="4">
        <v>0.22</v>
      </c>
      <c r="F65" s="1" t="str">
        <f t="shared" si="4"/>
        <v>Medium</v>
      </c>
      <c r="G65" s="8">
        <v>16</v>
      </c>
      <c r="H65" s="6">
        <v>2.9</v>
      </c>
      <c r="I65" t="str">
        <f t="shared" si="5"/>
        <v>Poor</v>
      </c>
    </row>
    <row r="66" spans="1:9" x14ac:dyDescent="0.45">
      <c r="A66" t="s">
        <v>58</v>
      </c>
      <c r="B66" s="10">
        <v>990</v>
      </c>
      <c r="C66" s="10">
        <v>1814</v>
      </c>
      <c r="D66" s="10">
        <f t="shared" ref="D66:D97" si="6">C66-B66</f>
        <v>824</v>
      </c>
      <c r="E66" s="4">
        <v>0.45</v>
      </c>
      <c r="F66" s="1" t="str">
        <f t="shared" ref="F66:F97" si="7">IF(E66&gt;=0.4,"High",IF(E66&gt;=0.2,"Medium","Low"))</f>
        <v>High</v>
      </c>
      <c r="G66" s="8">
        <v>6</v>
      </c>
      <c r="H66" s="6">
        <v>2.2000000000000002</v>
      </c>
      <c r="I66" t="str">
        <f t="shared" ref="I66:I97" si="8">IF(H66&gt;=4.5,"Excellent",IF(H66&gt;=3,"Average","Poor"))</f>
        <v>Poor</v>
      </c>
    </row>
    <row r="67" spans="1:9" x14ac:dyDescent="0.45">
      <c r="A67" t="s">
        <v>59</v>
      </c>
      <c r="B67" s="10">
        <v>1000</v>
      </c>
      <c r="C67" s="10">
        <v>2000</v>
      </c>
      <c r="D67" s="10">
        <f t="shared" si="6"/>
        <v>1000</v>
      </c>
      <c r="E67" s="4">
        <v>0.5</v>
      </c>
      <c r="F67" s="1" t="str">
        <f t="shared" si="7"/>
        <v>High</v>
      </c>
      <c r="G67" s="8">
        <v>7</v>
      </c>
      <c r="H67" s="6">
        <v>2.2999999999999998</v>
      </c>
      <c r="I67" t="str">
        <f t="shared" si="8"/>
        <v>Poor</v>
      </c>
    </row>
    <row r="68" spans="1:9" x14ac:dyDescent="0.45">
      <c r="A68" t="s">
        <v>60</v>
      </c>
      <c r="B68" s="10">
        <v>3750</v>
      </c>
      <c r="C68" s="10">
        <v>6143</v>
      </c>
      <c r="D68" s="10">
        <f t="shared" si="6"/>
        <v>2393</v>
      </c>
      <c r="E68" s="4">
        <v>0.39</v>
      </c>
      <c r="F68" s="1" t="str">
        <f t="shared" si="7"/>
        <v>Medium</v>
      </c>
      <c r="G68" s="8">
        <v>5</v>
      </c>
      <c r="H68" s="6">
        <v>3</v>
      </c>
      <c r="I68" t="str">
        <f t="shared" si="8"/>
        <v>Average</v>
      </c>
    </row>
    <row r="69" spans="1:9" x14ac:dyDescent="0.45">
      <c r="A69" t="s">
        <v>61</v>
      </c>
      <c r="B69" s="10">
        <v>382</v>
      </c>
      <c r="C69" s="10">
        <v>700</v>
      </c>
      <c r="D69" s="10">
        <f t="shared" si="6"/>
        <v>318</v>
      </c>
      <c r="E69" s="4">
        <v>0.45</v>
      </c>
      <c r="F69" s="1" t="str">
        <f t="shared" si="7"/>
        <v>High</v>
      </c>
      <c r="G69" s="8">
        <v>17</v>
      </c>
      <c r="H69" s="6">
        <v>2.6</v>
      </c>
      <c r="I69" t="str">
        <f t="shared" si="8"/>
        <v>Poor</v>
      </c>
    </row>
    <row r="70" spans="1:9" x14ac:dyDescent="0.45">
      <c r="A70" t="s">
        <v>62</v>
      </c>
      <c r="B70" s="10">
        <v>2300</v>
      </c>
      <c r="C70" s="10">
        <v>3240</v>
      </c>
      <c r="D70" s="10">
        <f t="shared" si="6"/>
        <v>940</v>
      </c>
      <c r="E70" s="4">
        <v>0.28999999999999998</v>
      </c>
      <c r="F70" s="1" t="str">
        <f t="shared" si="7"/>
        <v>Medium</v>
      </c>
      <c r="G70" s="8">
        <v>5</v>
      </c>
      <c r="H70" s="6">
        <v>3</v>
      </c>
      <c r="I70" t="str">
        <f t="shared" si="8"/>
        <v>Average</v>
      </c>
    </row>
    <row r="71" spans="1:9" x14ac:dyDescent="0.45">
      <c r="A71" t="s">
        <v>63</v>
      </c>
      <c r="B71" s="10">
        <v>345</v>
      </c>
      <c r="C71" s="10">
        <v>602</v>
      </c>
      <c r="D71" s="10">
        <f t="shared" si="6"/>
        <v>257</v>
      </c>
      <c r="E71" s="4">
        <v>0.43</v>
      </c>
      <c r="F71" s="1" t="str">
        <f t="shared" si="7"/>
        <v>High</v>
      </c>
      <c r="G71" s="8">
        <v>6</v>
      </c>
      <c r="H71" s="6">
        <v>2.2999999999999998</v>
      </c>
      <c r="I71" t="str">
        <f t="shared" si="8"/>
        <v>Poor</v>
      </c>
    </row>
    <row r="72" spans="1:9" x14ac:dyDescent="0.45">
      <c r="A72" t="s">
        <v>64</v>
      </c>
      <c r="B72" s="10">
        <v>509</v>
      </c>
      <c r="C72" s="10">
        <v>899</v>
      </c>
      <c r="D72" s="10">
        <f t="shared" si="6"/>
        <v>390</v>
      </c>
      <c r="E72" s="4">
        <v>0.43</v>
      </c>
      <c r="F72" s="1" t="str">
        <f t="shared" si="7"/>
        <v>High</v>
      </c>
      <c r="G72" s="8">
        <v>5</v>
      </c>
      <c r="H72" s="6">
        <v>3</v>
      </c>
      <c r="I72" t="str">
        <f t="shared" si="8"/>
        <v>Average</v>
      </c>
    </row>
    <row r="73" spans="1:9" x14ac:dyDescent="0.45">
      <c r="A73" t="s">
        <v>65</v>
      </c>
      <c r="B73" s="10">
        <v>968</v>
      </c>
      <c r="C73" s="10">
        <v>1814</v>
      </c>
      <c r="D73" s="10">
        <f t="shared" si="6"/>
        <v>846</v>
      </c>
      <c r="E73" s="4">
        <v>0.47</v>
      </c>
      <c r="F73" s="1" t="str">
        <f t="shared" si="7"/>
        <v>High</v>
      </c>
      <c r="G73" s="8">
        <v>6</v>
      </c>
      <c r="H73" s="6">
        <v>2.2000000000000002</v>
      </c>
      <c r="I73" t="str">
        <f t="shared" si="8"/>
        <v>Poor</v>
      </c>
    </row>
    <row r="74" spans="1:9" x14ac:dyDescent="0.45">
      <c r="A74" t="s">
        <v>66</v>
      </c>
      <c r="B74" s="10">
        <v>1570</v>
      </c>
      <c r="C74" s="10">
        <v>2988</v>
      </c>
      <c r="D74" s="10">
        <f t="shared" si="6"/>
        <v>1418</v>
      </c>
      <c r="E74" s="4">
        <v>0.47</v>
      </c>
      <c r="F74" s="1" t="str">
        <f t="shared" si="7"/>
        <v>High</v>
      </c>
      <c r="G74" s="8">
        <v>7</v>
      </c>
      <c r="H74" s="6">
        <v>2.1</v>
      </c>
      <c r="I74" t="str">
        <f t="shared" si="8"/>
        <v>Poor</v>
      </c>
    </row>
    <row r="75" spans="1:9" x14ac:dyDescent="0.45">
      <c r="A75" t="s">
        <v>67</v>
      </c>
      <c r="B75" s="10">
        <v>790</v>
      </c>
      <c r="C75" s="10">
        <v>1485</v>
      </c>
      <c r="D75" s="10">
        <f t="shared" si="6"/>
        <v>695</v>
      </c>
      <c r="E75" s="4">
        <v>0.47</v>
      </c>
      <c r="F75" s="1" t="str">
        <f t="shared" si="7"/>
        <v>High</v>
      </c>
      <c r="G75" s="8">
        <v>0</v>
      </c>
      <c r="H75" s="6">
        <v>3.88</v>
      </c>
      <c r="I75" t="str">
        <f t="shared" si="8"/>
        <v>Average</v>
      </c>
    </row>
    <row r="76" spans="1:9" x14ac:dyDescent="0.45">
      <c r="A76" t="s">
        <v>68</v>
      </c>
      <c r="B76" s="10">
        <v>690</v>
      </c>
      <c r="C76" s="10">
        <v>1200</v>
      </c>
      <c r="D76" s="10">
        <f t="shared" si="6"/>
        <v>510</v>
      </c>
      <c r="E76" s="4">
        <v>0.43</v>
      </c>
      <c r="F76" s="1" t="str">
        <f t="shared" si="7"/>
        <v>High</v>
      </c>
      <c r="G76" s="8">
        <v>0</v>
      </c>
      <c r="H76" s="6">
        <v>3.88</v>
      </c>
      <c r="I76" t="str">
        <f t="shared" si="8"/>
        <v>Average</v>
      </c>
    </row>
    <row r="77" spans="1:9" x14ac:dyDescent="0.45">
      <c r="A77" t="s">
        <v>69</v>
      </c>
      <c r="B77" s="10">
        <v>1732</v>
      </c>
      <c r="C77" s="10">
        <v>1799</v>
      </c>
      <c r="D77" s="10">
        <f t="shared" si="6"/>
        <v>67</v>
      </c>
      <c r="E77" s="4">
        <v>0.04</v>
      </c>
      <c r="F77" s="1" t="str">
        <f t="shared" si="7"/>
        <v>Low</v>
      </c>
      <c r="G77" s="8">
        <v>0</v>
      </c>
      <c r="H77" s="6">
        <v>3.88</v>
      </c>
      <c r="I77" t="str">
        <f t="shared" si="8"/>
        <v>Average</v>
      </c>
    </row>
    <row r="78" spans="1:9" x14ac:dyDescent="0.45">
      <c r="A78" t="s">
        <v>70</v>
      </c>
      <c r="B78" s="10">
        <v>230</v>
      </c>
      <c r="C78" s="10">
        <v>450</v>
      </c>
      <c r="D78" s="10">
        <f t="shared" si="6"/>
        <v>220</v>
      </c>
      <c r="E78" s="4">
        <v>0.49</v>
      </c>
      <c r="F78" s="1" t="str">
        <f t="shared" si="7"/>
        <v>High</v>
      </c>
      <c r="G78" s="8">
        <v>0</v>
      </c>
      <c r="H78" s="6">
        <v>3.88</v>
      </c>
      <c r="I78" t="str">
        <f t="shared" si="8"/>
        <v>Average</v>
      </c>
    </row>
    <row r="79" spans="1:9" x14ac:dyDescent="0.45">
      <c r="A79" t="s">
        <v>111</v>
      </c>
      <c r="B79" s="10">
        <v>1189</v>
      </c>
      <c r="C79" s="10">
        <v>2199</v>
      </c>
      <c r="D79" s="10">
        <f t="shared" si="6"/>
        <v>1010</v>
      </c>
      <c r="E79" s="4">
        <v>0.46</v>
      </c>
      <c r="F79" s="1" t="str">
        <f t="shared" si="7"/>
        <v>High</v>
      </c>
      <c r="G79" s="8">
        <v>1</v>
      </c>
      <c r="H79" s="6">
        <v>3</v>
      </c>
      <c r="I79" t="str">
        <f t="shared" si="8"/>
        <v>Average</v>
      </c>
    </row>
    <row r="80" spans="1:9" x14ac:dyDescent="0.45">
      <c r="A80" t="s">
        <v>112</v>
      </c>
      <c r="B80" s="10">
        <v>979</v>
      </c>
      <c r="C80" s="10">
        <v>1920</v>
      </c>
      <c r="D80" s="10">
        <f t="shared" si="6"/>
        <v>941</v>
      </c>
      <c r="E80" s="4">
        <v>0.49</v>
      </c>
      <c r="F80" s="1" t="str">
        <f t="shared" si="7"/>
        <v>High</v>
      </c>
      <c r="G80" s="8">
        <v>1</v>
      </c>
      <c r="H80" s="6">
        <v>5</v>
      </c>
      <c r="I80" t="str">
        <f t="shared" si="8"/>
        <v>Excellent</v>
      </c>
    </row>
    <row r="81" spans="1:9" x14ac:dyDescent="0.45">
      <c r="A81" t="s">
        <v>71</v>
      </c>
      <c r="B81" s="10">
        <v>1460</v>
      </c>
      <c r="C81" s="10">
        <v>2290</v>
      </c>
      <c r="D81" s="10">
        <f t="shared" si="6"/>
        <v>830</v>
      </c>
      <c r="E81" s="4">
        <v>0.36</v>
      </c>
      <c r="F81" s="1" t="str">
        <f t="shared" si="7"/>
        <v>Medium</v>
      </c>
      <c r="G81" s="8">
        <v>0</v>
      </c>
      <c r="H81" s="6">
        <v>3.88</v>
      </c>
      <c r="I81" t="str">
        <f t="shared" si="8"/>
        <v>Average</v>
      </c>
    </row>
    <row r="82" spans="1:9" x14ac:dyDescent="0.45">
      <c r="A82" t="s">
        <v>72</v>
      </c>
      <c r="B82" s="10">
        <v>1666</v>
      </c>
      <c r="C82" s="10">
        <v>1699</v>
      </c>
      <c r="D82" s="10">
        <f t="shared" si="6"/>
        <v>33</v>
      </c>
      <c r="E82" s="4">
        <v>0.02</v>
      </c>
      <c r="F82" s="1" t="str">
        <f t="shared" si="7"/>
        <v>Low</v>
      </c>
      <c r="G82" s="8">
        <v>0</v>
      </c>
      <c r="H82" s="6">
        <v>3.88</v>
      </c>
      <c r="I82" t="str">
        <f t="shared" si="8"/>
        <v>Average</v>
      </c>
    </row>
    <row r="83" spans="1:9" x14ac:dyDescent="0.45">
      <c r="A83" t="s">
        <v>73</v>
      </c>
      <c r="B83" s="10">
        <v>330</v>
      </c>
      <c r="C83" s="10">
        <v>647</v>
      </c>
      <c r="D83" s="10">
        <f t="shared" si="6"/>
        <v>317</v>
      </c>
      <c r="E83" s="4">
        <v>0.49</v>
      </c>
      <c r="F83" s="1" t="str">
        <f t="shared" si="7"/>
        <v>High</v>
      </c>
      <c r="G83" s="8">
        <v>1</v>
      </c>
      <c r="H83" s="6">
        <v>4</v>
      </c>
      <c r="I83" t="str">
        <f t="shared" si="8"/>
        <v>Average</v>
      </c>
    </row>
    <row r="84" spans="1:9" x14ac:dyDescent="0.45">
      <c r="A84" t="s">
        <v>74</v>
      </c>
      <c r="B84" s="10">
        <v>1466</v>
      </c>
      <c r="C84" s="10">
        <v>1699</v>
      </c>
      <c r="D84" s="10">
        <f t="shared" si="6"/>
        <v>233</v>
      </c>
      <c r="E84" s="4">
        <v>0.14000000000000001</v>
      </c>
      <c r="F84" s="1" t="str">
        <f t="shared" si="7"/>
        <v>Low</v>
      </c>
      <c r="G84" s="8">
        <v>0</v>
      </c>
      <c r="H84" s="6">
        <v>3.88</v>
      </c>
      <c r="I84" t="str">
        <f t="shared" si="8"/>
        <v>Average</v>
      </c>
    </row>
    <row r="85" spans="1:9" x14ac:dyDescent="0.45">
      <c r="A85" t="s">
        <v>75</v>
      </c>
      <c r="B85" s="10">
        <v>274</v>
      </c>
      <c r="C85" s="10">
        <v>537</v>
      </c>
      <c r="D85" s="10">
        <f t="shared" si="6"/>
        <v>263</v>
      </c>
      <c r="E85" s="4">
        <v>0.49</v>
      </c>
      <c r="F85" s="1" t="str">
        <f t="shared" si="7"/>
        <v>High</v>
      </c>
      <c r="G85" s="8">
        <v>0</v>
      </c>
      <c r="H85" s="6">
        <v>3.88</v>
      </c>
      <c r="I85" t="str">
        <f t="shared" si="8"/>
        <v>Average</v>
      </c>
    </row>
    <row r="86" spans="1:9" x14ac:dyDescent="0.45">
      <c r="A86" t="s">
        <v>113</v>
      </c>
      <c r="B86" s="10">
        <v>799</v>
      </c>
      <c r="C86" s="10">
        <v>900</v>
      </c>
      <c r="D86" s="10">
        <f t="shared" si="6"/>
        <v>101</v>
      </c>
      <c r="E86" s="4">
        <v>0.11</v>
      </c>
      <c r="F86" s="1" t="str">
        <f t="shared" si="7"/>
        <v>Low</v>
      </c>
      <c r="G86" s="8">
        <v>0</v>
      </c>
      <c r="H86" s="6">
        <v>3.88</v>
      </c>
      <c r="I86" t="str">
        <f t="shared" si="8"/>
        <v>Average</v>
      </c>
    </row>
    <row r="87" spans="1:9" x14ac:dyDescent="0.45">
      <c r="A87" t="s">
        <v>76</v>
      </c>
      <c r="B87" s="10">
        <v>1468</v>
      </c>
      <c r="C87" s="10">
        <v>1699</v>
      </c>
      <c r="D87" s="10">
        <f t="shared" si="6"/>
        <v>231</v>
      </c>
      <c r="E87" s="4">
        <v>0.14000000000000001</v>
      </c>
      <c r="F87" s="1" t="str">
        <f t="shared" si="7"/>
        <v>Low</v>
      </c>
      <c r="G87" s="8">
        <v>0</v>
      </c>
      <c r="H87" s="6">
        <v>3.88</v>
      </c>
      <c r="I87" t="str">
        <f t="shared" si="8"/>
        <v>Average</v>
      </c>
    </row>
    <row r="88" spans="1:9" x14ac:dyDescent="0.45">
      <c r="A88" t="s">
        <v>77</v>
      </c>
      <c r="B88" s="10">
        <v>630</v>
      </c>
      <c r="C88" s="10">
        <v>1100</v>
      </c>
      <c r="D88" s="10">
        <f t="shared" si="6"/>
        <v>470</v>
      </c>
      <c r="E88" s="4">
        <v>0.43</v>
      </c>
      <c r="F88" s="1" t="str">
        <f t="shared" si="7"/>
        <v>High</v>
      </c>
      <c r="G88" s="8">
        <v>0</v>
      </c>
      <c r="H88" s="6">
        <v>3.88</v>
      </c>
      <c r="I88" t="str">
        <f t="shared" si="8"/>
        <v>Average</v>
      </c>
    </row>
    <row r="89" spans="1:9" x14ac:dyDescent="0.45">
      <c r="A89" t="s">
        <v>78</v>
      </c>
      <c r="B89" s="10">
        <v>850</v>
      </c>
      <c r="C89" s="10">
        <v>1700</v>
      </c>
      <c r="D89" s="10">
        <f t="shared" si="6"/>
        <v>850</v>
      </c>
      <c r="E89" s="4">
        <v>0.5</v>
      </c>
      <c r="F89" s="1" t="str">
        <f t="shared" si="7"/>
        <v>High</v>
      </c>
      <c r="G89" s="8">
        <v>0</v>
      </c>
      <c r="H89" s="6">
        <v>3.88</v>
      </c>
      <c r="I89" t="str">
        <f t="shared" si="8"/>
        <v>Average</v>
      </c>
    </row>
    <row r="90" spans="1:9" x14ac:dyDescent="0.45">
      <c r="A90" t="s">
        <v>79</v>
      </c>
      <c r="B90" s="10">
        <v>1300</v>
      </c>
      <c r="C90" s="10">
        <v>2500</v>
      </c>
      <c r="D90" s="10">
        <f t="shared" si="6"/>
        <v>1200</v>
      </c>
      <c r="E90" s="4">
        <v>0.48</v>
      </c>
      <c r="F90" s="1" t="str">
        <f t="shared" si="7"/>
        <v>High</v>
      </c>
      <c r="G90" s="8">
        <v>0</v>
      </c>
      <c r="H90" s="6">
        <v>3.88</v>
      </c>
      <c r="I90" t="str">
        <f t="shared" si="8"/>
        <v>Average</v>
      </c>
    </row>
    <row r="91" spans="1:9" x14ac:dyDescent="0.45">
      <c r="A91" t="s">
        <v>80</v>
      </c>
      <c r="B91" s="10">
        <v>105</v>
      </c>
      <c r="C91" s="10">
        <v>200</v>
      </c>
      <c r="D91" s="10">
        <f t="shared" si="6"/>
        <v>95</v>
      </c>
      <c r="E91" s="4">
        <v>0.48</v>
      </c>
      <c r="F91" s="1" t="str">
        <f t="shared" si="7"/>
        <v>High</v>
      </c>
      <c r="G91" s="8">
        <v>0</v>
      </c>
      <c r="H91" s="6">
        <v>3.88</v>
      </c>
      <c r="I91" t="str">
        <f t="shared" si="8"/>
        <v>Average</v>
      </c>
    </row>
    <row r="92" spans="1:9" x14ac:dyDescent="0.45">
      <c r="A92" t="s">
        <v>81</v>
      </c>
      <c r="B92" s="10">
        <v>899</v>
      </c>
      <c r="C92" s="10">
        <v>1699</v>
      </c>
      <c r="D92" s="10">
        <f t="shared" si="6"/>
        <v>800</v>
      </c>
      <c r="E92" s="4">
        <v>0.47</v>
      </c>
      <c r="F92" s="1" t="str">
        <f t="shared" si="7"/>
        <v>High</v>
      </c>
      <c r="G92" s="8">
        <v>0</v>
      </c>
      <c r="H92" s="6">
        <v>3.88</v>
      </c>
      <c r="I92" t="str">
        <f t="shared" si="8"/>
        <v>Average</v>
      </c>
    </row>
    <row r="93" spans="1:9" x14ac:dyDescent="0.45">
      <c r="A93" t="s">
        <v>114</v>
      </c>
      <c r="B93" s="10">
        <v>1200</v>
      </c>
      <c r="C93" s="10">
        <v>2400</v>
      </c>
      <c r="D93" s="10">
        <f t="shared" si="6"/>
        <v>1200</v>
      </c>
      <c r="E93" s="4">
        <v>0.5</v>
      </c>
      <c r="F93" s="1" t="str">
        <f t="shared" si="7"/>
        <v>High</v>
      </c>
      <c r="G93" s="8">
        <v>0</v>
      </c>
      <c r="H93" s="6">
        <v>3.88</v>
      </c>
      <c r="I93" t="str">
        <f t="shared" si="8"/>
        <v>Average</v>
      </c>
    </row>
    <row r="94" spans="1:9" x14ac:dyDescent="0.45">
      <c r="A94" t="s">
        <v>82</v>
      </c>
      <c r="B94" s="10">
        <v>1526</v>
      </c>
      <c r="C94" s="10">
        <v>1660</v>
      </c>
      <c r="D94" s="10">
        <f t="shared" si="6"/>
        <v>134</v>
      </c>
      <c r="E94" s="4">
        <v>0.08</v>
      </c>
      <c r="F94" s="1" t="str">
        <f t="shared" si="7"/>
        <v>Low</v>
      </c>
      <c r="G94" s="8">
        <v>0</v>
      </c>
      <c r="H94" s="6">
        <v>3.88</v>
      </c>
      <c r="I94" t="str">
        <f t="shared" si="8"/>
        <v>Average</v>
      </c>
    </row>
    <row r="95" spans="1:9" x14ac:dyDescent="0.45">
      <c r="A95" t="s">
        <v>83</v>
      </c>
      <c r="B95" s="10">
        <v>1462</v>
      </c>
      <c r="C95" s="10">
        <v>1499</v>
      </c>
      <c r="D95" s="10">
        <f t="shared" si="6"/>
        <v>37</v>
      </c>
      <c r="E95" s="4">
        <v>0.02</v>
      </c>
      <c r="F95" s="1" t="str">
        <f t="shared" si="7"/>
        <v>Low</v>
      </c>
      <c r="G95" s="8">
        <v>0</v>
      </c>
      <c r="H95" s="6">
        <v>3.88</v>
      </c>
      <c r="I95" t="str">
        <f t="shared" si="8"/>
        <v>Average</v>
      </c>
    </row>
    <row r="96" spans="1:9" x14ac:dyDescent="0.45">
      <c r="A96" t="s">
        <v>84</v>
      </c>
      <c r="B96" s="10">
        <v>248</v>
      </c>
      <c r="C96" s="10">
        <v>486</v>
      </c>
      <c r="D96" s="10">
        <f t="shared" si="6"/>
        <v>238</v>
      </c>
      <c r="E96" s="4">
        <v>0.49</v>
      </c>
      <c r="F96" s="1" t="str">
        <f t="shared" si="7"/>
        <v>High</v>
      </c>
      <c r="G96" s="8">
        <v>0</v>
      </c>
      <c r="H96" s="6">
        <v>3.88</v>
      </c>
      <c r="I96" t="str">
        <f t="shared" si="8"/>
        <v>Average</v>
      </c>
    </row>
    <row r="97" spans="1:9" x14ac:dyDescent="0.45">
      <c r="A97" t="s">
        <v>85</v>
      </c>
      <c r="B97" s="10">
        <v>3546</v>
      </c>
      <c r="C97" s="10">
        <v>3699</v>
      </c>
      <c r="D97" s="10">
        <f t="shared" si="6"/>
        <v>153</v>
      </c>
      <c r="E97" s="4">
        <v>0.04</v>
      </c>
      <c r="F97" s="1" t="str">
        <f t="shared" si="7"/>
        <v>Low</v>
      </c>
      <c r="G97" s="8">
        <v>0</v>
      </c>
      <c r="H97" s="6">
        <v>3.88</v>
      </c>
      <c r="I97" t="str">
        <f t="shared" si="8"/>
        <v>Average</v>
      </c>
    </row>
    <row r="98" spans="1:9" x14ac:dyDescent="0.45">
      <c r="A98" t="s">
        <v>86</v>
      </c>
      <c r="B98" s="10">
        <v>525</v>
      </c>
      <c r="C98" s="10">
        <v>1029</v>
      </c>
      <c r="D98" s="10">
        <f t="shared" ref="D98:D110" si="9">C98-B98</f>
        <v>504</v>
      </c>
      <c r="E98" s="4">
        <v>0.49</v>
      </c>
      <c r="F98" s="1" t="str">
        <f t="shared" ref="F98:F110" si="10">IF(E98&gt;=0.4,"High",IF(E98&gt;=0.2,"Medium","Low"))</f>
        <v>High</v>
      </c>
      <c r="G98" s="8">
        <v>0</v>
      </c>
      <c r="H98" s="6">
        <v>3.88</v>
      </c>
      <c r="I98" t="str">
        <f t="shared" ref="I98:I110" si="11">IF(H98&gt;=4.5,"Excellent",IF(H98&gt;=3,"Average","Poor"))</f>
        <v>Average</v>
      </c>
    </row>
    <row r="99" spans="1:9" x14ac:dyDescent="0.45">
      <c r="A99" t="s">
        <v>87</v>
      </c>
      <c r="B99" s="10">
        <v>1080</v>
      </c>
      <c r="C99" s="10">
        <v>1874</v>
      </c>
      <c r="D99" s="10">
        <f t="shared" si="9"/>
        <v>794</v>
      </c>
      <c r="E99" s="4">
        <v>0.42</v>
      </c>
      <c r="F99" s="1" t="str">
        <f t="shared" si="10"/>
        <v>High</v>
      </c>
      <c r="G99" s="8">
        <v>0</v>
      </c>
      <c r="H99" s="6">
        <v>3.88</v>
      </c>
      <c r="I99" t="str">
        <f t="shared" si="11"/>
        <v>Average</v>
      </c>
    </row>
    <row r="100" spans="1:9" x14ac:dyDescent="0.45">
      <c r="A100" t="s">
        <v>88</v>
      </c>
      <c r="B100" s="10">
        <v>3640</v>
      </c>
      <c r="C100" s="10">
        <v>4588</v>
      </c>
      <c r="D100" s="10">
        <f t="shared" si="9"/>
        <v>948</v>
      </c>
      <c r="E100" s="4">
        <v>0.21</v>
      </c>
      <c r="F100" s="1" t="str">
        <f t="shared" si="10"/>
        <v>Medium</v>
      </c>
      <c r="G100" s="8">
        <v>1</v>
      </c>
      <c r="H100" s="6">
        <v>5</v>
      </c>
      <c r="I100" t="str">
        <f t="shared" si="11"/>
        <v>Excellent</v>
      </c>
    </row>
    <row r="101" spans="1:9" x14ac:dyDescent="0.45">
      <c r="A101" t="s">
        <v>89</v>
      </c>
      <c r="B101" s="10">
        <v>1420</v>
      </c>
      <c r="C101" s="10">
        <v>2420</v>
      </c>
      <c r="D101" s="10">
        <f t="shared" si="9"/>
        <v>1000</v>
      </c>
      <c r="E101" s="4">
        <v>0.41</v>
      </c>
      <c r="F101" s="1" t="str">
        <f t="shared" si="10"/>
        <v>High</v>
      </c>
      <c r="G101" s="8">
        <v>0</v>
      </c>
      <c r="H101" s="6">
        <v>3.88</v>
      </c>
      <c r="I101" t="str">
        <f t="shared" si="11"/>
        <v>Average</v>
      </c>
    </row>
    <row r="102" spans="1:9" x14ac:dyDescent="0.45">
      <c r="A102" t="s">
        <v>90</v>
      </c>
      <c r="B102" s="10">
        <v>1875</v>
      </c>
      <c r="C102" s="10">
        <v>1899</v>
      </c>
      <c r="D102" s="10">
        <f t="shared" si="9"/>
        <v>24</v>
      </c>
      <c r="E102" s="4">
        <v>0.01</v>
      </c>
      <c r="F102" s="1" t="str">
        <f t="shared" si="10"/>
        <v>Low</v>
      </c>
      <c r="G102" s="8">
        <v>0</v>
      </c>
      <c r="H102" s="6">
        <v>3.88</v>
      </c>
      <c r="I102" t="str">
        <f t="shared" si="11"/>
        <v>Average</v>
      </c>
    </row>
    <row r="103" spans="1:9" x14ac:dyDescent="0.45">
      <c r="A103" t="s">
        <v>91</v>
      </c>
      <c r="B103" s="10">
        <v>198</v>
      </c>
      <c r="C103" s="10">
        <v>260</v>
      </c>
      <c r="D103" s="10">
        <f t="shared" si="9"/>
        <v>62</v>
      </c>
      <c r="E103" s="4">
        <v>0.24</v>
      </c>
      <c r="F103" s="1" t="str">
        <f t="shared" si="10"/>
        <v>Medium</v>
      </c>
      <c r="G103" s="8">
        <v>0</v>
      </c>
      <c r="H103" s="6">
        <v>3.88</v>
      </c>
      <c r="I103" t="str">
        <f t="shared" si="11"/>
        <v>Average</v>
      </c>
    </row>
    <row r="104" spans="1:9" x14ac:dyDescent="0.45">
      <c r="A104" t="s">
        <v>92</v>
      </c>
      <c r="B104" s="10">
        <v>1150</v>
      </c>
      <c r="C104" s="10">
        <v>1737</v>
      </c>
      <c r="D104" s="10">
        <f t="shared" si="9"/>
        <v>587</v>
      </c>
      <c r="E104" s="4">
        <v>0.34</v>
      </c>
      <c r="F104" s="1" t="str">
        <f t="shared" si="10"/>
        <v>Medium</v>
      </c>
      <c r="G104" s="8">
        <v>0</v>
      </c>
      <c r="H104" s="6">
        <v>3.88</v>
      </c>
      <c r="I104" t="str">
        <f t="shared" si="11"/>
        <v>Average</v>
      </c>
    </row>
    <row r="105" spans="1:9" x14ac:dyDescent="0.45">
      <c r="A105" t="s">
        <v>93</v>
      </c>
      <c r="B105" s="10">
        <v>1190</v>
      </c>
      <c r="C105" s="10">
        <v>1810</v>
      </c>
      <c r="D105" s="10">
        <f t="shared" si="9"/>
        <v>620</v>
      </c>
      <c r="E105" s="4">
        <v>0.34</v>
      </c>
      <c r="F105" s="1" t="str">
        <f t="shared" si="10"/>
        <v>Medium</v>
      </c>
      <c r="G105" s="8">
        <v>0</v>
      </c>
      <c r="H105" s="6">
        <v>3.88</v>
      </c>
      <c r="I105" t="str">
        <f t="shared" si="11"/>
        <v>Average</v>
      </c>
    </row>
    <row r="106" spans="1:9" x14ac:dyDescent="0.45">
      <c r="A106" t="s">
        <v>94</v>
      </c>
      <c r="B106" s="10">
        <v>1658</v>
      </c>
      <c r="C106" s="10">
        <v>1699</v>
      </c>
      <c r="D106" s="10">
        <f t="shared" si="9"/>
        <v>41</v>
      </c>
      <c r="E106" s="4">
        <v>0.02</v>
      </c>
      <c r="F106" s="1" t="str">
        <f t="shared" si="10"/>
        <v>Low</v>
      </c>
      <c r="G106" s="8">
        <v>0</v>
      </c>
      <c r="H106" s="6">
        <v>3.88</v>
      </c>
      <c r="I106" t="str">
        <f t="shared" si="11"/>
        <v>Average</v>
      </c>
    </row>
    <row r="107" spans="1:9" x14ac:dyDescent="0.45">
      <c r="A107" t="s">
        <v>95</v>
      </c>
      <c r="B107" s="10">
        <v>1768</v>
      </c>
      <c r="C107" s="10">
        <v>1799</v>
      </c>
      <c r="D107" s="10">
        <f t="shared" si="9"/>
        <v>31</v>
      </c>
      <c r="E107" s="4">
        <v>0.02</v>
      </c>
      <c r="F107" s="1" t="str">
        <f t="shared" si="10"/>
        <v>Low</v>
      </c>
      <c r="G107" s="8">
        <v>0</v>
      </c>
      <c r="H107" s="6">
        <v>3.88</v>
      </c>
      <c r="I107" t="str">
        <f t="shared" si="11"/>
        <v>Average</v>
      </c>
    </row>
    <row r="108" spans="1:9" x14ac:dyDescent="0.45">
      <c r="A108" t="s">
        <v>96</v>
      </c>
      <c r="B108" s="10">
        <v>199</v>
      </c>
      <c r="C108" s="10">
        <v>553</v>
      </c>
      <c r="D108" s="10">
        <f t="shared" si="9"/>
        <v>354</v>
      </c>
      <c r="E108" s="4">
        <v>0.64</v>
      </c>
      <c r="F108" s="1" t="str">
        <f t="shared" si="10"/>
        <v>High</v>
      </c>
      <c r="G108" s="8">
        <v>0</v>
      </c>
      <c r="H108" s="6">
        <v>3.88</v>
      </c>
      <c r="I108" t="str">
        <f t="shared" si="11"/>
        <v>Average</v>
      </c>
    </row>
    <row r="109" spans="1:9" x14ac:dyDescent="0.45">
      <c r="A109" t="s">
        <v>97</v>
      </c>
      <c r="B109" s="10">
        <v>450</v>
      </c>
      <c r="C109" s="10">
        <v>900</v>
      </c>
      <c r="D109" s="10">
        <f t="shared" si="9"/>
        <v>450</v>
      </c>
      <c r="E109" s="4">
        <v>0.5</v>
      </c>
      <c r="F109" s="1" t="str">
        <f t="shared" si="10"/>
        <v>High</v>
      </c>
      <c r="G109" s="8">
        <v>1</v>
      </c>
      <c r="H109" s="6">
        <v>2</v>
      </c>
      <c r="I109" t="str">
        <f t="shared" si="11"/>
        <v>Poor</v>
      </c>
    </row>
    <row r="110" spans="1:9" x14ac:dyDescent="0.45">
      <c r="A110" t="s">
        <v>98</v>
      </c>
      <c r="B110" s="10">
        <v>169</v>
      </c>
      <c r="C110" s="10">
        <v>320</v>
      </c>
      <c r="D110" s="10">
        <f t="shared" si="9"/>
        <v>151</v>
      </c>
      <c r="E110" s="4">
        <v>0.47</v>
      </c>
      <c r="F110" s="1" t="str">
        <f t="shared" si="10"/>
        <v>High</v>
      </c>
      <c r="G110" s="8">
        <v>0</v>
      </c>
      <c r="H110" s="6">
        <v>3.88</v>
      </c>
      <c r="I110" t="str">
        <f t="shared" si="11"/>
        <v>Average</v>
      </c>
    </row>
    <row r="111" spans="1:9" x14ac:dyDescent="0.45">
      <c r="B111" s="9">
        <f>AVERAGE(B2:B110)</f>
        <v>1208.2568807339449</v>
      </c>
      <c r="C111" s="9">
        <f>AVERAGE(C2:C110)</f>
        <v>1837.7522935779816</v>
      </c>
      <c r="D111" s="9">
        <f>AVERAGE(D2:D110)</f>
        <v>629.49541284403665</v>
      </c>
      <c r="E111" s="9">
        <f>AVERAGE(E2:E110)</f>
        <v>0.36385321100917423</v>
      </c>
      <c r="G111"/>
      <c r="H111" s="5">
        <f>AVERAGE(H2:H110)</f>
        <v>3.8849541284403646</v>
      </c>
    </row>
    <row r="112" spans="1:9" x14ac:dyDescent="0.45">
      <c r="C112"/>
      <c r="D112"/>
      <c r="E112"/>
      <c r="G112"/>
      <c r="H112"/>
    </row>
    <row r="113" customFormat="1" x14ac:dyDescent="0.45"/>
    <row r="114" customFormat="1" x14ac:dyDescent="0.45"/>
    <row r="115" customFormat="1" x14ac:dyDescent="0.45"/>
    <row r="116" customFormat="1" x14ac:dyDescent="0.45"/>
  </sheetData>
  <autoFilter ref="H1:H116" xr:uid="{05ED5114-FE3B-4750-9896-55FF7674ED59}"/>
  <conditionalFormatting sqref="B1:B1048576">
    <cfRule type="top10" dxfId="11" priority="5" bottom="1" rank="1"/>
    <cfRule type="top10" dxfId="10" priority="6" rank="1"/>
  </conditionalFormatting>
  <conditionalFormatting sqref="H1:H1048576">
    <cfRule type="top10" dxfId="9" priority="1" bottom="1" rank="5"/>
    <cfRule type="top10" dxfId="8" priority="2"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875A-C557-4225-A9F9-A1739148EC6A}">
  <dimension ref="A2:D6"/>
  <sheetViews>
    <sheetView workbookViewId="0">
      <selection activeCell="A11" sqref="A11"/>
    </sheetView>
  </sheetViews>
  <sheetFormatPr defaultRowHeight="14.25" x14ac:dyDescent="0.45"/>
  <cols>
    <col min="1" max="1" width="12.33203125" bestFit="1" customWidth="1"/>
    <col min="2" max="2" width="14.796875" bestFit="1" customWidth="1"/>
    <col min="3" max="3" width="17.59765625" bestFit="1" customWidth="1"/>
    <col min="4" max="4" width="13.265625" bestFit="1" customWidth="1"/>
  </cols>
  <sheetData>
    <row r="2" spans="1:4" x14ac:dyDescent="0.45">
      <c r="A2" s="11" t="s">
        <v>118</v>
      </c>
      <c r="B2" t="s">
        <v>129</v>
      </c>
      <c r="C2" t="s">
        <v>145</v>
      </c>
      <c r="D2" t="s">
        <v>130</v>
      </c>
    </row>
    <row r="3" spans="1:4" x14ac:dyDescent="0.45">
      <c r="A3" s="13" t="s">
        <v>140</v>
      </c>
      <c r="B3">
        <v>12</v>
      </c>
      <c r="C3" s="4">
        <v>0.43166666666666664</v>
      </c>
      <c r="D3">
        <v>169</v>
      </c>
    </row>
    <row r="4" spans="1:4" x14ac:dyDescent="0.45">
      <c r="A4" s="13" t="s">
        <v>141</v>
      </c>
      <c r="B4">
        <v>61</v>
      </c>
      <c r="C4" s="4">
        <v>0.34522343888724466</v>
      </c>
      <c r="D4">
        <v>69</v>
      </c>
    </row>
    <row r="5" spans="1:4" x14ac:dyDescent="0.45">
      <c r="A5" s="13" t="s">
        <v>142</v>
      </c>
      <c r="B5">
        <v>36</v>
      </c>
      <c r="C5" s="4">
        <v>0.37333333333333335</v>
      </c>
      <c r="D5">
        <v>485</v>
      </c>
    </row>
    <row r="6" spans="1:4" x14ac:dyDescent="0.45">
      <c r="A6" s="13" t="s">
        <v>122</v>
      </c>
      <c r="B6">
        <v>109</v>
      </c>
      <c r="C6" s="4">
        <v>0.36385321100917434</v>
      </c>
      <c r="D6">
        <v>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F959-41B7-413E-BF09-9F301DACE7C8}">
  <dimension ref="D38:D55"/>
  <sheetViews>
    <sheetView showGridLines="0" tabSelected="1" workbookViewId="0">
      <selection activeCell="Q3" sqref="Q3"/>
    </sheetView>
  </sheetViews>
  <sheetFormatPr defaultRowHeight="14.25" x14ac:dyDescent="0.45"/>
  <sheetData>
    <row r="38" spans="4:4" x14ac:dyDescent="0.45">
      <c r="D38" t="s">
        <v>148</v>
      </c>
    </row>
    <row r="39" spans="4:4" x14ac:dyDescent="0.45">
      <c r="D39" t="s">
        <v>147</v>
      </c>
    </row>
    <row r="40" spans="4:4" x14ac:dyDescent="0.45">
      <c r="D40" t="s">
        <v>149</v>
      </c>
    </row>
    <row r="41" spans="4:4" x14ac:dyDescent="0.45">
      <c r="D41" t="s">
        <v>150</v>
      </c>
    </row>
    <row r="42" spans="4:4" x14ac:dyDescent="0.45">
      <c r="D42" t="s">
        <v>151</v>
      </c>
    </row>
    <row r="43" spans="4:4" x14ac:dyDescent="0.45">
      <c r="D43" t="s">
        <v>152</v>
      </c>
    </row>
    <row r="44" spans="4:4" x14ac:dyDescent="0.45">
      <c r="D44" t="s">
        <v>143</v>
      </c>
    </row>
    <row r="45" spans="4:4" x14ac:dyDescent="0.45">
      <c r="D45" t="s">
        <v>153</v>
      </c>
    </row>
    <row r="46" spans="4:4" x14ac:dyDescent="0.45">
      <c r="D46" t="s">
        <v>154</v>
      </c>
    </row>
    <row r="49" spans="4:4" x14ac:dyDescent="0.45">
      <c r="D49" t="s">
        <v>155</v>
      </c>
    </row>
    <row r="50" spans="4:4" x14ac:dyDescent="0.45">
      <c r="D50" t="s">
        <v>156</v>
      </c>
    </row>
    <row r="51" spans="4:4" x14ac:dyDescent="0.45">
      <c r="D51" t="s">
        <v>157</v>
      </c>
    </row>
    <row r="52" spans="4:4" x14ac:dyDescent="0.45">
      <c r="D52" t="s">
        <v>158</v>
      </c>
    </row>
    <row r="53" spans="4:4" x14ac:dyDescent="0.45">
      <c r="D53" t="s">
        <v>159</v>
      </c>
    </row>
    <row r="54" spans="4:4" x14ac:dyDescent="0.45">
      <c r="D54" t="s">
        <v>160</v>
      </c>
    </row>
    <row r="55" spans="4:4" x14ac:dyDescent="0.45">
      <c r="D55" t="s">
        <v>161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1C26-2673-4264-909B-598E65CF53BE}">
  <dimension ref="A3:I29"/>
  <sheetViews>
    <sheetView workbookViewId="0">
      <selection activeCell="A15" sqref="A15"/>
    </sheetView>
  </sheetViews>
  <sheetFormatPr defaultRowHeight="14.25" x14ac:dyDescent="0.45"/>
  <cols>
    <col min="1" max="1" width="67.265625" bestFit="1" customWidth="1"/>
    <col min="2" max="2" width="14.33203125" bestFit="1" customWidth="1"/>
  </cols>
  <sheetData>
    <row r="3" spans="1:9" x14ac:dyDescent="0.45">
      <c r="A3" s="2" t="s">
        <v>0</v>
      </c>
      <c r="B3" s="9" t="s">
        <v>1</v>
      </c>
      <c r="C3" s="9" t="s">
        <v>2</v>
      </c>
      <c r="D3" s="9" t="s">
        <v>115</v>
      </c>
      <c r="E3" s="3" t="s">
        <v>3</v>
      </c>
      <c r="F3" s="2" t="s">
        <v>117</v>
      </c>
      <c r="G3" s="7" t="s">
        <v>4</v>
      </c>
      <c r="H3" s="5" t="s">
        <v>99</v>
      </c>
      <c r="I3" s="2" t="s">
        <v>116</v>
      </c>
    </row>
    <row r="4" spans="1:9" x14ac:dyDescent="0.45">
      <c r="A4" t="s">
        <v>10</v>
      </c>
      <c r="B4" s="10">
        <v>1274</v>
      </c>
      <c r="C4" s="10">
        <v>2800</v>
      </c>
      <c r="D4" s="10">
        <v>1526</v>
      </c>
      <c r="E4" s="4">
        <v>0.55000000000000004</v>
      </c>
      <c r="F4" s="1" t="s">
        <v>119</v>
      </c>
      <c r="G4" s="8">
        <v>5</v>
      </c>
      <c r="H4" s="6">
        <v>4.8</v>
      </c>
      <c r="I4" t="s">
        <v>126</v>
      </c>
    </row>
    <row r="5" spans="1:9" x14ac:dyDescent="0.45">
      <c r="A5" t="s">
        <v>103</v>
      </c>
      <c r="B5" s="10">
        <v>2025</v>
      </c>
      <c r="C5" s="10">
        <v>3971</v>
      </c>
      <c r="D5" s="10">
        <v>1946</v>
      </c>
      <c r="E5" s="4">
        <v>0.49</v>
      </c>
      <c r="F5" s="1" t="s">
        <v>119</v>
      </c>
      <c r="G5" s="8">
        <v>3</v>
      </c>
      <c r="H5" s="6">
        <v>5</v>
      </c>
      <c r="I5" t="s">
        <v>126</v>
      </c>
    </row>
    <row r="6" spans="1:9" x14ac:dyDescent="0.45">
      <c r="A6" t="s">
        <v>22</v>
      </c>
      <c r="B6" s="10">
        <v>1860</v>
      </c>
      <c r="C6" s="10">
        <v>3220</v>
      </c>
      <c r="D6" s="10">
        <v>1360</v>
      </c>
      <c r="E6" s="4">
        <v>0.42</v>
      </c>
      <c r="F6" s="1" t="s">
        <v>119</v>
      </c>
      <c r="G6" s="8">
        <v>0</v>
      </c>
      <c r="H6" s="6">
        <v>3.88</v>
      </c>
      <c r="I6" t="s">
        <v>127</v>
      </c>
    </row>
    <row r="7" spans="1:9" x14ac:dyDescent="0.45">
      <c r="A7" t="s">
        <v>25</v>
      </c>
      <c r="B7" s="10">
        <v>2048</v>
      </c>
      <c r="C7" s="10">
        <v>4500</v>
      </c>
      <c r="D7" s="10">
        <v>2452</v>
      </c>
      <c r="E7" s="4">
        <v>0.54</v>
      </c>
      <c r="F7" s="1" t="s">
        <v>119</v>
      </c>
      <c r="G7" s="8">
        <v>7</v>
      </c>
      <c r="H7" s="6">
        <v>4.3</v>
      </c>
      <c r="I7" t="s">
        <v>127</v>
      </c>
    </row>
    <row r="8" spans="1:9" x14ac:dyDescent="0.45">
      <c r="A8" t="s">
        <v>30</v>
      </c>
      <c r="B8" s="10">
        <v>2200</v>
      </c>
      <c r="C8" s="10">
        <v>4080</v>
      </c>
      <c r="D8" s="10">
        <v>1880</v>
      </c>
      <c r="E8" s="4">
        <v>0.46</v>
      </c>
      <c r="F8" s="1" t="s">
        <v>119</v>
      </c>
      <c r="G8" s="8">
        <v>0</v>
      </c>
      <c r="H8" s="6">
        <v>3.88</v>
      </c>
      <c r="I8" t="s">
        <v>127</v>
      </c>
    </row>
    <row r="9" spans="1:9" x14ac:dyDescent="0.45">
      <c r="A9" t="s">
        <v>105</v>
      </c>
      <c r="B9" s="10">
        <v>1820</v>
      </c>
      <c r="C9" s="10">
        <v>3490</v>
      </c>
      <c r="D9" s="10">
        <v>1670</v>
      </c>
      <c r="E9" s="4">
        <v>0.48</v>
      </c>
      <c r="F9" s="1" t="s">
        <v>119</v>
      </c>
      <c r="G9" s="8">
        <v>9</v>
      </c>
      <c r="H9" s="6">
        <v>4.3</v>
      </c>
      <c r="I9" t="s">
        <v>127</v>
      </c>
    </row>
    <row r="10" spans="1:9" x14ac:dyDescent="0.45">
      <c r="A10" t="s">
        <v>108</v>
      </c>
      <c r="B10" s="10">
        <v>2750</v>
      </c>
      <c r="C10" s="10">
        <v>4471</v>
      </c>
      <c r="D10" s="10">
        <v>1721</v>
      </c>
      <c r="E10" s="4">
        <v>0.38</v>
      </c>
      <c r="F10" s="1" t="s">
        <v>121</v>
      </c>
      <c r="G10" s="8">
        <v>0</v>
      </c>
      <c r="H10" s="6">
        <v>3.88</v>
      </c>
      <c r="I10" t="s">
        <v>127</v>
      </c>
    </row>
    <row r="11" spans="1:9" x14ac:dyDescent="0.45">
      <c r="A11" t="s">
        <v>54</v>
      </c>
      <c r="B11" s="10">
        <v>2115</v>
      </c>
      <c r="C11" s="10">
        <v>4700</v>
      </c>
      <c r="D11" s="10">
        <v>2585</v>
      </c>
      <c r="E11" s="4">
        <v>0.55000000000000004</v>
      </c>
      <c r="F11" s="1" t="s">
        <v>119</v>
      </c>
      <c r="G11" s="8">
        <v>13</v>
      </c>
      <c r="H11" s="6">
        <v>2.1</v>
      </c>
      <c r="I11" t="s">
        <v>128</v>
      </c>
    </row>
    <row r="12" spans="1:9" x14ac:dyDescent="0.45">
      <c r="A12" t="s">
        <v>60</v>
      </c>
      <c r="B12" s="10">
        <v>3750</v>
      </c>
      <c r="C12" s="10">
        <v>6143</v>
      </c>
      <c r="D12" s="10">
        <v>2393</v>
      </c>
      <c r="E12" s="4">
        <v>0.39</v>
      </c>
      <c r="F12" s="1" t="s">
        <v>121</v>
      </c>
      <c r="G12" s="8">
        <v>5</v>
      </c>
      <c r="H12" s="6">
        <v>3</v>
      </c>
      <c r="I12" t="s">
        <v>127</v>
      </c>
    </row>
    <row r="13" spans="1:9" x14ac:dyDescent="0.45">
      <c r="A13" t="s">
        <v>66</v>
      </c>
      <c r="B13" s="10">
        <v>1570</v>
      </c>
      <c r="C13" s="10">
        <v>2988</v>
      </c>
      <c r="D13" s="10">
        <v>1418</v>
      </c>
      <c r="E13" s="4">
        <v>0.47</v>
      </c>
      <c r="F13" s="1" t="s">
        <v>119</v>
      </c>
      <c r="G13" s="8">
        <v>7</v>
      </c>
      <c r="H13" s="6">
        <v>2.1</v>
      </c>
      <c r="I13" t="s">
        <v>128</v>
      </c>
    </row>
    <row r="18" spans="1:2" x14ac:dyDescent="0.45">
      <c r="A18" s="11" t="s">
        <v>118</v>
      </c>
      <c r="B18" t="s">
        <v>132</v>
      </c>
    </row>
    <row r="19" spans="1:2" x14ac:dyDescent="0.45">
      <c r="A19" s="12" t="s">
        <v>54</v>
      </c>
      <c r="B19" s="4">
        <v>0.55000000000000004</v>
      </c>
    </row>
    <row r="20" spans="1:2" x14ac:dyDescent="0.45">
      <c r="A20" s="12" t="s">
        <v>10</v>
      </c>
      <c r="B20" s="4">
        <v>0.55000000000000004</v>
      </c>
    </row>
    <row r="21" spans="1:2" x14ac:dyDescent="0.45">
      <c r="A21" s="12" t="s">
        <v>25</v>
      </c>
      <c r="B21" s="4">
        <v>0.54</v>
      </c>
    </row>
    <row r="22" spans="1:2" x14ac:dyDescent="0.45">
      <c r="A22" s="12" t="s">
        <v>103</v>
      </c>
      <c r="B22" s="4">
        <v>0.49</v>
      </c>
    </row>
    <row r="23" spans="1:2" x14ac:dyDescent="0.45">
      <c r="A23" s="12" t="s">
        <v>105</v>
      </c>
      <c r="B23" s="4">
        <v>0.48</v>
      </c>
    </row>
    <row r="24" spans="1:2" x14ac:dyDescent="0.45">
      <c r="A24" s="12" t="s">
        <v>66</v>
      </c>
      <c r="B24" s="4">
        <v>0.47</v>
      </c>
    </row>
    <row r="25" spans="1:2" x14ac:dyDescent="0.45">
      <c r="A25" s="12" t="s">
        <v>30</v>
      </c>
      <c r="B25" s="4">
        <v>0.46</v>
      </c>
    </row>
    <row r="26" spans="1:2" x14ac:dyDescent="0.45">
      <c r="A26" s="12" t="s">
        <v>22</v>
      </c>
      <c r="B26" s="4">
        <v>0.42</v>
      </c>
    </row>
    <row r="27" spans="1:2" x14ac:dyDescent="0.45">
      <c r="A27" s="12" t="s">
        <v>60</v>
      </c>
      <c r="B27" s="4">
        <v>0.39</v>
      </c>
    </row>
    <row r="28" spans="1:2" x14ac:dyDescent="0.45">
      <c r="A28" s="12" t="s">
        <v>108</v>
      </c>
      <c r="B28" s="4">
        <v>0.38</v>
      </c>
    </row>
    <row r="29" spans="1:2" x14ac:dyDescent="0.45">
      <c r="A29" s="12" t="s">
        <v>122</v>
      </c>
      <c r="B29" s="4">
        <v>4.7299999999999995</v>
      </c>
    </row>
  </sheetData>
  <conditionalFormatting sqref="B3:B13">
    <cfRule type="top10" dxfId="14" priority="2" bottom="1" rank="1"/>
    <cfRule type="top10" dxfId="13" priority="3" rank="1"/>
  </conditionalFormatting>
  <conditionalFormatting sqref="D3:D13">
    <cfRule type="top10" dxfId="12" priority="1" rank="10"/>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BD17-75F4-4729-AD38-0AF3491B5547}">
  <dimension ref="A3:I29"/>
  <sheetViews>
    <sheetView topLeftCell="A31" workbookViewId="0">
      <selection activeCell="A15" sqref="A15"/>
    </sheetView>
  </sheetViews>
  <sheetFormatPr defaultRowHeight="14.25" x14ac:dyDescent="0.45"/>
  <cols>
    <col min="1" max="1" width="61.46484375" bestFit="1" customWidth="1"/>
    <col min="2" max="2" width="13.06640625" bestFit="1" customWidth="1"/>
  </cols>
  <sheetData>
    <row r="3" spans="1:9" x14ac:dyDescent="0.45">
      <c r="A3" t="s">
        <v>0</v>
      </c>
      <c r="B3" t="s">
        <v>1</v>
      </c>
      <c r="C3" t="s">
        <v>2</v>
      </c>
      <c r="D3" t="s">
        <v>115</v>
      </c>
      <c r="E3" t="s">
        <v>3</v>
      </c>
      <c r="F3" t="s">
        <v>117</v>
      </c>
      <c r="G3" t="s">
        <v>4</v>
      </c>
      <c r="H3" t="s">
        <v>99</v>
      </c>
      <c r="I3" t="s">
        <v>116</v>
      </c>
    </row>
    <row r="4" spans="1:9" x14ac:dyDescent="0.45">
      <c r="A4" t="s">
        <v>101</v>
      </c>
      <c r="B4">
        <v>2199</v>
      </c>
      <c r="C4">
        <v>2923</v>
      </c>
      <c r="D4">
        <v>724</v>
      </c>
      <c r="E4">
        <v>0.25</v>
      </c>
      <c r="F4" t="s">
        <v>121</v>
      </c>
      <c r="G4">
        <v>24</v>
      </c>
      <c r="H4">
        <v>4.5999999999999996</v>
      </c>
      <c r="I4" t="s">
        <v>126</v>
      </c>
    </row>
    <row r="5" spans="1:9" x14ac:dyDescent="0.45">
      <c r="A5" t="s">
        <v>8</v>
      </c>
      <c r="B5">
        <v>2319</v>
      </c>
      <c r="C5">
        <v>3032</v>
      </c>
      <c r="D5">
        <v>713</v>
      </c>
      <c r="E5">
        <v>0.24</v>
      </c>
      <c r="F5" t="s">
        <v>121</v>
      </c>
      <c r="G5">
        <v>55</v>
      </c>
      <c r="H5">
        <v>4.5999999999999996</v>
      </c>
      <c r="I5" t="s">
        <v>126</v>
      </c>
    </row>
    <row r="6" spans="1:9" x14ac:dyDescent="0.45">
      <c r="A6" t="s">
        <v>13</v>
      </c>
      <c r="B6">
        <v>990</v>
      </c>
      <c r="C6">
        <v>1500</v>
      </c>
      <c r="D6">
        <v>510</v>
      </c>
      <c r="E6">
        <v>0.34</v>
      </c>
      <c r="F6" t="s">
        <v>121</v>
      </c>
      <c r="G6">
        <v>39</v>
      </c>
      <c r="H6">
        <v>4.7</v>
      </c>
      <c r="I6" t="s">
        <v>126</v>
      </c>
    </row>
    <row r="7" spans="1:9" x14ac:dyDescent="0.45">
      <c r="A7" t="s">
        <v>20</v>
      </c>
      <c r="B7">
        <v>998</v>
      </c>
      <c r="C7">
        <v>1966</v>
      </c>
      <c r="D7">
        <v>968</v>
      </c>
      <c r="E7">
        <v>0.49</v>
      </c>
      <c r="F7" t="s">
        <v>119</v>
      </c>
      <c r="G7">
        <v>44</v>
      </c>
      <c r="H7">
        <v>4.5999999999999996</v>
      </c>
      <c r="I7" t="s">
        <v>126</v>
      </c>
    </row>
    <row r="8" spans="1:9" x14ac:dyDescent="0.45">
      <c r="A8" t="s">
        <v>26</v>
      </c>
      <c r="B8">
        <v>420</v>
      </c>
      <c r="C8">
        <v>647</v>
      </c>
      <c r="D8">
        <v>227</v>
      </c>
      <c r="E8">
        <v>0.35</v>
      </c>
      <c r="F8" t="s">
        <v>121</v>
      </c>
      <c r="G8">
        <v>49</v>
      </c>
      <c r="H8">
        <v>4.5999999999999996</v>
      </c>
      <c r="I8" t="s">
        <v>126</v>
      </c>
    </row>
    <row r="9" spans="1:9" x14ac:dyDescent="0.45">
      <c r="A9" t="s">
        <v>29</v>
      </c>
      <c r="B9">
        <v>1758</v>
      </c>
      <c r="C9">
        <v>2499</v>
      </c>
      <c r="D9">
        <v>741</v>
      </c>
      <c r="E9">
        <v>0.3</v>
      </c>
      <c r="F9" t="s">
        <v>121</v>
      </c>
      <c r="G9">
        <v>20</v>
      </c>
      <c r="H9">
        <v>4.0999999999999996</v>
      </c>
      <c r="I9" t="s">
        <v>127</v>
      </c>
    </row>
    <row r="10" spans="1:9" x14ac:dyDescent="0.45">
      <c r="A10" t="s">
        <v>106</v>
      </c>
      <c r="B10">
        <v>1940</v>
      </c>
      <c r="C10">
        <v>2650</v>
      </c>
      <c r="D10">
        <v>710</v>
      </c>
      <c r="E10">
        <v>0.27</v>
      </c>
      <c r="F10" t="s">
        <v>121</v>
      </c>
      <c r="G10">
        <v>20</v>
      </c>
      <c r="H10">
        <v>4.7</v>
      </c>
      <c r="I10" t="s">
        <v>126</v>
      </c>
    </row>
    <row r="11" spans="1:9" x14ac:dyDescent="0.45">
      <c r="A11" t="s">
        <v>107</v>
      </c>
      <c r="B11">
        <v>1980</v>
      </c>
      <c r="C11">
        <v>2699</v>
      </c>
      <c r="D11">
        <v>719</v>
      </c>
      <c r="E11">
        <v>0.27</v>
      </c>
      <c r="F11" t="s">
        <v>121</v>
      </c>
      <c r="G11">
        <v>32</v>
      </c>
      <c r="H11">
        <v>4.5</v>
      </c>
      <c r="I11" t="s">
        <v>126</v>
      </c>
    </row>
    <row r="12" spans="1:9" x14ac:dyDescent="0.45">
      <c r="A12" t="s">
        <v>34</v>
      </c>
      <c r="B12">
        <v>389</v>
      </c>
      <c r="C12">
        <v>656</v>
      </c>
      <c r="D12">
        <v>267</v>
      </c>
      <c r="E12">
        <v>0.41</v>
      </c>
      <c r="F12" t="s">
        <v>119</v>
      </c>
      <c r="G12">
        <v>36</v>
      </c>
      <c r="H12">
        <v>4.3</v>
      </c>
      <c r="I12" t="s">
        <v>127</v>
      </c>
    </row>
    <row r="13" spans="1:9" x14ac:dyDescent="0.45">
      <c r="A13" t="s">
        <v>55</v>
      </c>
      <c r="B13">
        <v>445</v>
      </c>
      <c r="C13">
        <v>873</v>
      </c>
      <c r="D13">
        <v>428</v>
      </c>
      <c r="E13">
        <v>0.49</v>
      </c>
      <c r="F13" t="s">
        <v>119</v>
      </c>
      <c r="G13">
        <v>69</v>
      </c>
      <c r="H13">
        <v>2.8</v>
      </c>
      <c r="I13" t="s">
        <v>128</v>
      </c>
    </row>
    <row r="18" spans="1:2" x14ac:dyDescent="0.45">
      <c r="A18" s="11" t="s">
        <v>118</v>
      </c>
      <c r="B18" t="s">
        <v>130</v>
      </c>
    </row>
    <row r="19" spans="1:2" x14ac:dyDescent="0.45">
      <c r="A19" s="12" t="s">
        <v>55</v>
      </c>
      <c r="B19">
        <v>69</v>
      </c>
    </row>
    <row r="20" spans="1:2" x14ac:dyDescent="0.45">
      <c r="A20" s="12" t="s">
        <v>8</v>
      </c>
      <c r="B20">
        <v>55</v>
      </c>
    </row>
    <row r="21" spans="1:2" x14ac:dyDescent="0.45">
      <c r="A21" s="12" t="s">
        <v>26</v>
      </c>
      <c r="B21">
        <v>49</v>
      </c>
    </row>
    <row r="22" spans="1:2" x14ac:dyDescent="0.45">
      <c r="A22" s="12" t="s">
        <v>20</v>
      </c>
      <c r="B22">
        <v>44</v>
      </c>
    </row>
    <row r="23" spans="1:2" x14ac:dyDescent="0.45">
      <c r="A23" s="12" t="s">
        <v>13</v>
      </c>
      <c r="B23">
        <v>39</v>
      </c>
    </row>
    <row r="24" spans="1:2" x14ac:dyDescent="0.45">
      <c r="A24" s="12" t="s">
        <v>34</v>
      </c>
      <c r="B24">
        <v>36</v>
      </c>
    </row>
    <row r="25" spans="1:2" x14ac:dyDescent="0.45">
      <c r="A25" s="12" t="s">
        <v>107</v>
      </c>
      <c r="B25">
        <v>32</v>
      </c>
    </row>
    <row r="26" spans="1:2" x14ac:dyDescent="0.45">
      <c r="A26" s="12" t="s">
        <v>101</v>
      </c>
      <c r="B26">
        <v>24</v>
      </c>
    </row>
    <row r="27" spans="1:2" x14ac:dyDescent="0.45">
      <c r="A27" s="12" t="s">
        <v>106</v>
      </c>
      <c r="B27">
        <v>20</v>
      </c>
    </row>
    <row r="28" spans="1:2" x14ac:dyDescent="0.45">
      <c r="A28" s="12" t="s">
        <v>29</v>
      </c>
      <c r="B28">
        <v>20</v>
      </c>
    </row>
    <row r="29" spans="1:2" x14ac:dyDescent="0.45">
      <c r="A29" s="12" t="s">
        <v>122</v>
      </c>
      <c r="B29">
        <v>388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40CA-C89A-49DB-880A-8793DEEC8D07}">
  <dimension ref="A3:E8"/>
  <sheetViews>
    <sheetView workbookViewId="0">
      <selection activeCell="F10" sqref="F10"/>
    </sheetView>
  </sheetViews>
  <sheetFormatPr defaultRowHeight="14.25" x14ac:dyDescent="0.45"/>
  <cols>
    <col min="1" max="2" width="15.265625" bestFit="1" customWidth="1"/>
    <col min="3" max="3" width="4.19921875" bestFit="1" customWidth="1"/>
    <col min="4" max="4" width="7.796875" bestFit="1" customWidth="1"/>
    <col min="5" max="5" width="10.73046875" bestFit="1" customWidth="1"/>
    <col min="6" max="6" width="10.46484375" bestFit="1" customWidth="1"/>
  </cols>
  <sheetData>
    <row r="3" spans="1:5" x14ac:dyDescent="0.45">
      <c r="A3" s="11" t="s">
        <v>129</v>
      </c>
      <c r="B3" s="11" t="s">
        <v>146</v>
      </c>
    </row>
    <row r="4" spans="1:5" x14ac:dyDescent="0.45">
      <c r="A4" s="11" t="s">
        <v>118</v>
      </c>
      <c r="B4" t="s">
        <v>119</v>
      </c>
      <c r="C4" t="s">
        <v>120</v>
      </c>
      <c r="D4" t="s">
        <v>121</v>
      </c>
      <c r="E4" t="s">
        <v>122</v>
      </c>
    </row>
    <row r="5" spans="1:5" x14ac:dyDescent="0.45">
      <c r="A5" s="12" t="s">
        <v>127</v>
      </c>
      <c r="B5">
        <v>40</v>
      </c>
      <c r="C5">
        <v>16</v>
      </c>
      <c r="D5">
        <v>18</v>
      </c>
      <c r="E5">
        <v>74</v>
      </c>
    </row>
    <row r="6" spans="1:5" x14ac:dyDescent="0.45">
      <c r="A6" s="12" t="s">
        <v>126</v>
      </c>
      <c r="B6">
        <v>10</v>
      </c>
      <c r="C6">
        <v>1</v>
      </c>
      <c r="D6">
        <v>12</v>
      </c>
      <c r="E6">
        <v>23</v>
      </c>
    </row>
    <row r="7" spans="1:5" x14ac:dyDescent="0.45">
      <c r="A7" s="12" t="s">
        <v>128</v>
      </c>
      <c r="B7">
        <v>10</v>
      </c>
      <c r="C7">
        <v>1</v>
      </c>
      <c r="D7">
        <v>1</v>
      </c>
      <c r="E7">
        <v>12</v>
      </c>
    </row>
    <row r="8" spans="1:5" x14ac:dyDescent="0.45">
      <c r="A8" s="12" t="s">
        <v>122</v>
      </c>
      <c r="B8">
        <v>60</v>
      </c>
      <c r="C8">
        <v>18</v>
      </c>
      <c r="D8">
        <v>31</v>
      </c>
      <c r="E8">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AD66-EFB6-4EE5-A42C-10D4ED623AE3}">
  <dimension ref="A3:C7"/>
  <sheetViews>
    <sheetView workbookViewId="0">
      <selection activeCell="C4" sqref="C4"/>
    </sheetView>
  </sheetViews>
  <sheetFormatPr defaultRowHeight="14.25" x14ac:dyDescent="0.45"/>
  <cols>
    <col min="1" max="1" width="12.33203125" bestFit="1" customWidth="1"/>
    <col min="2" max="2" width="15.53125" bestFit="1" customWidth="1"/>
    <col min="3" max="3" width="16.59765625" bestFit="1" customWidth="1"/>
  </cols>
  <sheetData>
    <row r="3" spans="1:3" x14ac:dyDescent="0.45">
      <c r="A3" s="11" t="s">
        <v>118</v>
      </c>
      <c r="B3" t="s">
        <v>124</v>
      </c>
      <c r="C3" t="s">
        <v>131</v>
      </c>
    </row>
    <row r="4" spans="1:3" x14ac:dyDescent="0.45">
      <c r="A4" s="12" t="s">
        <v>119</v>
      </c>
      <c r="B4" s="6">
        <v>3.7653333333333308</v>
      </c>
      <c r="C4" s="4">
        <v>5.583333333333333</v>
      </c>
    </row>
    <row r="5" spans="1:3" x14ac:dyDescent="0.45">
      <c r="A5" s="12" t="s">
        <v>120</v>
      </c>
      <c r="B5" s="6">
        <v>3.8455555555555563</v>
      </c>
      <c r="C5" s="4">
        <v>2.1111111111111112</v>
      </c>
    </row>
    <row r="6" spans="1:3" x14ac:dyDescent="0.45">
      <c r="A6" s="12" t="s">
        <v>121</v>
      </c>
      <c r="B6" s="6">
        <v>4.1393548387096768</v>
      </c>
      <c r="C6" s="4">
        <v>11.290322580645162</v>
      </c>
    </row>
    <row r="7" spans="1:3" x14ac:dyDescent="0.45">
      <c r="A7" s="12" t="s">
        <v>122</v>
      </c>
      <c r="B7" s="6">
        <v>3.884954128440365</v>
      </c>
      <c r="C7" s="4">
        <v>6.6330275229357802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E3A4-0FA1-48FA-B4E8-E0099F800D3F}">
  <dimension ref="A3:L29"/>
  <sheetViews>
    <sheetView workbookViewId="0">
      <selection activeCell="L3" sqref="L3"/>
    </sheetView>
  </sheetViews>
  <sheetFormatPr defaultRowHeight="14.25" x14ac:dyDescent="0.45"/>
  <cols>
    <col min="1" max="1" width="12.33203125" bestFit="1" customWidth="1"/>
    <col min="2" max="2" width="13.265625" bestFit="1" customWidth="1"/>
  </cols>
  <sheetData>
    <row r="3" spans="1:2" x14ac:dyDescent="0.45">
      <c r="A3" s="11" t="s">
        <v>118</v>
      </c>
      <c r="B3" t="s">
        <v>130</v>
      </c>
    </row>
    <row r="4" spans="1:2" x14ac:dyDescent="0.45">
      <c r="A4" s="12" t="s">
        <v>133</v>
      </c>
      <c r="B4">
        <v>15</v>
      </c>
    </row>
    <row r="5" spans="1:2" x14ac:dyDescent="0.45">
      <c r="A5" s="12" t="s">
        <v>134</v>
      </c>
      <c r="B5">
        <v>35</v>
      </c>
    </row>
    <row r="6" spans="1:2" x14ac:dyDescent="0.45">
      <c r="A6" s="12" t="s">
        <v>135</v>
      </c>
      <c r="B6">
        <v>192</v>
      </c>
    </row>
    <row r="7" spans="1:2" x14ac:dyDescent="0.45">
      <c r="A7" s="12" t="s">
        <v>136</v>
      </c>
      <c r="B7">
        <v>147</v>
      </c>
    </row>
    <row r="8" spans="1:2" x14ac:dyDescent="0.45">
      <c r="A8" s="12" t="s">
        <v>137</v>
      </c>
      <c r="B8">
        <v>258</v>
      </c>
    </row>
    <row r="9" spans="1:2" x14ac:dyDescent="0.45">
      <c r="A9" s="12" t="s">
        <v>138</v>
      </c>
      <c r="B9">
        <v>76</v>
      </c>
    </row>
    <row r="10" spans="1:2" x14ac:dyDescent="0.45">
      <c r="A10" s="12" t="s">
        <v>139</v>
      </c>
      <c r="B10">
        <v>0</v>
      </c>
    </row>
    <row r="11" spans="1:2" x14ac:dyDescent="0.45">
      <c r="A11" s="12" t="s">
        <v>122</v>
      </c>
      <c r="B11">
        <v>723</v>
      </c>
    </row>
    <row r="21" spans="1:12" x14ac:dyDescent="0.45">
      <c r="L21" t="s">
        <v>144</v>
      </c>
    </row>
    <row r="25" spans="1:12" x14ac:dyDescent="0.45">
      <c r="A25" s="11" t="s">
        <v>118</v>
      </c>
      <c r="B25" t="s">
        <v>131</v>
      </c>
    </row>
    <row r="26" spans="1:12" x14ac:dyDescent="0.45">
      <c r="A26" s="13" t="s">
        <v>140</v>
      </c>
      <c r="B26" s="4">
        <v>14.083333333333334</v>
      </c>
    </row>
    <row r="27" spans="1:12" x14ac:dyDescent="0.45">
      <c r="A27" s="13" t="s">
        <v>141</v>
      </c>
      <c r="B27" s="4">
        <v>1.1311475409836065</v>
      </c>
    </row>
    <row r="28" spans="1:12" x14ac:dyDescent="0.45">
      <c r="A28" s="13" t="s">
        <v>142</v>
      </c>
      <c r="B28" s="4">
        <v>13.472222222222221</v>
      </c>
    </row>
    <row r="29" spans="1:12" x14ac:dyDescent="0.45">
      <c r="A29" s="13" t="s">
        <v>122</v>
      </c>
      <c r="B29" s="4">
        <v>6.6330275229357802</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C6B8-9F51-4F30-9A6A-E2E490E7EB1D}">
  <dimension ref="A3:N25"/>
  <sheetViews>
    <sheetView topLeftCell="B7" workbookViewId="0">
      <selection activeCell="C13" sqref="C13"/>
    </sheetView>
  </sheetViews>
  <sheetFormatPr defaultRowHeight="14.25" x14ac:dyDescent="0.45"/>
  <cols>
    <col min="1" max="1" width="67.265625" bestFit="1" customWidth="1"/>
    <col min="2" max="2" width="12.33203125" bestFit="1" customWidth="1"/>
    <col min="13" max="13" width="65.06640625" bestFit="1" customWidth="1"/>
    <col min="14" max="14" width="12.33203125" bestFit="1" customWidth="1"/>
  </cols>
  <sheetData>
    <row r="3" spans="1:14" x14ac:dyDescent="0.45">
      <c r="A3" s="2" t="s">
        <v>0</v>
      </c>
      <c r="B3" s="9" t="s">
        <v>1</v>
      </c>
      <c r="C3" s="9" t="s">
        <v>2</v>
      </c>
      <c r="D3" s="9" t="s">
        <v>115</v>
      </c>
      <c r="E3" s="3" t="s">
        <v>3</v>
      </c>
      <c r="F3" s="2" t="s">
        <v>117</v>
      </c>
      <c r="G3" s="7" t="s">
        <v>4</v>
      </c>
      <c r="H3" s="5" t="s">
        <v>99</v>
      </c>
      <c r="I3" s="2" t="s">
        <v>116</v>
      </c>
      <c r="M3" s="11" t="s">
        <v>118</v>
      </c>
      <c r="N3" t="s">
        <v>123</v>
      </c>
    </row>
    <row r="4" spans="1:14" x14ac:dyDescent="0.45">
      <c r="A4" t="s">
        <v>17</v>
      </c>
      <c r="B4" s="10">
        <v>332</v>
      </c>
      <c r="C4" s="10">
        <v>684</v>
      </c>
      <c r="D4" s="10">
        <v>352</v>
      </c>
      <c r="E4" s="4">
        <v>0.51</v>
      </c>
      <c r="F4" s="1" t="s">
        <v>119</v>
      </c>
      <c r="G4" s="8">
        <v>2</v>
      </c>
      <c r="H4" s="6">
        <v>5</v>
      </c>
      <c r="I4" t="s">
        <v>126</v>
      </c>
      <c r="M4" s="12" t="s">
        <v>17</v>
      </c>
      <c r="N4" s="6">
        <v>5</v>
      </c>
    </row>
    <row r="5" spans="1:14" x14ac:dyDescent="0.45">
      <c r="A5" t="s">
        <v>18</v>
      </c>
      <c r="B5" s="10">
        <v>195</v>
      </c>
      <c r="C5" s="10">
        <v>360</v>
      </c>
      <c r="D5" s="10">
        <v>165</v>
      </c>
      <c r="E5" s="4">
        <v>0.46</v>
      </c>
      <c r="F5" s="1" t="s">
        <v>119</v>
      </c>
      <c r="G5" s="8">
        <v>2</v>
      </c>
      <c r="H5" s="6">
        <v>5</v>
      </c>
      <c r="I5" t="s">
        <v>126</v>
      </c>
      <c r="M5" s="12" t="s">
        <v>112</v>
      </c>
      <c r="N5" s="6">
        <v>5</v>
      </c>
    </row>
    <row r="6" spans="1:14" x14ac:dyDescent="0.45">
      <c r="A6" t="s">
        <v>103</v>
      </c>
      <c r="B6" s="10">
        <v>2025</v>
      </c>
      <c r="C6" s="10">
        <v>3971</v>
      </c>
      <c r="D6" s="10">
        <v>1946</v>
      </c>
      <c r="E6" s="4">
        <v>0.49</v>
      </c>
      <c r="F6" s="1" t="s">
        <v>119</v>
      </c>
      <c r="G6" s="8">
        <v>3</v>
      </c>
      <c r="H6" s="6">
        <v>5</v>
      </c>
      <c r="I6" t="s">
        <v>126</v>
      </c>
      <c r="M6" s="12" t="s">
        <v>33</v>
      </c>
      <c r="N6" s="6">
        <v>5</v>
      </c>
    </row>
    <row r="7" spans="1:14" x14ac:dyDescent="0.45">
      <c r="A7" t="s">
        <v>32</v>
      </c>
      <c r="B7" s="10">
        <v>1620</v>
      </c>
      <c r="C7" s="10">
        <v>2690</v>
      </c>
      <c r="D7" s="10">
        <v>1070</v>
      </c>
      <c r="E7" s="4">
        <v>0.4</v>
      </c>
      <c r="F7" s="1" t="s">
        <v>119</v>
      </c>
      <c r="G7" s="8">
        <v>1</v>
      </c>
      <c r="H7" s="6">
        <v>5</v>
      </c>
      <c r="I7" t="s">
        <v>126</v>
      </c>
      <c r="M7" s="12" t="s">
        <v>32</v>
      </c>
      <c r="N7" s="6">
        <v>5</v>
      </c>
    </row>
    <row r="8" spans="1:14" x14ac:dyDescent="0.45">
      <c r="A8" t="s">
        <v>33</v>
      </c>
      <c r="B8" s="10">
        <v>171</v>
      </c>
      <c r="C8" s="10">
        <v>360</v>
      </c>
      <c r="D8" s="10">
        <v>189</v>
      </c>
      <c r="E8" s="4">
        <v>0.53</v>
      </c>
      <c r="F8" s="1" t="s">
        <v>119</v>
      </c>
      <c r="G8" s="8">
        <v>2</v>
      </c>
      <c r="H8" s="6">
        <v>5</v>
      </c>
      <c r="I8" t="s">
        <v>126</v>
      </c>
      <c r="M8" s="12" t="s">
        <v>88</v>
      </c>
      <c r="N8" s="6">
        <v>5</v>
      </c>
    </row>
    <row r="9" spans="1:14" x14ac:dyDescent="0.45">
      <c r="A9" t="s">
        <v>112</v>
      </c>
      <c r="B9" s="10">
        <v>979</v>
      </c>
      <c r="C9" s="10">
        <v>1920</v>
      </c>
      <c r="D9" s="10">
        <v>941</v>
      </c>
      <c r="E9" s="4">
        <v>0.49</v>
      </c>
      <c r="F9" s="1" t="s">
        <v>119</v>
      </c>
      <c r="G9" s="8">
        <v>1</v>
      </c>
      <c r="H9" s="6">
        <v>5</v>
      </c>
      <c r="I9" t="s">
        <v>126</v>
      </c>
      <c r="M9" s="12" t="s">
        <v>103</v>
      </c>
      <c r="N9" s="6">
        <v>5</v>
      </c>
    </row>
    <row r="10" spans="1:14" x14ac:dyDescent="0.45">
      <c r="A10" t="s">
        <v>88</v>
      </c>
      <c r="B10" s="10">
        <v>3640</v>
      </c>
      <c r="C10" s="10">
        <v>4588</v>
      </c>
      <c r="D10" s="10">
        <v>948</v>
      </c>
      <c r="E10" s="4">
        <v>0.21</v>
      </c>
      <c r="F10" s="1" t="s">
        <v>121</v>
      </c>
      <c r="G10" s="8">
        <v>1</v>
      </c>
      <c r="H10" s="6">
        <v>5</v>
      </c>
      <c r="I10" t="s">
        <v>126</v>
      </c>
      <c r="M10" s="12" t="s">
        <v>18</v>
      </c>
      <c r="N10" s="6">
        <v>5</v>
      </c>
    </row>
    <row r="11" spans="1:14" x14ac:dyDescent="0.45">
      <c r="M11" s="12" t="s">
        <v>122</v>
      </c>
      <c r="N11" s="6">
        <v>35</v>
      </c>
    </row>
    <row r="20" spans="1:9" x14ac:dyDescent="0.45">
      <c r="A20" s="2" t="s">
        <v>0</v>
      </c>
      <c r="B20" s="9" t="s">
        <v>1</v>
      </c>
      <c r="C20" s="9" t="s">
        <v>2</v>
      </c>
      <c r="D20" s="9" t="s">
        <v>115</v>
      </c>
      <c r="E20" s="3" t="s">
        <v>3</v>
      </c>
      <c r="F20" s="2" t="s">
        <v>117</v>
      </c>
      <c r="G20" s="7" t="s">
        <v>4</v>
      </c>
      <c r="H20" s="5" t="s">
        <v>99</v>
      </c>
      <c r="I20" s="2" t="s">
        <v>116</v>
      </c>
    </row>
    <row r="21" spans="1:9" x14ac:dyDescent="0.45">
      <c r="A21" t="s">
        <v>54</v>
      </c>
      <c r="B21" s="10">
        <v>2115</v>
      </c>
      <c r="C21" s="10">
        <v>4700</v>
      </c>
      <c r="D21" s="10">
        <v>2585</v>
      </c>
      <c r="E21" s="4">
        <v>0.55000000000000004</v>
      </c>
      <c r="F21" s="1" t="s">
        <v>119</v>
      </c>
      <c r="G21" s="8">
        <v>13</v>
      </c>
      <c r="H21" s="6">
        <v>2.1</v>
      </c>
      <c r="I21" t="s">
        <v>128</v>
      </c>
    </row>
    <row r="22" spans="1:9" x14ac:dyDescent="0.45">
      <c r="A22" t="s">
        <v>58</v>
      </c>
      <c r="B22" s="10">
        <v>990</v>
      </c>
      <c r="C22" s="10">
        <v>1814</v>
      </c>
      <c r="D22" s="10">
        <v>824</v>
      </c>
      <c r="E22" s="4">
        <v>0.45</v>
      </c>
      <c r="F22" s="1" t="s">
        <v>119</v>
      </c>
      <c r="G22" s="8">
        <v>6</v>
      </c>
      <c r="H22" s="6">
        <v>2.2000000000000002</v>
      </c>
      <c r="I22" t="s">
        <v>128</v>
      </c>
    </row>
    <row r="23" spans="1:9" x14ac:dyDescent="0.45">
      <c r="A23" t="s">
        <v>65</v>
      </c>
      <c r="B23" s="10">
        <v>968</v>
      </c>
      <c r="C23" s="10">
        <v>1814</v>
      </c>
      <c r="D23" s="10">
        <v>846</v>
      </c>
      <c r="E23" s="4">
        <v>0.47</v>
      </c>
      <c r="F23" s="1" t="s">
        <v>119</v>
      </c>
      <c r="G23" s="8">
        <v>6</v>
      </c>
      <c r="H23" s="6">
        <v>2.2000000000000002</v>
      </c>
      <c r="I23" t="s">
        <v>128</v>
      </c>
    </row>
    <row r="24" spans="1:9" x14ac:dyDescent="0.45">
      <c r="A24" t="s">
        <v>66</v>
      </c>
      <c r="B24" s="10">
        <v>1570</v>
      </c>
      <c r="C24" s="10">
        <v>2988</v>
      </c>
      <c r="D24" s="10">
        <v>1418</v>
      </c>
      <c r="E24" s="4">
        <v>0.47</v>
      </c>
      <c r="F24" s="1" t="s">
        <v>119</v>
      </c>
      <c r="G24" s="8">
        <v>7</v>
      </c>
      <c r="H24" s="6">
        <v>2.1</v>
      </c>
      <c r="I24" t="s">
        <v>128</v>
      </c>
    </row>
    <row r="25" spans="1:9" x14ac:dyDescent="0.45">
      <c r="A25" t="s">
        <v>97</v>
      </c>
      <c r="B25" s="10">
        <v>450</v>
      </c>
      <c r="C25" s="10">
        <v>900</v>
      </c>
      <c r="D25" s="10">
        <v>450</v>
      </c>
      <c r="E25" s="4">
        <v>0.5</v>
      </c>
      <c r="F25" s="1" t="s">
        <v>119</v>
      </c>
      <c r="G25" s="8">
        <v>1</v>
      </c>
      <c r="H25" s="6">
        <v>2</v>
      </c>
      <c r="I25" t="s">
        <v>128</v>
      </c>
    </row>
  </sheetData>
  <conditionalFormatting sqref="B3:B10">
    <cfRule type="top10" dxfId="7" priority="7" bottom="1" rank="1"/>
    <cfRule type="top10" dxfId="6" priority="8" rank="1"/>
  </conditionalFormatting>
  <conditionalFormatting sqref="B20:B25">
    <cfRule type="top10" dxfId="5" priority="3" bottom="1" rank="1"/>
    <cfRule type="top10" dxfId="4" priority="4" rank="1"/>
  </conditionalFormatting>
  <conditionalFormatting sqref="H3:H10">
    <cfRule type="top10" dxfId="3" priority="5" bottom="1" rank="5"/>
    <cfRule type="top10" dxfId="2" priority="6" rank="5"/>
  </conditionalFormatting>
  <conditionalFormatting sqref="H20:H25">
    <cfRule type="top10" dxfId="1" priority="1" bottom="1" rank="5"/>
    <cfRule type="top10" dxfId="0" priority="2" rank="5"/>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 Category</vt:lpstr>
      <vt:lpstr>Original Data</vt:lpstr>
      <vt:lpstr>Dashboard prep</vt:lpstr>
      <vt:lpstr>DASHBOARD</vt:lpstr>
      <vt:lpstr>Highest Discount</vt:lpstr>
      <vt:lpstr>Most Reviews</vt:lpstr>
      <vt:lpstr>Rating Count</vt:lpstr>
      <vt:lpstr>Rating- Comparison</vt:lpstr>
      <vt:lpstr>Trend Analysis</vt:lpstr>
      <vt:lpstr>TopBottom 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Jill Nandaha</cp:lastModifiedBy>
  <dcterms:created xsi:type="dcterms:W3CDTF">2026-01-26T20:31:31Z</dcterms:created>
  <dcterms:modified xsi:type="dcterms:W3CDTF">2026-01-27T19:26:32Z</dcterms:modified>
</cp:coreProperties>
</file>